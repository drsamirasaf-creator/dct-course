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clarations" sheetId="2" state="visible" r:id="rId4"/>
    <sheet name="Riccati" sheetId="3" state="visible" r:id="rId5"/>
    <sheet name="Hamiltonian" sheetId="4" state="visible" r:id="rId6"/>
    <sheet name="PolicyIteration" sheetId="5" state="visible" r:id="rId7"/>
    <sheet name="Delay" sheetId="6" state="visible" r:id="rId8"/>
    <sheet name="Rules" sheetId="7" state="visible" r:id="rId9"/>
    <sheet name="CriticalGain" sheetId="8" state="visible" r:id="rId10"/>
    <sheet name="Sensitivities" sheetId="9" state="visible" r:id="rId11"/>
    <sheet name="Capability" sheetId="10" state="visible" r:id="rId12"/>
    <sheet name="Scheme" sheetId="11" state="visible" r:id="rId13"/>
    <sheet name="Reference_Values" sheetId="12" state="visible" r:id="rId14"/>
    <sheet name="Checks" sheetId="13" state="visible" r:id="rId15"/>
  </sheets>
  <definedNames>
    <definedName function="false" hidden="false" name="A_close" vbProcedure="false">Declarations!$B$5</definedName>
    <definedName function="false" hidden="false" name="B_share" vbProcedure="false">Declarations!$B$6</definedName>
    <definedName function="false" hidden="false" name="Cost_k" vbProcedure="false">Declarations!$B$28</definedName>
    <definedName function="false" hidden="false" name="D0_gap" vbProcedure="false">Declarations!$B$14</definedName>
    <definedName function="false" hidden="false" name="Delay_D" vbProcedure="false">Declarations!$B$30</definedName>
    <definedName function="false" hidden="false" name="Delta_c" vbProcedure="false">Declarations!$B$24</definedName>
    <definedName function="false" hidden="false" name="Floor_F" vbProcedure="false">Declarations!$B$29</definedName>
    <definedName function="false" hidden="false" name="K_caut" vbProcedure="false">Declarations!$B$17</definedName>
    <definedName function="false" hidden="false" name="K_dead" vbProcedure="false">Declarations!$B$18</definedName>
    <definedName function="false" hidden="false" name="Q_gap" vbProcedure="false">Declarations!$B$9</definedName>
    <definedName function="false" hidden="false" name="Rho_a" vbProcedure="false">Declarations!$B$13</definedName>
    <definedName function="false" hidden="false" name="R_prem" vbProcedure="false">Declarations!$B$11</definedName>
    <definedName function="false" hidden="false" name="Tau_d" vbProcedure="false">Declarations!$B$7</definedName>
    <definedName function="false" hidden="false" name="Top_c" vbProcedure="false">Declarations!$B$26</definedName>
    <definedName function="false" hidden="false" name="Ubar_c" vbProcedure="false">Declarations!$B$27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<sst xmlns="http://schemas.openxmlformats.org/spreadsheetml/2006/main" count="644" uniqueCount="450">
  <si>
    <t xml:space="preserve">DCT Laboratory — Vol II, Ch 8: Hamilton–Jacobi–Bellman Enterprise Framework</t>
  </si>
  <si>
    <t xml:space="preserve">Seed 26208 · Companion to DCT_V2_Ch08_Lab.ipynb and AXIOM Lab 2.8 (module AXIOM-08). Money in $ million.</t>
  </si>
  <si>
    <t xml:space="preserve">Worked Example 8.1, How Fast Should Meridian Close Its Engineering Gap?, with the book's declarations, and Chapter 6's capability problem solved with the HJB equation (Sections 8.2, 8.4 and 8.6). Nothing in the chapter is random.</t>
  </si>
  <si>
    <t xml:space="preserve">Declarations: the hiring loop of Step 1 and Chapter 6's capability declarations.</t>
  </si>
  <si>
    <t xml:space="preserve">Riccati: the quadratic value, its two roots, the rule and the price of an engineer of gap (Step 2; Theorem 8.3), and Theorem 8.2(iii)'s residual audit of other candidates.</t>
  </si>
  <si>
    <t xml:space="preserve">Hamiltonian: approvals where the marginal premium equals the value of an approval, at three gaps (Proposition 8.1(ii)).</t>
  </si>
  <si>
    <t xml:space="preserve">PolicyIteration: Kleinman's iteration from Volume I's cautious gain (Theorem 8.3(iii)); the costs of proportional rules if approvals landed at once.</t>
  </si>
  <si>
    <t xml:space="preserve">Delay: the predicted gap and the best rule with the quarter's delay (Step 3; Proposition 8.3(ii)), and the least cost against the months approvals take to land (Figure 8.3(b)).</t>
  </si>
  <si>
    <t xml:space="preserve">Rules: Table 8.3. The costs, surpluses and gaps of rules run with the delay need a simulation and come from the engine; gains, extra costs and the at-once column are formulas.</t>
  </si>
  <si>
    <t xml:space="preserve">CriticalGain: the gain above which a rule on today's gap swings ever wider, by bisection.</t>
  </si>
  <si>
    <t xml:space="preserve">Sensitivities: Step 5, the gain through q/r, a misdeclared delay, and productivity of 30 percent.</t>
  </si>
  <si>
    <t xml:space="preserve">Capability: Chapter 6's value and prices in closed form, the never-start threshold, the corners, the HJB equation at 58, and the costate against the value's slope along the best plans.</t>
  </si>
  <si>
    <t xml:space="preserve">Scheme: the upwind scheme's values on grids of 1 to 1/16 point, by formulas, against the closed form (Proposition 8.4; Figure 8.1).</t>
  </si>
  <si>
    <t xml:space="preserve">Reference_Values and Checks: the engine's numbers and a PASS/FAIL comparison with this workbook's formulas.</t>
  </si>
  <si>
    <t xml:space="preserve">LEGEND</t>
  </si>
  <si>
    <t xml:space="preserve">Input: blue on pale gold. A declaration from the book; change it to explore.</t>
  </si>
  <si>
    <t xml:space="preserve">Formula: black. Recalculates from the inputs.</t>
  </si>
  <si>
    <t xml:space="preserve">Engine value: green on pale green. Computed by the notebook's engine (the book's numbers); the Checks sheet compares the workbook's formulas with them.</t>
  </si>
  <si>
    <t xml:space="preserve">Cross-sheet link: green.</t>
  </si>
  <si>
    <t xml:space="preserve">Declarations (Worked Example 8.1, Step 1; Chapter 6's capability problem). Money in $ million; time in years.</t>
  </si>
  <si>
    <t xml:space="preserve">Quantity</t>
  </si>
  <si>
    <t xml:space="preserve">Value</t>
  </si>
  <si>
    <t xml:space="preserve">Source</t>
  </si>
  <si>
    <t xml:space="preserve">Share of a gap carried over a quarter</t>
  </si>
  <si>
    <t xml:space="preserve">Retraining and internal moves close 10 percent of any gap each quarter (Volume I, Worked Example 7.1)</t>
  </si>
  <si>
    <t xml:space="preserve">a: the gap closes on its own, a year</t>
  </si>
  <si>
    <t xml:space="preserve">a = 4 ln(10/9) = 0.42</t>
  </si>
  <si>
    <t xml:space="preserve">b: share of approvals that become engineers</t>
  </si>
  <si>
    <t xml:space="preserve">60 percent of approved external hires become productive engineers</t>
  </si>
  <si>
    <t xml:space="preserve">tau: approvals become engineers after (years)</t>
  </si>
  <si>
    <t xml:space="preserve">A quarter</t>
  </si>
  <si>
    <t xml:space="preserve">Cost of a gap of 100 engineers, a year</t>
  </si>
  <si>
    <t xml:space="preserve">Program office: as much as stopping the build (a quarter of delay is worth $8 million, Volume I, Chapter 15)</t>
  </si>
  <si>
    <t xml:space="preserve">q = that cost / 100^2</t>
  </si>
  <si>
    <t xml:space="preserve">A gap of d engineers costs q d^2 a year</t>
  </si>
  <si>
    <t xml:space="preserve">Premium for approving 400 a year, a year</t>
  </si>
  <si>
    <t xml:space="preserve">Human resources: agency fees and signing bonuses beyond planned salaries</t>
  </si>
  <si>
    <t xml:space="preserve">r = that premium / 400^2</t>
  </si>
  <si>
    <t xml:space="preserve">Approving v a year costs r v^2 a year</t>
  </si>
  <si>
    <t xml:space="preserve">Hurdle rate a year</t>
  </si>
  <si>
    <t xml:space="preserve">The board's 10 percent (Chapter 5)</t>
  </si>
  <si>
    <t xml:space="preserve">rho = ln(1 + hurdle rate)</t>
  </si>
  <si>
    <t xml:space="preserve">9.5 percent in continuous time</t>
  </si>
  <si>
    <t xml:space="preserve">Gap today: bench minus target (engineers)</t>
  </si>
  <si>
    <t xml:space="preserve">100 short, nothing in the pipeline</t>
  </si>
  <si>
    <t xml:space="preserve">Volume I's cautious gain, a quarter</t>
  </si>
  <si>
    <t xml:space="preserve">Approve half the gap each quarter</t>
  </si>
  <si>
    <t xml:space="preserve">Volume I's deadbeat gain, a quarter</t>
  </si>
  <si>
    <t xml:space="preserve">One and a half times the gap each quarter</t>
  </si>
  <si>
    <t xml:space="preserve">Cautious gain as a rate a year</t>
  </si>
  <si>
    <t xml:space="preserve">Rules run continuously: v = -k d</t>
  </si>
  <si>
    <t xml:space="preserve">Deadbeat gain as a rate a year</t>
  </si>
  <si>
    <t xml:space="preserve">q / r</t>
  </si>
  <si>
    <t xml:space="preserve">The gain depends on the two costs only through their ratio</t>
  </si>
  <si>
    <t xml:space="preserve">Premium per hire at 400 a year</t>
  </si>
  <si>
    <t xml:space="preserve">$50,000 a hire; at 100 a year, $12,500</t>
  </si>
  <si>
    <t xml:space="preserve">Chapter 6's capability problem (Worked Example 6.1)</t>
  </si>
  <si>
    <t xml:space="preserve">Attrition a quarter</t>
  </si>
  <si>
    <t xml:space="preserve">2.5 percent a quarter (Volume I, Chapter 10)</t>
  </si>
  <si>
    <t xml:space="preserve">delta = -4 ln(1 - attrition), a year</t>
  </si>
  <si>
    <t xml:space="preserve">0.101 a year</t>
  </si>
  <si>
    <t xml:space="preserve">Hiring cap a quarter (points)</t>
  </si>
  <si>
    <t xml:space="preserve">Volume I's ceiling = cap / attrition</t>
  </si>
  <si>
    <t xml:space="preserve">100</t>
  </si>
  <si>
    <t xml:space="preserve">Hiring cap a year, u bar = ceiling x delta</t>
  </si>
  <si>
    <t xml:space="preserve">10.13 points a year</t>
  </si>
  <si>
    <t xml:space="preserve">Cost of hiring and training a point, k</t>
  </si>
  <si>
    <t xml:space="preserve">$4 million a point</t>
  </si>
  <si>
    <t xml:space="preserve">Capability floor of the digital build</t>
  </si>
  <si>
    <t xml:space="preserve">The build runs from the first moment capability reaches 55, which it must then keep</t>
  </si>
  <si>
    <t xml:space="preserve">Delay while the build waits, a year</t>
  </si>
  <si>
    <t xml:space="preserve">$32 million a year</t>
  </si>
  <si>
    <t xml:space="preserve">Hiring loop: d'(t) = -a d(t) + b v(t - tau); cost of a rule = PV of q d^2 + r v^2 at rho over an open horizon. Capability: dc/dt = u - delta c, 0 &lt;= u &lt;= u bar, cost k u plus the delay below the floor.</t>
  </si>
  <si>
    <t xml:space="preserve">Assemble the equation: a quadratic value -p d^2 and its two roots (Theorem 8.3; Worked Example 8.1, Step 2; AXIOM Lab 2.8, step 1)</t>
  </si>
  <si>
    <t xml:space="preserve">Reading</t>
  </si>
  <si>
    <t xml:space="preserve">Coefficient b^2 / r</t>
  </si>
  <si>
    <t xml:space="preserve">(b^2/r) p^2 + (2a + rho) p - q = 0</t>
  </si>
  <si>
    <t xml:space="preserve">Coefficient 2a + rho</t>
  </si>
  <si>
    <t xml:space="preserve">Constant -q</t>
  </si>
  <si>
    <t xml:space="preserve">Positive root p</t>
  </si>
  <si>
    <t xml:space="preserve">The value is -p d^2</t>
  </si>
  <si>
    <t xml:space="preserve">Second root p-</t>
  </si>
  <si>
    <t xml:space="preserve">Also solves the equation</t>
  </si>
  <si>
    <t xml:space="preserve">Gain K = b p / r, a year</t>
  </si>
  <si>
    <t xml:space="preserve">The best rule v = -K d</t>
  </si>
  <si>
    <t xml:space="preserve">Gain a quarter</t>
  </si>
  <si>
    <t xml:space="preserve">Between Volume I's cautious (0.5) and deadbeat (1.5) gains</t>
  </si>
  <si>
    <t xml:space="preserve">The gap closes at a + bK, a year</t>
  </si>
  <si>
    <t xml:space="preserve">Half-life of the gap (years)</t>
  </si>
  <si>
    <t xml:space="preserve">Half-life of the gap (months)</t>
  </si>
  <si>
    <t xml:space="preserve">2.75 months</t>
  </si>
  <si>
    <t xml:space="preserve">Least cost from 100 short, p d0^2</t>
  </si>
  <si>
    <t xml:space="preserve">$9.04 million</t>
  </si>
  <si>
    <t xml:space="preserve">Price of an engineer of gap at 100 short, 2p|d0|</t>
  </si>
  <si>
    <t xml:space="preserve">$181,000</t>
  </si>
  <si>
    <t xml:space="preserve">First approval rate, K|d0| (a year)</t>
  </si>
  <si>
    <t xml:space="preserve">Marginal premium on the last approval, 2 r v</t>
  </si>
  <si>
    <t xml:space="preserve">$108,000</t>
  </si>
  <si>
    <t xml:space="preserve">Value of an approval, b x price</t>
  </si>
  <si>
    <t xml:space="preserve">Equal: Proposition 8.1(ii)</t>
  </si>
  <si>
    <t xml:space="preserve">Second root's gain, b p- / r</t>
  </si>
  <si>
    <t xml:space="preserve">Its rule is v = -K- d</t>
  </si>
  <si>
    <t xml:space="preserve">It releases at 100 short (a year)</t>
  </si>
  <si>
    <t xml:space="preserve">Releases engineers while the bench is short</t>
  </si>
  <si>
    <t xml:space="preserve">Its closed loop grows at -a - b K-, a year</t>
  </si>
  <si>
    <t xml:space="preserve">e^(-rho t) W(d(t)) does not tend to zero: Theorem 8.2(ii) certifies nothing</t>
  </si>
  <si>
    <t xml:space="preserve">Effective horizon 1/rho (years)</t>
  </si>
  <si>
    <t xml:space="preserve">Theorem 8.2(iii)</t>
  </si>
  <si>
    <t xml:space="preserve">A residual of $0.1 million a year puts the values within</t>
  </si>
  <si>
    <t xml:space="preserve">$1.05 million</t>
  </si>
  <si>
    <t xml:space="preserve">Theorem 8.2(iii) audit of candidate values -p d^2 on the gaps from 100 short to 100 over</t>
  </si>
  <si>
    <t xml:space="preserve">Candidate p</t>
  </si>
  <si>
    <t xml:space="preserve">Riccati quadratic at p</t>
  </si>
  <si>
    <t xml:space="preserve">Residual at 100 short, eps</t>
  </si>
  <si>
    <t xml:space="preserve">Bound eps/rho</t>
  </si>
  <si>
    <t xml:space="preserve">Value off by |p - p*| d0^2</t>
  </si>
  <si>
    <t xml:space="preserve">Greedy gain b p / r</t>
  </si>
  <si>
    <t xml:space="preserve">Its cost from 100 short</t>
  </si>
  <si>
    <t xml:space="preserve">Loss against the best</t>
  </si>
  <si>
    <t xml:space="preserve">Bound 2 eps/rho</t>
  </si>
  <si>
    <t xml:space="preserve">The residual of -p d^2 at the gap d is -d^2 times the Riccati quadratic: it vanishes everywhere at the two roots. The value's error and the greedy rule's loss stay within the bounds.</t>
  </si>
  <si>
    <t xml:space="preserve">Read the Hamiltonian: approve until the marginal premium equals the value of an approval (Proposition 8.1(ii); AXIOM Lab 2.8, step 2)</t>
  </si>
  <si>
    <t xml:space="preserve">At the gap d, the part of the Hamiltonian the approval rate moves is -r v^2 + b V'(d) v, with V'(d) = -2 p d, the price of an engineer of gap.</t>
  </si>
  <si>
    <t xml:space="preserve">Gap d</t>
  </si>
  <si>
    <t xml:space="preserve">Price of an engineer of gap, V'(d) = -2 p d</t>
  </si>
  <si>
    <t xml:space="preserve">Best approval rate, b V'(d) / (2r)</t>
  </si>
  <si>
    <t xml:space="preserve">Marginal premium at it, 2 r v</t>
  </si>
  <si>
    <t xml:space="preserve">Value of an approval, b V'(d)</t>
  </si>
  <si>
    <t xml:space="preserve">Approval rate v (a year)</t>
  </si>
  <si>
    <t xml:space="preserve">-r v^2 + b V'(d) v at gap 1</t>
  </si>
  <si>
    <t xml:space="preserve">at gap 2</t>
  </si>
  <si>
    <t xml:space="preserve">at gap 3</t>
  </si>
  <si>
    <t xml:space="preserve">Best rate on this grid of 10</t>
  </si>
  <si>
    <t xml:space="preserve">Find the gain by policy iteration from Volume I's cautious gain (Theorem 8.3(iii); Section 8.6)</t>
  </si>
  <si>
    <t xml:space="preserve">Evaluate the rule v = -k d: its cost is p_k d^2 with p_k = (q + r k^2)/(2(a + b k) + rho). Make it greedy for that cost: k &lt;- b p_k / r. Kleinman: Newton's method on the Riccati equation.</t>
  </si>
  <si>
    <t xml:space="preserve">Step</t>
  </si>
  <si>
    <t xml:space="preserve">Gain k a year</t>
  </si>
  <si>
    <t xml:space="preserve">p_k</t>
  </si>
  <si>
    <t xml:space="preserve">Cost from 100 short</t>
  </si>
  <si>
    <t xml:space="preserve">Above the best</t>
  </si>
  <si>
    <t xml:space="preserve">Discounted gap dies out at (a year)</t>
  </si>
  <si>
    <t xml:space="preserve">Costs from 100 short if approvals landed at once</t>
  </si>
  <si>
    <t xml:space="preserve">Rule</t>
  </si>
  <si>
    <t xml:space="preserve">Cost (q + r k^2) d0^2 / (2(a + b k) + rho)</t>
  </si>
  <si>
    <t xml:space="preserve">Step 2's gain (the Riccati rule)</t>
  </si>
  <si>
    <t xml:space="preserve">Best gain on today's gap (engine: a search over simulated costs)</t>
  </si>
  <si>
    <t xml:space="preserve">Volume I's cautious gain</t>
  </si>
  <si>
    <t xml:space="preserve">Volume I's deadbeat gain</t>
  </si>
  <si>
    <t xml:space="preserve">The cautious gain is the worst of these, above the best by</t>
  </si>
  <si>
    <t xml:space="preserve">Allow for the delay: steer by the predicted gap (Proposition 8.3(ii); Worked Example 8.1, Step 3; Figure 8.3(b))</t>
  </si>
  <si>
    <t xml:space="preserve">The predicted gap z(t) = d(t + tau) moves as the gap would if approvals landed at once; the first quarter's cost is fixed; the rest is Theorem 8.3's problem in z with q' = q e^(-rho tau).</t>
  </si>
  <si>
    <t xml:space="preserve">q' = q e^(-rho tau)</t>
  </si>
  <si>
    <t xml:space="preserve">The gap's cost, a quarter later</t>
  </si>
  <si>
    <t xml:space="preserve">p': positive root with q'</t>
  </si>
  <si>
    <t xml:space="preserve">Gain K' = b p' / r, a year</t>
  </si>
  <si>
    <t xml:space="preserve">Approve 4.28 times the predicted gap</t>
  </si>
  <si>
    <t xml:space="preserve">Predicted gap today, z0 = e^(-a tau) d0</t>
  </si>
  <si>
    <t xml:space="preserve">Nothing in flight: 90 short a quarter from now</t>
  </si>
  <si>
    <t xml:space="preserve">First quarter's cost (fixed)</t>
  </si>
  <si>
    <t xml:space="preserve">Nothing HR does reaches the bench</t>
  </si>
  <si>
    <t xml:space="preserve">The rest, p' z0^2</t>
  </si>
  <si>
    <t xml:space="preserve">Least cost with the delay</t>
  </si>
  <si>
    <t xml:space="preserve">$14.35 million</t>
  </si>
  <si>
    <t xml:space="preserve">The quarter's delay costs</t>
  </si>
  <si>
    <t xml:space="preserve">$5.31 million</t>
  </si>
  <si>
    <t xml:space="preserve">The predicted gap closes at a + b K'</t>
  </si>
  <si>
    <t xml:space="preserve">First approval rate, K' |z0| (a year)</t>
  </si>
  <si>
    <t xml:space="preserve">385 a year</t>
  </si>
  <si>
    <t xml:space="preserve">Approvals in the first quarter</t>
  </si>
  <si>
    <t xml:space="preserve">68</t>
  </si>
  <si>
    <t xml:space="preserve">Gap after a year</t>
  </si>
  <si>
    <t xml:space="preserve">10 short, no overshoot</t>
  </si>
  <si>
    <t xml:space="preserve">Marginal premium at the start, 2 r v</t>
  </si>
  <si>
    <t xml:space="preserve">Value of an approval at the start, b 2p'|z0|</t>
  </si>
  <si>
    <t xml:space="preserve">Equal</t>
  </si>
  <si>
    <t xml:space="preserve">Price of an engineer already on the bench</t>
  </si>
  <si>
    <t xml:space="preserve">$287,000, against $181,000 without the delay</t>
  </si>
  <si>
    <t xml:space="preserve">The least cost against the time approvals take to land (Figure 8.3(b))</t>
  </si>
  <si>
    <t xml:space="preserve">Months to land</t>
  </si>
  <si>
    <t xml:space="preserve">tau (years)</t>
  </si>
  <si>
    <t xml:space="preserve">q'</t>
  </si>
  <si>
    <t xml:space="preserve">p'</t>
  </si>
  <si>
    <t xml:space="preserve">z0</t>
  </si>
  <si>
    <t xml:space="preserve">First period's cost</t>
  </si>
  <si>
    <t xml:space="preserve">Least cost</t>
  </si>
  <si>
    <t xml:space="preserve">Cutting the delay from a quarter to a month is worth</t>
  </si>
  <si>
    <t xml:space="preserve">Table 8.3: rules for closing a gap of 100 engineers when approvals take a quarter to land (Worked Example 8.1, Step 4; AXIOM Lab 2.8, step 3)</t>
  </si>
  <si>
    <t xml:space="preserve">Engine values (green): the delay equation simulated at steps of 1e-4 and 5e-5 years over 12 years, the cost extrapolated (Online Appendix 8.B.1). Gains, extra costs and the at-once column are formulas.</t>
  </si>
  <si>
    <t xml:space="preserve">Steers by</t>
  </si>
  <si>
    <t xml:space="preserve">Gain a year</t>
  </si>
  <si>
    <t xml:space="preserve">Approved, first quarter</t>
  </si>
  <si>
    <t xml:space="preserve">Largest surplus</t>
  </si>
  <si>
    <t xml:space="preserve">Cost</t>
  </si>
  <si>
    <t xml:space="preserve">Extra</t>
  </si>
  <si>
    <t xml:space="preserve">At once</t>
  </si>
  <si>
    <t xml:space="preserve">Best rule: steer by the predicted gap</t>
  </si>
  <si>
    <t xml:space="preserve">the predicted gap</t>
  </si>
  <si>
    <t xml:space="preserve">-</t>
  </si>
  <si>
    <t xml:space="preserve">Step 2's gain on today's gap</t>
  </si>
  <si>
    <t xml:space="preserve">today's gap</t>
  </si>
  <si>
    <t xml:space="preserve">Best gain on today's gap</t>
  </si>
  <si>
    <t xml:space="preserve">The best rule in closed form (Delay sheet), and its simulated cost less it</t>
  </si>
  <si>
    <t xml:space="preserve">If approvals landed at once, the cautious gain would be above the best by</t>
  </si>
  <si>
    <t xml:space="preserve">Figure 8.3(a): the cost of v = -k d from 100 short, against the gain</t>
  </si>
  <si>
    <t xml:space="preserve">Approvals land at once (formula)</t>
  </si>
  <si>
    <t xml:space="preserve">A quarter late (engine)</t>
  </si>
  <si>
    <t xml:space="preserve">Steering harder on today's gap pays only if approvals land at once; a quarter late, the best gain on today's gap is 2.48 a year and the cost climbs steeply above it.</t>
  </si>
  <si>
    <t xml:space="preserve">Why a rule on today's gap must be gentle: its critical gain (Proposition 8.3(i); Online Appendix 8.B.1)</t>
  </si>
  <si>
    <t xml:space="preserve">d'(t) = -a d(t) - b k d(t - tau) has a root s = i w when b k cos(w tau) = -a and b k sin(w tau) = w: w solves w + a tan(w tau) = 0 between pi/(2 tau) and pi/tau. Bisection.</t>
  </si>
  <si>
    <t xml:space="preserve">Low</t>
  </si>
  <si>
    <t xml:space="preserve">High</t>
  </si>
  <si>
    <t xml:space="preserve">Middle</t>
  </si>
  <si>
    <t xml:space="preserve">w + a tan(w tau)</t>
  </si>
  <si>
    <t xml:space="preserve">Result</t>
  </si>
  <si>
    <t xml:space="preserve">w (radians a year)</t>
  </si>
  <si>
    <t xml:space="preserve">Critical gain (a^2 + w^2)^(1/2) / b, a year</t>
  </si>
  <si>
    <t xml:space="preserve">a quarter</t>
  </si>
  <si>
    <t xml:space="preserve">Period of the swings 2 pi / w (years)</t>
  </si>
  <si>
    <t xml:space="preserve">Volume I's quarterly review: stable below 1/b, a quarter</t>
  </si>
  <si>
    <t xml:space="preserve">Largest gap of v = -k d (engine)</t>
  </si>
  <si>
    <t xml:space="preserve">Years 2-4</t>
  </si>
  <si>
    <t xml:space="preserve">Years 10-12</t>
  </si>
  <si>
    <t xml:space="preserve">Gain 10 a year (2.5 a quarter)</t>
  </si>
  <si>
    <t xml:space="preserve">Gain 12 a year (3.0 a quarter)</t>
  </si>
  <si>
    <t xml:space="preserve">Engine values: the delay equation simulated at steps of 5e-5 and 2.5e-5 years; a window's largest gap converges at first order in the step, so it is extrapolated, 2 m(dt/2) - m(dt) (Online Appendix 8.B.1).</t>
  </si>
  <si>
    <t xml:space="preserve">Below the critical gain the swings die out; above it they grow. Steering by the predicted gap removes the delay from the loop.</t>
  </si>
  <si>
    <t xml:space="preserve">Test the declarations (Worked Example 8.1, Step 5; Figure 8.3(b))</t>
  </si>
  <si>
    <t xml:space="preserve">Declaration</t>
  </si>
  <si>
    <t xml:space="preserve">q multiplier</t>
  </si>
  <si>
    <t xml:space="preserve">r multiplier</t>
  </si>
  <si>
    <t xml:space="preserve">q</t>
  </si>
  <si>
    <t xml:space="preserve">r</t>
  </si>
  <si>
    <t xml:space="preserve">p at once</t>
  </si>
  <si>
    <t xml:space="preserve">Gain K at once</t>
  </si>
  <si>
    <t xml:space="preserve">Least cost at once</t>
  </si>
  <si>
    <t xml:space="preserve">Gain K' with the delay</t>
  </si>
  <si>
    <t xml:space="preserve">Base</t>
  </si>
  <si>
    <t xml:space="preserve">Gap cost doubled</t>
  </si>
  <si>
    <t xml:space="preserve">Gap cost halved</t>
  </si>
  <si>
    <t xml:space="preserve">Premium doubled</t>
  </si>
  <si>
    <t xml:space="preserve">Premium halved</t>
  </si>
  <si>
    <t xml:space="preserve">Approvals take half a year while HR steers for a quarter (engine: the delay equation simulated over 14 years)</t>
  </si>
  <si>
    <t xml:space="preserve">Best rule, built for a quarter</t>
  </si>
  <si>
    <t xml:space="preserve">Rule built for half a year: q'</t>
  </si>
  <si>
    <t xml:space="preserve">Gain K', a year</t>
  </si>
  <si>
    <t xml:space="preserve">4.220</t>
  </si>
  <si>
    <t xml:space="preserve">No overshoot</t>
  </si>
  <si>
    <t xml:space="preserve">Simulated (engine)</t>
  </si>
  <si>
    <t xml:space="preserve">The closed form, simulated</t>
  </si>
  <si>
    <t xml:space="preserve">Only 30 percent of approvals become engineers</t>
  </si>
  <si>
    <t xml:space="preserve">Share that becomes engineers</t>
  </si>
  <si>
    <t xml:space="preserve">HR's rule still counts 60 percent</t>
  </si>
  <si>
    <t xml:space="preserve">Rule built for 60 percent: cost (engine, simulated over 14 years)</t>
  </si>
  <si>
    <t xml:space="preserve">Redesigned: p'</t>
  </si>
  <si>
    <t xml:space="preserve">Redesigned: gain K', a year</t>
  </si>
  <si>
    <t xml:space="preserve">3.675</t>
  </si>
  <si>
    <t xml:space="preserve">Redesigned: least cost</t>
  </si>
  <si>
    <t xml:space="preserve">The rule built for 60 percent comes within</t>
  </si>
  <si>
    <t xml:space="preserve">$0.08 million</t>
  </si>
  <si>
    <t xml:space="preserve">Chapter 6's capability problem by the HJB equation: values, prices, corners (Propositions 8.1 and 8.2; AXIOM Lab 2.8, step 4)</t>
  </si>
  <si>
    <t xml:space="preserve">Capability c</t>
  </si>
  <si>
    <t xml:space="preserve">Value V(c)</t>
  </si>
  <si>
    <t xml:space="preserve">Price of a point V'(c)</t>
  </si>
  <si>
    <t xml:space="preserve">Switching function V' - k</t>
  </si>
  <si>
    <t xml:space="preserve">Decision</t>
  </si>
  <si>
    <t xml:space="preserve">Value of the floor forever, V(55) = -k delta 55 / rho</t>
  </si>
  <si>
    <t xml:space="preserve">Never starting the build: -D / rho</t>
  </si>
  <si>
    <t xml:space="preserve">x = k u bar / (k u bar + D + rho V(55))</t>
  </si>
  <si>
    <t xml:space="preserve">e^(-rho tau) where racing ties never starting</t>
  </si>
  <si>
    <t xml:space="preserve">Never-start threshold c_a = 100 - 45 x^(-delta/rho)</t>
  </si>
  <si>
    <t xml:space="preserve">Corner: below it the build never starts</t>
  </si>
  <si>
    <t xml:space="preserve">Racing from c_a, a check: V_race(c_a)</t>
  </si>
  <si>
    <t xml:space="preserve">Equals -D / rho</t>
  </si>
  <si>
    <t xml:space="preserve">Price just above c_a</t>
  </si>
  <si>
    <t xml:space="preserve">Jumps from 0 below</t>
  </si>
  <si>
    <t xml:space="preserve">Price just below the floor, k + D / (u bar - delta 55)</t>
  </si>
  <si>
    <t xml:space="preserve">Its cost plus the delay it saves; $4 million above</t>
  </si>
  <si>
    <t xml:space="preserve">Rent on the floor, k delta 55 (a year)</t>
  </si>
  <si>
    <t xml:space="preserve">Rent as a share of the position's value</t>
  </si>
  <si>
    <t xml:space="preserve">rho: the hurdle return</t>
  </si>
  <si>
    <t xml:space="preserve">Holding at c_a: rent on c_a plus the delay (a year)</t>
  </si>
  <si>
    <t xml:space="preserve">More than D, what never starting costs at the hurdle rate</t>
  </si>
  <si>
    <t xml:space="preserve">HJB at 58: rho V(58)</t>
  </si>
  <si>
    <t xml:space="preserve">Drift at 58, delta x 58 (points a year)</t>
  </si>
  <si>
    <t xml:space="preserve">Price of a point at 58</t>
  </si>
  <si>
    <t xml:space="preserve">Cost of the drift, drift x price (a year)</t>
  </si>
  <si>
    <t xml:space="preserve">Equals -rho V(58)</t>
  </si>
  <si>
    <t xml:space="preserve">Hiring's coefficient in the Hamiltonian, V'(58) - k</t>
  </si>
  <si>
    <t xml:space="preserve">Negative: hire nothing</t>
  </si>
  <si>
    <t xml:space="preserve">PMP-HJB comparison: Chapter 6's costate m(0) e^((rho + delta) t) against the value's slope at c(t)</t>
  </si>
  <si>
    <t xml:space="preserve">Years</t>
  </si>
  <si>
    <t xml:space="preserve">Drift from 58: c(t)</t>
  </si>
  <si>
    <t xml:space="preserve">Costate</t>
  </si>
  <si>
    <t xml:space="preserve">Slope V'(c(t))</t>
  </si>
  <si>
    <t xml:space="preserve">Gap</t>
  </si>
  <si>
    <t xml:space="preserve">Race from 53: c(t)</t>
  </si>
  <si>
    <t xml:space="preserve">The drift from 58 reaches the floor after 0.524 years, the race from 53 after 0.429: the table stops before either arrives. Along both the costate and the value's slope agree (Theorem 8.1(iii)).</t>
  </si>
  <si>
    <t xml:space="preserve">Solve on a grid: the upwind scheme's values on grids of 1 to 1/16 point, against the closed form (Proposition 8.4; Figure 8.1; AXIOM Lab 2.8, step 5)</t>
  </si>
  <si>
    <t xml:space="preserve">For the rule policy iteration converges to (race from the never-start edge, hold the floor, drift above it) the upwind equations solve level by level: racing, V_j = (-(k u bar + D) + (f/h) V_j+1)/(rho + f/h), f = u bar - delta c, from the floor down, and no lower than -D/rho; drifting, V_j = (|f|/h) V_j-1/(rho + |f|/h), |f| = delta c, from the floor up. Policy-iteration steps are the engine's.</t>
  </si>
  <si>
    <t xml:space="preserve">Grid of 1 point</t>
  </si>
  <si>
    <t xml:space="preserve">Grid of 1/2 point</t>
  </si>
  <si>
    <t xml:space="preserve">Grid of 1/4 point</t>
  </si>
  <si>
    <t xml:space="preserve">Grid of 1/8 point</t>
  </si>
  <si>
    <t xml:space="preserve">Grid of 1/16 point</t>
  </si>
  <si>
    <t xml:space="preserve">Spacing h</t>
  </si>
  <si>
    <t xml:space="preserve">Levels</t>
  </si>
  <si>
    <t xml:space="preserve">Policy-iteration steps (engine)</t>
  </si>
  <si>
    <t xml:space="preserve">V(45)</t>
  </si>
  <si>
    <t xml:space="preserve">V(53)</t>
  </si>
  <si>
    <t xml:space="preserve">V(55)</t>
  </si>
  <si>
    <t xml:space="preserve">V(58)</t>
  </si>
  <si>
    <t xml:space="preserve">Largest error at 45, 53, 55, 58</t>
  </si>
  <si>
    <t xml:space="preserve">Largest error over all levels</t>
  </si>
  <si>
    <t xml:space="preserve">at the level</t>
  </si>
  <si>
    <t xml:space="preserve">The race starts from</t>
  </si>
  <si>
    <t xml:space="preserve">Price just below the floor</t>
  </si>
  <si>
    <t xml:space="preserve">Price just above the floor</t>
  </si>
  <si>
    <t xml:space="preserve">c</t>
  </si>
  <si>
    <t xml:space="preserve">Drift f</t>
  </si>
  <si>
    <t xml:space="preserve">V, racing</t>
  </si>
  <si>
    <t xml:space="preserve">V, scheme</t>
  </si>
  <si>
    <t xml:space="preserve">Closed form</t>
  </si>
  <si>
    <t xml:space="preserve">|Error|</t>
  </si>
  <si>
    <t xml:space="preserve">Checkpoint</t>
  </si>
  <si>
    <t xml:space="preserve">Engine value</t>
  </si>
  <si>
    <t xml:space="preserve">Meaning (where in the book)</t>
  </si>
  <si>
    <t xml:space="preserve">Riccati root p</t>
  </si>
  <si>
    <t xml:space="preserve">Online Appendix 8.B.1: 0.00090372</t>
  </si>
  <si>
    <t xml:space="preserve">-0.00122948: fails the limit condition</t>
  </si>
  <si>
    <t xml:space="preserve">Gain K, a year</t>
  </si>
  <si>
    <t xml:space="preserve">Worked Example 8.1, Step 2: 4.34</t>
  </si>
  <si>
    <t xml:space="preserve">Half-life of the gap, months</t>
  </si>
  <si>
    <t xml:space="preserve">Least cost without the delay</t>
  </si>
  <si>
    <t xml:space="preserve">Price of an engineer of gap at 100 short</t>
  </si>
  <si>
    <t xml:space="preserve">Second root: its closed loop grows at</t>
  </si>
  <si>
    <t xml:space="preserve">3.119 a year</t>
  </si>
  <si>
    <t xml:space="preserve">Residual of $0.1m a year: values within</t>
  </si>
  <si>
    <t xml:space="preserve">Section 8.3: $1.05 million</t>
  </si>
  <si>
    <t xml:space="preserve">Policy iteration: first improved gain</t>
  </si>
  <si>
    <t xml:space="preserve">5.32</t>
  </si>
  <si>
    <t xml:space="preserve">Policy iteration: second improved gain</t>
  </si>
  <si>
    <t xml:space="preserve">4.42</t>
  </si>
  <si>
    <t xml:space="preserve">Policy iteration: third improved gain</t>
  </si>
  <si>
    <t xml:space="preserve">4.338</t>
  </si>
  <si>
    <t xml:space="preserve">Policy iteration: cost of the first improved rule</t>
  </si>
  <si>
    <t xml:space="preserve">$9.20 million</t>
  </si>
  <si>
    <t xml:space="preserve">Policy iteration: cost of the third improved rule</t>
  </si>
  <si>
    <t xml:space="preserve">$9.037 million, within a dollar of the best</t>
  </si>
  <si>
    <t xml:space="preserve">q' = q e^(-rho/4)</t>
  </si>
  <si>
    <t xml:space="preserve">0.00312465</t>
  </si>
  <si>
    <t xml:space="preserve">Gain K' on the predicted gap</t>
  </si>
  <si>
    <t xml:space="preserve">4.28 a year</t>
  </si>
  <si>
    <t xml:space="preserve">First quarter's cost</t>
  </si>
  <si>
    <t xml:space="preserve">$7.13 million</t>
  </si>
  <si>
    <t xml:space="preserve">$7.22 million</t>
  </si>
  <si>
    <t xml:space="preserve">Table 8.3: 14.35</t>
  </si>
  <si>
    <t xml:space="preserve">Gap after a year, best rule</t>
  </si>
  <si>
    <t xml:space="preserve">-10</t>
  </si>
  <si>
    <t xml:space="preserve">Price of an engineer with the delay</t>
  </si>
  <si>
    <t xml:space="preserve">$287,000</t>
  </si>
  <si>
    <t xml:space="preserve">Least cost if approvals land in a month</t>
  </si>
  <si>
    <t xml:space="preserve">$10.95 million</t>
  </si>
  <si>
    <t xml:space="preserve">Least cost if they land in half a year</t>
  </si>
  <si>
    <t xml:space="preserve">$18.54 million</t>
  </si>
  <si>
    <t xml:space="preserve">A quarter to a month saves</t>
  </si>
  <si>
    <t xml:space="preserve">$3.40 million</t>
  </si>
  <si>
    <t xml:space="preserve">Best gain on today's gap, cost at once</t>
  </si>
  <si>
    <t xml:space="preserve">Table 8.3: 10.14</t>
  </si>
  <si>
    <t xml:space="preserve">Cautious gain, cost at once</t>
  </si>
  <si>
    <t xml:space="preserve">11.08</t>
  </si>
  <si>
    <t xml:space="preserve">Deadbeat gain, cost at once</t>
  </si>
  <si>
    <t xml:space="preserve">9.46</t>
  </si>
  <si>
    <t xml:space="preserve">At once the cautious gain is above the best by</t>
  </si>
  <si>
    <t xml:space="preserve">Step 4: $2.05 million</t>
  </si>
  <si>
    <t xml:space="preserve">Best gain on today's gap: extra cost</t>
  </si>
  <si>
    <t xml:space="preserve">Table 8.3: 0.23</t>
  </si>
  <si>
    <t xml:space="preserve">Cautious gain: extra cost</t>
  </si>
  <si>
    <t xml:space="preserve">Table 8.3: 0.49</t>
  </si>
  <si>
    <t xml:space="preserve">Critical gain on today's gap, a year</t>
  </si>
  <si>
    <t xml:space="preserve">10.92 (2.73 a quarter)</t>
  </si>
  <si>
    <t xml:space="preserve">Period of the swings at it, years</t>
  </si>
  <si>
    <t xml:space="preserve">0.96</t>
  </si>
  <si>
    <t xml:space="preserve">Gap cost doubled: gain at once</t>
  </si>
  <si>
    <t xml:space="preserve">6.416</t>
  </si>
  <si>
    <t xml:space="preserve">Gap cost doubled: gain K'</t>
  </si>
  <si>
    <t xml:space="preserve">6.33</t>
  </si>
  <si>
    <t xml:space="preserve">Gap cost doubled: least cost with the delay</t>
  </si>
  <si>
    <t xml:space="preserve">$24.95 million</t>
  </si>
  <si>
    <t xml:space="preserve">Gap cost halved: least cost with the delay</t>
  </si>
  <si>
    <t xml:space="preserve">$8.36 million</t>
  </si>
  <si>
    <t xml:space="preserve">Premium doubled: least cost with the delay</t>
  </si>
  <si>
    <t xml:space="preserve">$16.71 million</t>
  </si>
  <si>
    <t xml:space="preserve">Premium halved: least cost with the delay</t>
  </si>
  <si>
    <t xml:space="preserve">$12.47 million</t>
  </si>
  <si>
    <t xml:space="preserve">Half a year's delay: gain of the rule built for it</t>
  </si>
  <si>
    <t xml:space="preserve">Half a year's delay: least cost</t>
  </si>
  <si>
    <t xml:space="preserve">Productivity 30%: redesigned gain</t>
  </si>
  <si>
    <t xml:space="preserve">Productivity 30%: redesigned least cost</t>
  </si>
  <si>
    <t xml:space="preserve">19.534</t>
  </si>
  <si>
    <t xml:space="preserve">Chapter 6: V(45)</t>
  </si>
  <si>
    <t xml:space="preserve">Online Appendix 8.B.2: -324.455</t>
  </si>
  <si>
    <t xml:space="preserve">Chapter 6: V(53)</t>
  </si>
  <si>
    <t xml:space="preserve">-254.892</t>
  </si>
  <si>
    <t xml:space="preserve">Chapter 6: V(55)</t>
  </si>
  <si>
    <t xml:space="preserve">-233.760</t>
  </si>
  <si>
    <t xml:space="preserve">Chapter 6: V(58)</t>
  </si>
  <si>
    <t xml:space="preserve">-222.363</t>
  </si>
  <si>
    <t xml:space="preserve">Never-start threshold</t>
  </si>
  <si>
    <t xml:space="preserve">43.45</t>
  </si>
  <si>
    <t xml:space="preserve">Price just above the threshold</t>
  </si>
  <si>
    <t xml:space="preserve">Section 8.4: $7.07 million</t>
  </si>
  <si>
    <t xml:space="preserve">$11.02 million</t>
  </si>
  <si>
    <t xml:space="preserve">Rent on the floor</t>
  </si>
  <si>
    <t xml:space="preserve">$22.28 million a year</t>
  </si>
  <si>
    <t xml:space="preserve">Holding at the threshold, a year</t>
  </si>
  <si>
    <t xml:space="preserve">$49.6 million</t>
  </si>
  <si>
    <t xml:space="preserve">-21.193</t>
  </si>
  <si>
    <t xml:space="preserve">HJB at 58: drift, points a year</t>
  </si>
  <si>
    <t xml:space="preserve">5.8737</t>
  </si>
  <si>
    <t xml:space="preserve">HJB at 58: price of a point</t>
  </si>
  <si>
    <t xml:space="preserve">3.6082</t>
  </si>
  <si>
    <t xml:space="preserve">Scheme, grid 1: V(53)</t>
  </si>
  <si>
    <t xml:space="preserve">-254.464</t>
  </si>
  <si>
    <t xml:space="preserve">Scheme, grid 1: largest error at the four levels</t>
  </si>
  <si>
    <t xml:space="preserve">1.5825</t>
  </si>
  <si>
    <t xml:space="preserve">Scheme, grid 1: largest error over all levels</t>
  </si>
  <si>
    <t xml:space="preserve">1.681, at 44</t>
  </si>
  <si>
    <t xml:space="preserve">Scheme, grid 1: the race starts from</t>
  </si>
  <si>
    <t xml:space="preserve">44</t>
  </si>
  <si>
    <t xml:space="preserve">Scheme, grid 1/2: largest error over all levels</t>
  </si>
  <si>
    <t xml:space="preserve">0.871</t>
  </si>
  <si>
    <t xml:space="preserve">Scheme, grid 1/4: largest error over all levels</t>
  </si>
  <si>
    <t xml:space="preserve">0.438</t>
  </si>
  <si>
    <t xml:space="preserve">Scheme, grid 1/8: largest error over all levels</t>
  </si>
  <si>
    <t xml:space="preserve">0.219</t>
  </si>
  <si>
    <t xml:space="preserve">Scheme, grid 1/16: largest error over all levels</t>
  </si>
  <si>
    <t xml:space="preserve">Figure 8.1(b): 0.11</t>
  </si>
  <si>
    <t xml:space="preserve">Scheme, grid 1/16: V(58)</t>
  </si>
  <si>
    <t xml:space="preserve">-222.375</t>
  </si>
  <si>
    <t xml:space="preserve">Scheme, grid 1/16: price just below the floor</t>
  </si>
  <si>
    <t xml:space="preserve">10.992</t>
  </si>
  <si>
    <t xml:space="preserve">Scheme, grid 1/16: price just above the floor</t>
  </si>
  <si>
    <t xml:space="preserve">3.991</t>
  </si>
  <si>
    <t xml:space="preserve">Scheme, grid 1/16: the race starts from</t>
  </si>
  <si>
    <t xml:space="preserve">43.4375</t>
  </si>
  <si>
    <t xml:space="preserve">Workbook formula value</t>
  </si>
  <si>
    <t xml:space="preserve">|diff|</t>
  </si>
  <si>
    <t xml:space="preserve">Tolerance</t>
  </si>
  <si>
    <t xml:space="preserve">Status</t>
  </si>
  <si>
    <t xml:space="preserve">All checkpoints</t>
  </si>
</sst>
</file>

<file path=xl/styles.xml><?xml version="1.0" encoding="utf-8"?>
<styleSheet xmlns="http://schemas.openxmlformats.org/spreadsheetml/2006/main">
  <numFmts count="12">
    <numFmt numFmtId="164" formatCode="General"/>
    <numFmt numFmtId="165" formatCode="0.00"/>
    <numFmt numFmtId="166" formatCode="0.000000"/>
    <numFmt numFmtId="167" formatCode="0"/>
    <numFmt numFmtId="168" formatCode="0.0"/>
    <numFmt numFmtId="169" formatCode="0.000"/>
    <numFmt numFmtId="170" formatCode="0.0000"/>
    <numFmt numFmtId="171" formatCode="0.00000000"/>
    <numFmt numFmtId="172" formatCode="0.0000000000"/>
    <numFmt numFmtId="173" formatCode="0.0E+00"/>
    <numFmt numFmtId="174" formatCode="0.000000000"/>
    <numFmt numFmtId="175" formatCode="0.0000000"/>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
      <b val="true"/>
      <sz val="10"/>
      <color rgb="FFFFFFFF"/>
      <name val="Arial"/>
      <family val="0"/>
      <charset val="1"/>
    </font>
    <font>
      <i val="true"/>
      <sz val="9"/>
      <color rgb="FF555555"/>
      <name val="Arial"/>
      <family val="0"/>
      <charset val="1"/>
    </font>
  </fonts>
  <fills count="5">
    <fill>
      <patternFill patternType="none"/>
    </fill>
    <fill>
      <patternFill patternType="gray125"/>
    </fill>
    <fill>
      <patternFill patternType="solid">
        <fgColor rgb="FFFFF3D6"/>
        <bgColor rgb="FFE8F0EC"/>
      </patternFill>
    </fill>
    <fill>
      <patternFill patternType="solid">
        <fgColor rgb="FFE8F0EC"/>
        <bgColor rgb="FFFFF3D6"/>
      </patternFill>
    </fill>
    <fill>
      <patternFill patternType="solid">
        <fgColor rgb="FF0B3D2E"/>
        <bgColor rgb="FF003366"/>
      </patternFill>
    </fill>
  </fills>
  <borders count="2">
    <border diagonalUp="false" diagonalDown="false">
      <left/>
      <right/>
      <top/>
      <bottom/>
      <diagonal/>
    </border>
    <border diagonalUp="false" diagonalDown="false">
      <left/>
      <right/>
      <top/>
      <bottom style="thin">
        <color rgb="FFB4BE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7" fillId="2"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9" fontId="7" fillId="2"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71" fontId="7" fillId="2"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0" fontId="8" fillId="3" borderId="0" xfId="0" applyFont="true" applyBorder="false" applyAlignment="false" applyProtection="false">
      <alignment horizontal="general" vertical="bottom" textRotation="0" wrapText="false" indent="0" shrinkToFit="false"/>
      <protection locked="true" hidden="false"/>
    </xf>
    <xf numFmtId="168" fontId="8" fillId="3"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68" fontId="7" fillId="2"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73" fontId="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ECE"/>
      <rgbColor rgb="FF808080"/>
      <rgbColor rgb="FF9999FF"/>
      <rgbColor rgb="FF993366"/>
      <rgbColor rgb="FFFFF3D6"/>
      <rgbColor rgb="FFE8F0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B3D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5" hidden="false" customHeight="false" outlineLevel="0" collapsed="false">
      <c r="B1" s="1" t="s">
        <v>0</v>
      </c>
    </row>
    <row r="2" customFormat="false" ht="15" hidden="false" customHeight="false" outlineLevel="0" collapsed="false">
      <c r="B2" s="2" t="s">
        <v>1</v>
      </c>
    </row>
    <row r="4" customFormat="false" ht="23.85" hidden="false" customHeight="false" outlineLevel="0" collapsed="false">
      <c r="B4" s="3" t="s">
        <v>2</v>
      </c>
    </row>
    <row r="5" customFormat="false" ht="15" hidden="false" customHeight="false" outlineLevel="0" collapsed="false">
      <c r="B5" s="3" t="s">
        <v>3</v>
      </c>
    </row>
    <row r="6" customFormat="false" ht="23.85" hidden="false" customHeight="false" outlineLevel="0" collapsed="false">
      <c r="B6" s="3" t="s">
        <v>4</v>
      </c>
    </row>
    <row r="7" customFormat="false" ht="15" hidden="false" customHeight="false" outlineLevel="0" collapsed="false">
      <c r="B7" s="3" t="s">
        <v>5</v>
      </c>
    </row>
    <row r="8" customFormat="false" ht="15" hidden="false" customHeight="false" outlineLevel="0" collapsed="false">
      <c r="B8" s="3" t="s">
        <v>6</v>
      </c>
    </row>
    <row r="9" customFormat="false" ht="23.85" hidden="false" customHeight="false" outlineLevel="0" collapsed="false">
      <c r="B9" s="3" t="s">
        <v>7</v>
      </c>
    </row>
    <row r="10" customFormat="false" ht="23.85" hidden="false" customHeight="false" outlineLevel="0" collapsed="false">
      <c r="B10" s="3" t="s">
        <v>8</v>
      </c>
    </row>
    <row r="11" customFormat="false" ht="15" hidden="false" customHeight="false" outlineLevel="0" collapsed="false">
      <c r="B11" s="3" t="s">
        <v>9</v>
      </c>
    </row>
    <row r="12" customFormat="false" ht="15" hidden="false" customHeight="false" outlineLevel="0" collapsed="false">
      <c r="B12" s="3" t="s">
        <v>10</v>
      </c>
    </row>
    <row r="13" customFormat="false" ht="23.85" hidden="false" customHeight="false" outlineLevel="0" collapsed="false">
      <c r="B13" s="3" t="s">
        <v>11</v>
      </c>
    </row>
    <row r="14" customFormat="false" ht="15" hidden="false" customHeight="false" outlineLevel="0" collapsed="false">
      <c r="B14" s="3" t="s">
        <v>12</v>
      </c>
    </row>
    <row r="15" customFormat="false" ht="15" hidden="false" customHeight="false" outlineLevel="0" collapsed="false">
      <c r="B15" s="3" t="s">
        <v>13</v>
      </c>
    </row>
    <row r="17" customFormat="false" ht="15" hidden="false" customHeight="false" outlineLevel="0" collapsed="false">
      <c r="B17" s="4" t="s">
        <v>14</v>
      </c>
    </row>
    <row r="18" customFormat="false" ht="15" hidden="false" customHeight="false" outlineLevel="0" collapsed="false">
      <c r="B18" s="5" t="s">
        <v>15</v>
      </c>
    </row>
    <row r="19" customFormat="false" ht="15" hidden="false" customHeight="false" outlineLevel="0" collapsed="false">
      <c r="B19" s="2" t="s">
        <v>16</v>
      </c>
    </row>
    <row r="20" customFormat="false" ht="15" hidden="false" customHeight="false" outlineLevel="0" collapsed="false">
      <c r="B20" s="6" t="s">
        <v>17</v>
      </c>
    </row>
    <row r="21" customFormat="false" ht="15" hidden="false" customHeight="false" outlineLevel="0" collapsed="false">
      <c r="B21" s="7"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00"/>
  </cols>
  <sheetData>
    <row r="1" customFormat="false" ht="15" hidden="false" customHeight="false" outlineLevel="0" collapsed="false">
      <c r="A1" s="1" t="s">
        <v>19</v>
      </c>
    </row>
    <row r="3" customFormat="false" ht="15" hidden="false" customHeight="false" outlineLevel="0" collapsed="false">
      <c r="A3" s="8" t="s">
        <v>20</v>
      </c>
      <c r="B3" s="8" t="s">
        <v>21</v>
      </c>
      <c r="C3" s="8" t="s">
        <v>22</v>
      </c>
    </row>
    <row r="4" customFormat="false" ht="15" hidden="false" customHeight="false" outlineLevel="0" collapsed="false">
      <c r="A4" s="2" t="s">
        <v>23</v>
      </c>
      <c r="B4" s="9" t="n">
        <v>0.9</v>
      </c>
      <c r="C4" s="10" t="s">
        <v>24</v>
      </c>
    </row>
    <row r="5" customFormat="false" ht="15" hidden="false" customHeight="false" outlineLevel="0" collapsed="false">
      <c r="A5" s="2" t="s">
        <v>25</v>
      </c>
      <c r="B5" s="11" t="n">
        <f aca="false">-4*LN(B4)</f>
        <v>0.421442062631305</v>
      </c>
      <c r="C5" s="10" t="s">
        <v>26</v>
      </c>
    </row>
    <row r="6" customFormat="false" ht="15" hidden="false" customHeight="false" outlineLevel="0" collapsed="false">
      <c r="A6" s="2" t="s">
        <v>27</v>
      </c>
      <c r="B6" s="9" t="n">
        <v>0.6</v>
      </c>
      <c r="C6" s="10" t="s">
        <v>28</v>
      </c>
    </row>
    <row r="7" customFormat="false" ht="15" hidden="false" customHeight="false" outlineLevel="0" collapsed="false">
      <c r="A7" s="2" t="s">
        <v>29</v>
      </c>
      <c r="B7" s="9" t="n">
        <v>0.25</v>
      </c>
      <c r="C7" s="10" t="s">
        <v>30</v>
      </c>
    </row>
    <row r="8" customFormat="false" ht="15" hidden="false" customHeight="false" outlineLevel="0" collapsed="false">
      <c r="A8" s="2" t="s">
        <v>31</v>
      </c>
      <c r="B8" s="9" t="n">
        <v>32</v>
      </c>
      <c r="C8" s="10" t="s">
        <v>32</v>
      </c>
    </row>
    <row r="9" customFormat="false" ht="15" hidden="false" customHeight="false" outlineLevel="0" collapsed="false">
      <c r="A9" s="2" t="s">
        <v>33</v>
      </c>
      <c r="B9" s="11" t="n">
        <f aca="false">B8/100^2</f>
        <v>0.0032</v>
      </c>
      <c r="C9" s="10" t="s">
        <v>34</v>
      </c>
    </row>
    <row r="10" customFormat="false" ht="15" hidden="false" customHeight="false" outlineLevel="0" collapsed="false">
      <c r="A10" s="2" t="s">
        <v>35</v>
      </c>
      <c r="B10" s="9" t="n">
        <v>20</v>
      </c>
      <c r="C10" s="10" t="s">
        <v>36</v>
      </c>
    </row>
    <row r="11" customFormat="false" ht="15" hidden="false" customHeight="false" outlineLevel="0" collapsed="false">
      <c r="A11" s="2" t="s">
        <v>37</v>
      </c>
      <c r="B11" s="11" t="n">
        <f aca="false">B10/400^2</f>
        <v>0.000125</v>
      </c>
      <c r="C11" s="10" t="s">
        <v>38</v>
      </c>
    </row>
    <row r="12" customFormat="false" ht="15" hidden="false" customHeight="false" outlineLevel="0" collapsed="false">
      <c r="A12" s="2" t="s">
        <v>39</v>
      </c>
      <c r="B12" s="9" t="n">
        <v>0.1</v>
      </c>
      <c r="C12" s="10" t="s">
        <v>40</v>
      </c>
    </row>
    <row r="13" customFormat="false" ht="15" hidden="false" customHeight="false" outlineLevel="0" collapsed="false">
      <c r="A13" s="2" t="s">
        <v>41</v>
      </c>
      <c r="B13" s="11" t="n">
        <f aca="false">LN(1+B12)</f>
        <v>0.0953101798043249</v>
      </c>
      <c r="C13" s="10" t="s">
        <v>42</v>
      </c>
    </row>
    <row r="14" customFormat="false" ht="15" hidden="false" customHeight="false" outlineLevel="0" collapsed="false">
      <c r="A14" s="2" t="s">
        <v>43</v>
      </c>
      <c r="B14" s="12" t="n">
        <v>-100</v>
      </c>
      <c r="C14" s="10" t="s">
        <v>44</v>
      </c>
    </row>
    <row r="15" customFormat="false" ht="15" hidden="false" customHeight="false" outlineLevel="0" collapsed="false">
      <c r="A15" s="2" t="s">
        <v>45</v>
      </c>
      <c r="B15" s="9" t="n">
        <v>0.5</v>
      </c>
      <c r="C15" s="10" t="s">
        <v>46</v>
      </c>
    </row>
    <row r="16" customFormat="false" ht="15" hidden="false" customHeight="false" outlineLevel="0" collapsed="false">
      <c r="A16" s="2" t="s">
        <v>47</v>
      </c>
      <c r="B16" s="9" t="n">
        <v>1.5</v>
      </c>
      <c r="C16" s="10" t="s">
        <v>48</v>
      </c>
    </row>
    <row r="17" customFormat="false" ht="15" hidden="false" customHeight="false" outlineLevel="0" collapsed="false">
      <c r="A17" s="2" t="s">
        <v>49</v>
      </c>
      <c r="B17" s="13" t="n">
        <f aca="false">4*B15</f>
        <v>2</v>
      </c>
      <c r="C17" s="10" t="s">
        <v>50</v>
      </c>
    </row>
    <row r="18" customFormat="false" ht="15" hidden="false" customHeight="false" outlineLevel="0" collapsed="false">
      <c r="A18" s="2" t="s">
        <v>51</v>
      </c>
      <c r="B18" s="13" t="n">
        <f aca="false">4*B16</f>
        <v>6</v>
      </c>
    </row>
    <row r="19" customFormat="false" ht="15" hidden="false" customHeight="false" outlineLevel="0" collapsed="false">
      <c r="A19" s="2" t="s">
        <v>52</v>
      </c>
      <c r="B19" s="14" t="n">
        <f aca="false">B9/B11</f>
        <v>25.6</v>
      </c>
      <c r="C19" s="10" t="s">
        <v>53</v>
      </c>
    </row>
    <row r="20" customFormat="false" ht="15" hidden="false" customHeight="false" outlineLevel="0" collapsed="false">
      <c r="A20" s="2" t="s">
        <v>54</v>
      </c>
      <c r="B20" s="15" t="n">
        <f aca="false">B11*400</f>
        <v>0.05</v>
      </c>
      <c r="C20" s="10" t="s">
        <v>55</v>
      </c>
    </row>
    <row r="22" customFormat="false" ht="15" hidden="false" customHeight="false" outlineLevel="0" collapsed="false">
      <c r="A22" s="4" t="s">
        <v>56</v>
      </c>
    </row>
    <row r="23" customFormat="false" ht="15" hidden="false" customHeight="false" outlineLevel="0" collapsed="false">
      <c r="A23" s="2" t="s">
        <v>57</v>
      </c>
      <c r="B23" s="16" t="n">
        <v>0.025</v>
      </c>
      <c r="C23" s="10" t="s">
        <v>58</v>
      </c>
    </row>
    <row r="24" customFormat="false" ht="15" hidden="false" customHeight="false" outlineLevel="0" collapsed="false">
      <c r="A24" s="2" t="s">
        <v>59</v>
      </c>
      <c r="B24" s="11" t="n">
        <f aca="false">-4*LN(1-B23)</f>
        <v>0.10127123193716</v>
      </c>
      <c r="C24" s="10" t="s">
        <v>60</v>
      </c>
    </row>
    <row r="25" customFormat="false" ht="15" hidden="false" customHeight="false" outlineLevel="0" collapsed="false">
      <c r="A25" s="2" t="s">
        <v>61</v>
      </c>
      <c r="B25" s="9" t="n">
        <v>2.5</v>
      </c>
    </row>
    <row r="26" customFormat="false" ht="15" hidden="false" customHeight="false" outlineLevel="0" collapsed="false">
      <c r="A26" s="2" t="s">
        <v>62</v>
      </c>
      <c r="B26" s="13" t="n">
        <f aca="false">B25/B23</f>
        <v>100</v>
      </c>
      <c r="C26" s="10" t="s">
        <v>63</v>
      </c>
    </row>
    <row r="27" customFormat="false" ht="15" hidden="false" customHeight="false" outlineLevel="0" collapsed="false">
      <c r="A27" s="2" t="s">
        <v>64</v>
      </c>
      <c r="B27" s="17" t="n">
        <f aca="false">B26*B24</f>
        <v>10.127123193716</v>
      </c>
      <c r="C27" s="10" t="s">
        <v>65</v>
      </c>
    </row>
    <row r="28" customFormat="false" ht="15" hidden="false" customHeight="false" outlineLevel="0" collapsed="false">
      <c r="A28" s="2" t="s">
        <v>66</v>
      </c>
      <c r="B28" s="9" t="n">
        <v>4</v>
      </c>
      <c r="C28" s="10" t="s">
        <v>67</v>
      </c>
    </row>
    <row r="29" customFormat="false" ht="15" hidden="false" customHeight="false" outlineLevel="0" collapsed="false">
      <c r="A29" s="2" t="s">
        <v>68</v>
      </c>
      <c r="B29" s="9" t="n">
        <v>55</v>
      </c>
      <c r="C29" s="10" t="s">
        <v>69</v>
      </c>
    </row>
    <row r="30" customFormat="false" ht="15" hidden="false" customHeight="false" outlineLevel="0" collapsed="false">
      <c r="A30" s="2" t="s">
        <v>70</v>
      </c>
      <c r="B30" s="9" t="n">
        <v>32</v>
      </c>
      <c r="C30" s="10" t="s">
        <v>71</v>
      </c>
    </row>
    <row r="32" customFormat="false" ht="15" hidden="false" customHeight="false" outlineLevel="0" collapsed="false">
      <c r="A32" s="10"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22"/>
    <col collapsed="false" customWidth="true" hidden="false" outlineLevel="0" max="3" min="3" style="0" width="64"/>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7" min="7" style="0" width="16"/>
    <col collapsed="false" customWidth="true" hidden="false" outlineLevel="0" max="9" min="8" style="0" width="14"/>
  </cols>
  <sheetData>
    <row r="1" customFormat="false" ht="15" hidden="false" customHeight="false" outlineLevel="0" collapsed="false">
      <c r="A1" s="1" t="s">
        <v>73</v>
      </c>
    </row>
    <row r="3" customFormat="false" ht="15" hidden="false" customHeight="false" outlineLevel="0" collapsed="false">
      <c r="A3" s="8" t="s">
        <v>20</v>
      </c>
      <c r="B3" s="8" t="s">
        <v>21</v>
      </c>
      <c r="C3" s="8" t="s">
        <v>74</v>
      </c>
    </row>
    <row r="4" customFormat="false" ht="15" hidden="false" customHeight="false" outlineLevel="0" collapsed="false">
      <c r="A4" s="2" t="s">
        <v>75</v>
      </c>
      <c r="B4" s="14" t="n">
        <f aca="false">B_share^2/R_prem</f>
        <v>2880</v>
      </c>
      <c r="C4" s="10" t="s">
        <v>76</v>
      </c>
    </row>
    <row r="5" customFormat="false" ht="15" hidden="false" customHeight="false" outlineLevel="0" collapsed="false">
      <c r="A5" s="2" t="s">
        <v>77</v>
      </c>
      <c r="B5" s="11" t="n">
        <f aca="false">2*A_close+Rho_a</f>
        <v>0.938194305066935</v>
      </c>
    </row>
    <row r="6" customFormat="false" ht="15" hidden="false" customHeight="false" outlineLevel="0" collapsed="false">
      <c r="A6" s="2" t="s">
        <v>78</v>
      </c>
      <c r="B6" s="11" t="n">
        <f aca="false">-Q_gap</f>
        <v>-0.0032</v>
      </c>
    </row>
    <row r="7" customFormat="false" ht="15" hidden="false" customHeight="false" outlineLevel="0" collapsed="false">
      <c r="A7" s="2" t="s">
        <v>79</v>
      </c>
      <c r="B7" s="18" t="n">
        <f aca="false">(-(B5)+SQRT((B5)^2+4*(B4)*(Q_gap)))/(2*(B4))</f>
        <v>0.000903721742949847</v>
      </c>
      <c r="C7" s="10" t="s">
        <v>80</v>
      </c>
    </row>
    <row r="8" customFormat="false" ht="15" hidden="false" customHeight="false" outlineLevel="0" collapsed="false">
      <c r="A8" s="2" t="s">
        <v>81</v>
      </c>
      <c r="B8" s="18" t="n">
        <f aca="false">(-B5-SQRT(B5^2+4*B4*Q_gap))/(2*B4)</f>
        <v>-0.00122948365443142</v>
      </c>
      <c r="C8" s="10" t="s">
        <v>82</v>
      </c>
    </row>
    <row r="9" customFormat="false" ht="15" hidden="false" customHeight="false" outlineLevel="0" collapsed="false">
      <c r="A9" s="2" t="s">
        <v>83</v>
      </c>
      <c r="B9" s="17" t="n">
        <f aca="false">B_share*B7/R_prem</f>
        <v>4.33786436615926</v>
      </c>
      <c r="C9" s="10" t="s">
        <v>84</v>
      </c>
    </row>
    <row r="10" customFormat="false" ht="15" hidden="false" customHeight="false" outlineLevel="0" collapsed="false">
      <c r="A10" s="2" t="s">
        <v>85</v>
      </c>
      <c r="B10" s="17" t="n">
        <f aca="false">B9/4</f>
        <v>1.08446609153982</v>
      </c>
      <c r="C10" s="10" t="s">
        <v>86</v>
      </c>
    </row>
    <row r="11" customFormat="false" ht="15" hidden="false" customHeight="false" outlineLevel="0" collapsed="false">
      <c r="A11" s="2" t="s">
        <v>87</v>
      </c>
      <c r="B11" s="17" t="n">
        <f aca="false">A_close+B_share*B9</f>
        <v>3.02416068232686</v>
      </c>
    </row>
    <row r="12" customFormat="false" ht="15" hidden="false" customHeight="false" outlineLevel="0" collapsed="false">
      <c r="A12" s="2" t="s">
        <v>88</v>
      </c>
      <c r="B12" s="17" t="n">
        <f aca="false">LN(2)/B11</f>
        <v>0.229203158618748</v>
      </c>
    </row>
    <row r="13" customFormat="false" ht="15" hidden="false" customHeight="false" outlineLevel="0" collapsed="false">
      <c r="A13" s="2" t="s">
        <v>89</v>
      </c>
      <c r="B13" s="13" t="n">
        <f aca="false">12*B12</f>
        <v>2.75043790342498</v>
      </c>
      <c r="C13" s="10" t="s">
        <v>90</v>
      </c>
    </row>
    <row r="14" customFormat="false" ht="15" hidden="false" customHeight="false" outlineLevel="0" collapsed="false">
      <c r="A14" s="2" t="s">
        <v>91</v>
      </c>
      <c r="B14" s="15" t="n">
        <f aca="false">B7*D0_gap^2</f>
        <v>9.03721742949847</v>
      </c>
      <c r="C14" s="10" t="s">
        <v>92</v>
      </c>
    </row>
    <row r="15" customFormat="false" ht="15" hidden="false" customHeight="false" outlineLevel="0" collapsed="false">
      <c r="A15" s="2" t="s">
        <v>93</v>
      </c>
      <c r="B15" s="17" t="n">
        <f aca="false">2*B7*ABS(D0_gap)</f>
        <v>0.180744348589969</v>
      </c>
      <c r="C15" s="10" t="s">
        <v>94</v>
      </c>
    </row>
    <row r="16" customFormat="false" ht="15" hidden="false" customHeight="false" outlineLevel="0" collapsed="false">
      <c r="A16" s="2" t="s">
        <v>95</v>
      </c>
      <c r="B16" s="14" t="n">
        <f aca="false">B9*ABS(D0_gap)</f>
        <v>433.786436615926</v>
      </c>
    </row>
    <row r="17" customFormat="false" ht="15" hidden="false" customHeight="false" outlineLevel="0" collapsed="false">
      <c r="A17" s="2" t="s">
        <v>96</v>
      </c>
      <c r="B17" s="17" t="n">
        <f aca="false">2*R_prem*B16</f>
        <v>0.108446609153982</v>
      </c>
      <c r="C17" s="10" t="s">
        <v>97</v>
      </c>
    </row>
    <row r="18" customFormat="false" ht="15" hidden="false" customHeight="false" outlineLevel="0" collapsed="false">
      <c r="A18" s="2" t="s">
        <v>98</v>
      </c>
      <c r="B18" s="17" t="n">
        <f aca="false">B_share*B15</f>
        <v>0.108446609153982</v>
      </c>
      <c r="C18" s="10" t="s">
        <v>99</v>
      </c>
    </row>
    <row r="19" customFormat="false" ht="15" hidden="false" customHeight="false" outlineLevel="0" collapsed="false">
      <c r="A19" s="2" t="s">
        <v>100</v>
      </c>
      <c r="B19" s="17" t="n">
        <f aca="false">B_share*B8/R_prem</f>
        <v>-5.90152154127082</v>
      </c>
      <c r="C19" s="10" t="s">
        <v>101</v>
      </c>
    </row>
    <row r="20" customFormat="false" ht="15" hidden="false" customHeight="false" outlineLevel="0" collapsed="false">
      <c r="A20" s="2" t="s">
        <v>102</v>
      </c>
      <c r="B20" s="19" t="n">
        <f aca="false">-B19*ABS(D0_gap)</f>
        <v>590.152154127082</v>
      </c>
      <c r="C20" s="10" t="s">
        <v>103</v>
      </c>
    </row>
    <row r="21" customFormat="false" ht="15" hidden="false" customHeight="false" outlineLevel="0" collapsed="false">
      <c r="A21" s="2" t="s">
        <v>104</v>
      </c>
      <c r="B21" s="15" t="n">
        <f aca="false">-A_close-B_share*B19</f>
        <v>3.11947086213119</v>
      </c>
      <c r="C21" s="10" t="s">
        <v>105</v>
      </c>
    </row>
    <row r="22" customFormat="false" ht="15" hidden="false" customHeight="false" outlineLevel="0" collapsed="false">
      <c r="A22" s="2" t="s">
        <v>106</v>
      </c>
      <c r="B22" s="14" t="n">
        <f aca="false">1/Rho_a</f>
        <v>10.4920586872571</v>
      </c>
      <c r="C22" s="10" t="s">
        <v>107</v>
      </c>
    </row>
    <row r="23" customFormat="false" ht="15" hidden="false" customHeight="false" outlineLevel="0" collapsed="false">
      <c r="A23" s="2" t="s">
        <v>108</v>
      </c>
      <c r="B23" s="13" t="n">
        <f aca="false">0.1/Rho_a</f>
        <v>1.04920586872571</v>
      </c>
      <c r="C23" s="10" t="s">
        <v>109</v>
      </c>
    </row>
    <row r="25" customFormat="false" ht="15" hidden="false" customHeight="false" outlineLevel="0" collapsed="false">
      <c r="A25" s="4" t="s">
        <v>110</v>
      </c>
    </row>
    <row r="26" customFormat="false" ht="23.85" hidden="false" customHeight="false" outlineLevel="0" collapsed="false">
      <c r="A26" s="8" t="s">
        <v>111</v>
      </c>
      <c r="B26" s="8" t="s">
        <v>112</v>
      </c>
      <c r="C26" s="8" t="s">
        <v>113</v>
      </c>
      <c r="D26" s="8" t="s">
        <v>114</v>
      </c>
      <c r="E26" s="8" t="s">
        <v>115</v>
      </c>
      <c r="F26" s="8" t="s">
        <v>116</v>
      </c>
      <c r="G26" s="8" t="s">
        <v>117</v>
      </c>
      <c r="H26" s="8" t="s">
        <v>118</v>
      </c>
      <c r="I26" s="8" t="s">
        <v>119</v>
      </c>
    </row>
    <row r="27" customFormat="false" ht="15" hidden="false" customHeight="false" outlineLevel="0" collapsed="false">
      <c r="A27" s="20" t="n">
        <v>0.0005</v>
      </c>
      <c r="B27" s="18" t="n">
        <f aca="false">$B$4*A27^2+$B$5*A27+$B$6</f>
        <v>-0.00201090284746653</v>
      </c>
      <c r="C27" s="17" t="n">
        <f aca="false">D0_gap^2*ABS(B27)</f>
        <v>20.1090284746653</v>
      </c>
      <c r="D27" s="17" t="n">
        <f aca="false">C27/Rho_a</f>
        <v>210.985106899912</v>
      </c>
      <c r="E27" s="17" t="n">
        <f aca="false">ABS(A27-$B$7)*D0_gap^2</f>
        <v>4.03721742949847</v>
      </c>
      <c r="F27" s="17" t="n">
        <f aca="false">B_share*A27/R_prem</f>
        <v>2.4</v>
      </c>
      <c r="G27" s="17" t="n">
        <f aca="false">(Q_gap+R_prem*F27^2)*D0_gap^2/(2*(A_close+B_share*F27)+Rho_a)</f>
        <v>10.2666330909298</v>
      </c>
      <c r="H27" s="17" t="n">
        <f aca="false">G27-$B$14</f>
        <v>1.22941566143136</v>
      </c>
      <c r="I27" s="17" t="n">
        <f aca="false">2*C27/Rho_a</f>
        <v>421.970213799824</v>
      </c>
    </row>
    <row r="28" customFormat="false" ht="15" hidden="false" customHeight="false" outlineLevel="0" collapsed="false">
      <c r="A28" s="20" t="n">
        <v>0.0008</v>
      </c>
      <c r="B28" s="18" t="n">
        <f aca="false">$B$4*A28^2+$B$5*A28+$B$6</f>
        <v>-0.000606244555946452</v>
      </c>
      <c r="C28" s="17" t="n">
        <f aca="false">D0_gap^2*ABS(B28)</f>
        <v>6.06244555946452</v>
      </c>
      <c r="D28" s="17" t="n">
        <f aca="false">C28/Rho_a</f>
        <v>63.6075345982027</v>
      </c>
      <c r="E28" s="17" t="n">
        <f aca="false">ABS(A28-$B$7)*D0_gap^2</f>
        <v>1.03721742949847</v>
      </c>
      <c r="F28" s="17" t="n">
        <f aca="false">B_share*A28/R_prem</f>
        <v>3.84</v>
      </c>
      <c r="G28" s="17" t="n">
        <f aca="false">(Q_gap+R_prem*F28^2)*D0_gap^2/(2*(A_close+B_share*F28)+Rho_a)</f>
        <v>9.09308207141714</v>
      </c>
      <c r="H28" s="17" t="n">
        <f aca="false">G28-$B$14</f>
        <v>0.0558646419186761</v>
      </c>
      <c r="I28" s="17" t="n">
        <f aca="false">2*C28/Rho_a</f>
        <v>127.215069196405</v>
      </c>
    </row>
    <row r="29" customFormat="false" ht="15" hidden="false" customHeight="false" outlineLevel="0" collapsed="false">
      <c r="A29" s="20" t="n">
        <v>0.0009</v>
      </c>
      <c r="B29" s="18" t="n">
        <f aca="false">$B$4*A29^2+$B$5*A29+$B$6</f>
        <v>-2.28251254397586E-005</v>
      </c>
      <c r="C29" s="17" t="n">
        <f aca="false">D0_gap^2*ABS(B29)</f>
        <v>0.228251254397586</v>
      </c>
      <c r="D29" s="17" t="n">
        <f aca="false">C29/Rho_a</f>
        <v>2.39482555657951</v>
      </c>
      <c r="E29" s="17" t="n">
        <f aca="false">ABS(A29-$B$7)*D0_gap^2</f>
        <v>0.0372174294984676</v>
      </c>
      <c r="F29" s="17" t="n">
        <f aca="false">B_share*A29/R_prem</f>
        <v>4.32</v>
      </c>
      <c r="G29" s="17" t="n">
        <f aca="false">(Q_gap+R_prem*F29^2)*D0_gap^2/(2*(A_close+B_share*F29)+Rho_a)</f>
        <v>9.03728258905613</v>
      </c>
      <c r="H29" s="17" t="n">
        <f aca="false">G29-$B$14</f>
        <v>6.51595576641739E-005</v>
      </c>
      <c r="I29" s="17" t="n">
        <f aca="false">2*C29/Rho_a</f>
        <v>4.78965111315903</v>
      </c>
    </row>
    <row r="30" customFormat="false" ht="15" hidden="false" customHeight="false" outlineLevel="0" collapsed="false">
      <c r="A30" s="18" t="n">
        <f aca="false">B7</f>
        <v>0.000903721742949847</v>
      </c>
      <c r="B30" s="18" t="n">
        <f aca="false">$B$4*A30^2+$B$5*A30+$B$6</f>
        <v>0</v>
      </c>
      <c r="C30" s="17" t="n">
        <f aca="false">D0_gap^2*ABS(B30)</f>
        <v>0</v>
      </c>
      <c r="D30" s="17" t="n">
        <f aca="false">C30/Rho_a</f>
        <v>0</v>
      </c>
      <c r="E30" s="17" t="n">
        <f aca="false">ABS(A30-$B$7)*D0_gap^2</f>
        <v>0</v>
      </c>
      <c r="F30" s="17" t="n">
        <f aca="false">B_share*A30/R_prem</f>
        <v>4.33786436615926</v>
      </c>
      <c r="G30" s="17" t="n">
        <f aca="false">(Q_gap+R_prem*F30^2)*D0_gap^2/(2*(A_close+B_share*F30)+Rho_a)</f>
        <v>9.03721742949847</v>
      </c>
      <c r="H30" s="17" t="n">
        <f aca="false">G30-$B$14</f>
        <v>0</v>
      </c>
      <c r="I30" s="17" t="n">
        <f aca="false">2*C30/Rho_a</f>
        <v>0</v>
      </c>
    </row>
    <row r="31" customFormat="false" ht="15" hidden="false" customHeight="false" outlineLevel="0" collapsed="false">
      <c r="A31" s="20" t="n">
        <v>0.001</v>
      </c>
      <c r="B31" s="18" t="n">
        <f aca="false">$B$4*A31^2+$B$5*A31+$B$6</f>
        <v>0.000618194305066935</v>
      </c>
      <c r="C31" s="17" t="n">
        <f aca="false">D0_gap^2*ABS(B31)</f>
        <v>6.18194305066935</v>
      </c>
      <c r="D31" s="17" t="n">
        <f aca="false">C31/Rho_a</f>
        <v>64.8613092889037</v>
      </c>
      <c r="E31" s="17" t="n">
        <f aca="false">ABS(A31-$B$7)*D0_gap^2</f>
        <v>0.962782570501533</v>
      </c>
      <c r="F31" s="17" t="n">
        <f aca="false">B_share*A31/R_prem</f>
        <v>4.8</v>
      </c>
      <c r="G31" s="17" t="n">
        <f aca="false">(Q_gap+R_prem*F31^2)*D0_gap^2/(2*(A_close+B_share*F31)+Rho_a)</f>
        <v>9.07707319777318</v>
      </c>
      <c r="H31" s="17" t="n">
        <f aca="false">G31-$B$14</f>
        <v>0.0398557682747089</v>
      </c>
      <c r="I31" s="17" t="n">
        <f aca="false">2*C31/Rho_a</f>
        <v>129.722618577807</v>
      </c>
    </row>
    <row r="32" customFormat="false" ht="15" hidden="false" customHeight="false" outlineLevel="0" collapsed="false">
      <c r="A32" s="20" t="n">
        <v>0.0012</v>
      </c>
      <c r="B32" s="18" t="n">
        <f aca="false">$B$4*A32^2+$B$5*A32+$B$6</f>
        <v>0.00207303316608032</v>
      </c>
      <c r="C32" s="17" t="n">
        <f aca="false">D0_gap^2*ABS(B32)</f>
        <v>20.7303316608032</v>
      </c>
      <c r="D32" s="17" t="n">
        <f aca="false">C32/Rho_a</f>
        <v>217.50385639145</v>
      </c>
      <c r="E32" s="17" t="n">
        <f aca="false">ABS(A32-$B$7)*D0_gap^2</f>
        <v>2.96278257050153</v>
      </c>
      <c r="F32" s="17" t="n">
        <f aca="false">B_share*A32/R_prem</f>
        <v>5.76</v>
      </c>
      <c r="G32" s="17" t="n">
        <f aca="false">(Q_gap+R_prem*F32^2)*D0_gap^2/(2*(A_close+B_share*F32)+Rho_a)</f>
        <v>9.35925878326059</v>
      </c>
      <c r="H32" s="17" t="n">
        <f aca="false">G32-$B$14</f>
        <v>0.322041353762126</v>
      </c>
      <c r="I32" s="17" t="n">
        <f aca="false">2*C32/Rho_a</f>
        <v>435.007712782901</v>
      </c>
    </row>
    <row r="34" customFormat="false" ht="15" hidden="false" customHeight="false" outlineLevel="0" collapsed="false">
      <c r="A34" s="10" t="s">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6"/>
    <col collapsed="false" customWidth="true" hidden="false" outlineLevel="0" max="4" min="3" style="0" width="14"/>
  </cols>
  <sheetData>
    <row r="1" customFormat="false" ht="15" hidden="false" customHeight="false" outlineLevel="0" collapsed="false">
      <c r="A1" s="1" t="s">
        <v>121</v>
      </c>
    </row>
    <row r="2" customFormat="false" ht="15" hidden="false" customHeight="false" outlineLevel="0" collapsed="false">
      <c r="A2" s="10" t="s">
        <v>122</v>
      </c>
    </row>
    <row r="4" customFormat="false" ht="15" hidden="false" customHeight="false" outlineLevel="0" collapsed="false">
      <c r="A4" s="2" t="s">
        <v>123</v>
      </c>
      <c r="B4" s="12" t="n">
        <v>-100</v>
      </c>
      <c r="C4" s="12" t="n">
        <v>-50</v>
      </c>
      <c r="D4" s="12" t="n">
        <v>-25</v>
      </c>
    </row>
    <row r="5" customFormat="false" ht="15" hidden="false" customHeight="false" outlineLevel="0" collapsed="false">
      <c r="A5" s="2" t="s">
        <v>124</v>
      </c>
      <c r="B5" s="17" t="n">
        <f aca="false">-2*Riccati!$B$7*B4</f>
        <v>0.180744348589969</v>
      </c>
      <c r="C5" s="17" t="n">
        <f aca="false">-2*Riccati!$B$7*C4</f>
        <v>0.0903721742949847</v>
      </c>
      <c r="D5" s="17" t="n">
        <f aca="false">-2*Riccati!$B$7*D4</f>
        <v>0.0451860871474923</v>
      </c>
    </row>
    <row r="6" customFormat="false" ht="15" hidden="false" customHeight="false" outlineLevel="0" collapsed="false">
      <c r="A6" s="2" t="s">
        <v>125</v>
      </c>
      <c r="B6" s="14" t="n">
        <f aca="false">B_share*B5/(2*R_prem)</f>
        <v>433.786436615926</v>
      </c>
      <c r="C6" s="14" t="n">
        <f aca="false">B_share*C5/(2*R_prem)</f>
        <v>216.893218307963</v>
      </c>
      <c r="D6" s="14" t="n">
        <f aca="false">B_share*D5/(2*R_prem)</f>
        <v>108.446609153982</v>
      </c>
    </row>
    <row r="7" customFormat="false" ht="15" hidden="false" customHeight="false" outlineLevel="0" collapsed="false">
      <c r="A7" s="2" t="s">
        <v>126</v>
      </c>
      <c r="B7" s="17" t="n">
        <f aca="false">2*R_prem*B6</f>
        <v>0.108446609153982</v>
      </c>
      <c r="C7" s="17" t="n">
        <f aca="false">2*R_prem*C6</f>
        <v>0.0542233045769908</v>
      </c>
      <c r="D7" s="17" t="n">
        <f aca="false">2*R_prem*D6</f>
        <v>0.0271116522884954</v>
      </c>
    </row>
    <row r="8" customFormat="false" ht="15" hidden="false" customHeight="false" outlineLevel="0" collapsed="false">
      <c r="A8" s="2" t="s">
        <v>127</v>
      </c>
      <c r="B8" s="17" t="n">
        <f aca="false">B_share*B5</f>
        <v>0.108446609153982</v>
      </c>
      <c r="C8" s="17" t="n">
        <f aca="false">B_share*C5</f>
        <v>0.0542233045769908</v>
      </c>
      <c r="D8" s="17" t="n">
        <f aca="false">B_share*D5</f>
        <v>0.0271116522884954</v>
      </c>
    </row>
    <row r="10" customFormat="false" ht="15" hidden="false" customHeight="false" outlineLevel="0" collapsed="false">
      <c r="A10" s="8" t="s">
        <v>128</v>
      </c>
      <c r="B10" s="8" t="s">
        <v>129</v>
      </c>
      <c r="C10" s="8" t="s">
        <v>130</v>
      </c>
      <c r="D10" s="8" t="s">
        <v>131</v>
      </c>
    </row>
    <row r="11" customFormat="false" ht="15" hidden="false" customHeight="false" outlineLevel="0" collapsed="false">
      <c r="A11" s="19" t="n">
        <v>0</v>
      </c>
      <c r="B11" s="15" t="n">
        <f aca="false">-R_prem*$A11^2+B$8*$A11</f>
        <v>0</v>
      </c>
      <c r="C11" s="15" t="n">
        <f aca="false">-R_prem*$A11^2+C$8*$A11</f>
        <v>0</v>
      </c>
      <c r="D11" s="15" t="n">
        <f aca="false">-R_prem*$A11^2+D$8*$A11</f>
        <v>0</v>
      </c>
    </row>
    <row r="12" customFormat="false" ht="15" hidden="false" customHeight="false" outlineLevel="0" collapsed="false">
      <c r="A12" s="19" t="n">
        <v>10</v>
      </c>
      <c r="B12" s="15" t="n">
        <f aca="false">-R_prem*$A12^2+B$8*$A12</f>
        <v>1.07196609153982</v>
      </c>
      <c r="C12" s="15" t="n">
        <f aca="false">-R_prem*$A12^2+C$8*$A12</f>
        <v>0.529733045769908</v>
      </c>
      <c r="D12" s="15" t="n">
        <f aca="false">-R_prem*$A12^2+D$8*$A12</f>
        <v>0.258616522884954</v>
      </c>
    </row>
    <row r="13" customFormat="false" ht="15" hidden="false" customHeight="false" outlineLevel="0" collapsed="false">
      <c r="A13" s="19" t="n">
        <v>20</v>
      </c>
      <c r="B13" s="15" t="n">
        <f aca="false">-R_prem*$A13^2+B$8*$A13</f>
        <v>2.11893218307963</v>
      </c>
      <c r="C13" s="15" t="n">
        <f aca="false">-R_prem*$A13^2+C$8*$A13</f>
        <v>1.03446609153982</v>
      </c>
      <c r="D13" s="15" t="n">
        <f aca="false">-R_prem*$A13^2+D$8*$A13</f>
        <v>0.492233045769908</v>
      </c>
    </row>
    <row r="14" customFormat="false" ht="15" hidden="false" customHeight="false" outlineLevel="0" collapsed="false">
      <c r="A14" s="19" t="n">
        <v>30</v>
      </c>
      <c r="B14" s="15" t="n">
        <f aca="false">-R_prem*$A14^2+B$8*$A14</f>
        <v>3.14089827461945</v>
      </c>
      <c r="C14" s="15" t="n">
        <f aca="false">-R_prem*$A14^2+C$8*$A14</f>
        <v>1.51419913730972</v>
      </c>
      <c r="D14" s="15" t="n">
        <f aca="false">-R_prem*$A14^2+D$8*$A14</f>
        <v>0.700849568654862</v>
      </c>
    </row>
    <row r="15" customFormat="false" ht="15" hidden="false" customHeight="false" outlineLevel="0" collapsed="false">
      <c r="A15" s="19" t="n">
        <v>40</v>
      </c>
      <c r="B15" s="15" t="n">
        <f aca="false">-R_prem*$A15^2+B$8*$A15</f>
        <v>4.13786436615926</v>
      </c>
      <c r="C15" s="15" t="n">
        <f aca="false">-R_prem*$A15^2+C$8*$A15</f>
        <v>1.96893218307963</v>
      </c>
      <c r="D15" s="15" t="n">
        <f aca="false">-R_prem*$A15^2+D$8*$A15</f>
        <v>0.884466091539816</v>
      </c>
    </row>
    <row r="16" customFormat="false" ht="15" hidden="false" customHeight="false" outlineLevel="0" collapsed="false">
      <c r="A16" s="19" t="n">
        <v>50</v>
      </c>
      <c r="B16" s="15" t="n">
        <f aca="false">-R_prem*$A16^2+B$8*$A16</f>
        <v>5.10983045769908</v>
      </c>
      <c r="C16" s="15" t="n">
        <f aca="false">-R_prem*$A16^2+C$8*$A16</f>
        <v>2.39866522884954</v>
      </c>
      <c r="D16" s="15" t="n">
        <f aca="false">-R_prem*$A16^2+D$8*$A16</f>
        <v>1.04308261442477</v>
      </c>
    </row>
    <row r="17" customFormat="false" ht="15" hidden="false" customHeight="false" outlineLevel="0" collapsed="false">
      <c r="A17" s="19" t="n">
        <v>60</v>
      </c>
      <c r="B17" s="15" t="n">
        <f aca="false">-R_prem*$A17^2+B$8*$A17</f>
        <v>6.0567965492389</v>
      </c>
      <c r="C17" s="15" t="n">
        <f aca="false">-R_prem*$A17^2+C$8*$A17</f>
        <v>2.80339827461945</v>
      </c>
      <c r="D17" s="15" t="n">
        <f aca="false">-R_prem*$A17^2+D$8*$A17</f>
        <v>1.17669913730972</v>
      </c>
    </row>
    <row r="18" customFormat="false" ht="15" hidden="false" customHeight="false" outlineLevel="0" collapsed="false">
      <c r="A18" s="19" t="n">
        <v>70</v>
      </c>
      <c r="B18" s="15" t="n">
        <f aca="false">-R_prem*$A18^2+B$8*$A18</f>
        <v>6.97876264077871</v>
      </c>
      <c r="C18" s="15" t="n">
        <f aca="false">-R_prem*$A18^2+C$8*$A18</f>
        <v>3.18313132038936</v>
      </c>
      <c r="D18" s="15" t="n">
        <f aca="false">-R_prem*$A18^2+D$8*$A18</f>
        <v>1.28531566019468</v>
      </c>
    </row>
    <row r="19" customFormat="false" ht="15" hidden="false" customHeight="false" outlineLevel="0" collapsed="false">
      <c r="A19" s="19" t="n">
        <v>80</v>
      </c>
      <c r="B19" s="15" t="n">
        <f aca="false">-R_prem*$A19^2+B$8*$A19</f>
        <v>7.87572873231853</v>
      </c>
      <c r="C19" s="15" t="n">
        <f aca="false">-R_prem*$A19^2+C$8*$A19</f>
        <v>3.53786436615926</v>
      </c>
      <c r="D19" s="15" t="n">
        <f aca="false">-R_prem*$A19^2+D$8*$A19</f>
        <v>1.36893218307963</v>
      </c>
    </row>
    <row r="20" customFormat="false" ht="15" hidden="false" customHeight="false" outlineLevel="0" collapsed="false">
      <c r="A20" s="19" t="n">
        <v>90</v>
      </c>
      <c r="B20" s="15" t="n">
        <f aca="false">-R_prem*$A20^2+B$8*$A20</f>
        <v>8.74769482385834</v>
      </c>
      <c r="C20" s="15" t="n">
        <f aca="false">-R_prem*$A20^2+C$8*$A20</f>
        <v>3.86759741192917</v>
      </c>
      <c r="D20" s="15" t="n">
        <f aca="false">-R_prem*$A20^2+D$8*$A20</f>
        <v>1.42754870596459</v>
      </c>
    </row>
    <row r="21" customFormat="false" ht="15" hidden="false" customHeight="false" outlineLevel="0" collapsed="false">
      <c r="A21" s="19" t="n">
        <v>100</v>
      </c>
      <c r="B21" s="15" t="n">
        <f aca="false">-R_prem*$A21^2+B$8*$A21</f>
        <v>9.59466091539816</v>
      </c>
      <c r="C21" s="15" t="n">
        <f aca="false">-R_prem*$A21^2+C$8*$A21</f>
        <v>4.17233045769908</v>
      </c>
      <c r="D21" s="15" t="n">
        <f aca="false">-R_prem*$A21^2+D$8*$A21</f>
        <v>1.46116522884954</v>
      </c>
    </row>
    <row r="22" customFormat="false" ht="15" hidden="false" customHeight="false" outlineLevel="0" collapsed="false">
      <c r="A22" s="19" t="n">
        <v>110</v>
      </c>
      <c r="B22" s="15" t="n">
        <f aca="false">-R_prem*$A22^2+B$8*$A22</f>
        <v>10.416627006938</v>
      </c>
      <c r="C22" s="15" t="n">
        <f aca="false">-R_prem*$A22^2+C$8*$A22</f>
        <v>4.45206350346899</v>
      </c>
      <c r="D22" s="15" t="n">
        <f aca="false">-R_prem*$A22^2+D$8*$A22</f>
        <v>1.46978175173449</v>
      </c>
    </row>
    <row r="23" customFormat="false" ht="15" hidden="false" customHeight="false" outlineLevel="0" collapsed="false">
      <c r="A23" s="19" t="n">
        <v>120</v>
      </c>
      <c r="B23" s="15" t="n">
        <f aca="false">-R_prem*$A23^2+B$8*$A23</f>
        <v>11.2135930984778</v>
      </c>
      <c r="C23" s="15" t="n">
        <f aca="false">-R_prem*$A23^2+C$8*$A23</f>
        <v>4.7067965492389</v>
      </c>
      <c r="D23" s="15" t="n">
        <f aca="false">-R_prem*$A23^2+D$8*$A23</f>
        <v>1.45339827461945</v>
      </c>
    </row>
    <row r="24" customFormat="false" ht="15" hidden="false" customHeight="false" outlineLevel="0" collapsed="false">
      <c r="A24" s="19" t="n">
        <v>130</v>
      </c>
      <c r="B24" s="15" t="n">
        <f aca="false">-R_prem*$A24^2+B$8*$A24</f>
        <v>11.9855591900176</v>
      </c>
      <c r="C24" s="15" t="n">
        <f aca="false">-R_prem*$A24^2+C$8*$A24</f>
        <v>4.9365295950088</v>
      </c>
      <c r="D24" s="15" t="n">
        <f aca="false">-R_prem*$A24^2+D$8*$A24</f>
        <v>1.4120147975044</v>
      </c>
    </row>
    <row r="25" customFormat="false" ht="15" hidden="false" customHeight="false" outlineLevel="0" collapsed="false">
      <c r="A25" s="19" t="n">
        <v>140</v>
      </c>
      <c r="B25" s="15" t="n">
        <f aca="false">-R_prem*$A25^2+B$8*$A25</f>
        <v>12.7325252815574</v>
      </c>
      <c r="C25" s="15" t="n">
        <f aca="false">-R_prem*$A25^2+C$8*$A25</f>
        <v>5.14126264077871</v>
      </c>
      <c r="D25" s="15" t="n">
        <f aca="false">-R_prem*$A25^2+D$8*$A25</f>
        <v>1.34563132038936</v>
      </c>
    </row>
    <row r="26" customFormat="false" ht="15" hidden="false" customHeight="false" outlineLevel="0" collapsed="false">
      <c r="A26" s="19" t="n">
        <v>150</v>
      </c>
      <c r="B26" s="15" t="n">
        <f aca="false">-R_prem*$A26^2+B$8*$A26</f>
        <v>13.4544913730972</v>
      </c>
      <c r="C26" s="15" t="n">
        <f aca="false">-R_prem*$A26^2+C$8*$A26</f>
        <v>5.32099568654862</v>
      </c>
      <c r="D26" s="15" t="n">
        <f aca="false">-R_prem*$A26^2+D$8*$A26</f>
        <v>1.25424784327431</v>
      </c>
    </row>
    <row r="27" customFormat="false" ht="15" hidden="false" customHeight="false" outlineLevel="0" collapsed="false">
      <c r="A27" s="19" t="n">
        <v>160</v>
      </c>
      <c r="B27" s="15" t="n">
        <f aca="false">-R_prem*$A27^2+B$8*$A27</f>
        <v>14.1514574646371</v>
      </c>
      <c r="C27" s="15" t="n">
        <f aca="false">-R_prem*$A27^2+C$8*$A27</f>
        <v>5.47572873231853</v>
      </c>
      <c r="D27" s="15" t="n">
        <f aca="false">-R_prem*$A27^2+D$8*$A27</f>
        <v>1.13786436615926</v>
      </c>
    </row>
    <row r="28" customFormat="false" ht="15" hidden="false" customHeight="false" outlineLevel="0" collapsed="false">
      <c r="A28" s="19" t="n">
        <v>170</v>
      </c>
      <c r="B28" s="15" t="n">
        <f aca="false">-R_prem*$A28^2+B$8*$A28</f>
        <v>14.8234235561769</v>
      </c>
      <c r="C28" s="15" t="n">
        <f aca="false">-R_prem*$A28^2+C$8*$A28</f>
        <v>5.60546177808844</v>
      </c>
      <c r="D28" s="15" t="n">
        <f aca="false">-R_prem*$A28^2+D$8*$A28</f>
        <v>0.996480889044218</v>
      </c>
    </row>
    <row r="29" customFormat="false" ht="15" hidden="false" customHeight="false" outlineLevel="0" collapsed="false">
      <c r="A29" s="19" t="n">
        <v>180</v>
      </c>
      <c r="B29" s="15" t="n">
        <f aca="false">-R_prem*$A29^2+B$8*$A29</f>
        <v>15.4703896477167</v>
      </c>
      <c r="C29" s="15" t="n">
        <f aca="false">-R_prem*$A29^2+C$8*$A29</f>
        <v>5.71019482385834</v>
      </c>
      <c r="D29" s="15" t="n">
        <f aca="false">-R_prem*$A29^2+D$8*$A29</f>
        <v>0.830097411929172</v>
      </c>
    </row>
    <row r="30" customFormat="false" ht="15" hidden="false" customHeight="false" outlineLevel="0" collapsed="false">
      <c r="A30" s="19" t="n">
        <v>190</v>
      </c>
      <c r="B30" s="15" t="n">
        <f aca="false">-R_prem*$A30^2+B$8*$A30</f>
        <v>16.0923557392565</v>
      </c>
      <c r="C30" s="15" t="n">
        <f aca="false">-R_prem*$A30^2+C$8*$A30</f>
        <v>5.78992786962825</v>
      </c>
      <c r="D30" s="15" t="n">
        <f aca="false">-R_prem*$A30^2+D$8*$A30</f>
        <v>0.638713934814126</v>
      </c>
    </row>
    <row r="31" customFormat="false" ht="15" hidden="false" customHeight="false" outlineLevel="0" collapsed="false">
      <c r="A31" s="19" t="n">
        <v>200</v>
      </c>
      <c r="B31" s="15" t="n">
        <f aca="false">-R_prem*$A31^2+B$8*$A31</f>
        <v>16.6893218307963</v>
      </c>
      <c r="C31" s="15" t="n">
        <f aca="false">-R_prem*$A31^2+C$8*$A31</f>
        <v>5.84466091539816</v>
      </c>
      <c r="D31" s="15" t="n">
        <f aca="false">-R_prem*$A31^2+D$8*$A31</f>
        <v>0.42233045769908</v>
      </c>
    </row>
    <row r="32" customFormat="false" ht="15" hidden="false" customHeight="false" outlineLevel="0" collapsed="false">
      <c r="A32" s="19" t="n">
        <v>210</v>
      </c>
      <c r="B32" s="15" t="n">
        <f aca="false">-R_prem*$A32^2+B$8*$A32</f>
        <v>17.2612879223361</v>
      </c>
      <c r="C32" s="15" t="n">
        <f aca="false">-R_prem*$A32^2+C$8*$A32</f>
        <v>5.87439396116807</v>
      </c>
      <c r="D32" s="15" t="n">
        <f aca="false">-R_prem*$A32^2+D$8*$A32</f>
        <v>0.180946980584034</v>
      </c>
    </row>
    <row r="33" customFormat="false" ht="15" hidden="false" customHeight="false" outlineLevel="0" collapsed="false">
      <c r="A33" s="19" t="n">
        <v>220</v>
      </c>
      <c r="B33" s="15" t="n">
        <f aca="false">-R_prem*$A33^2+B$8*$A33</f>
        <v>17.808254013876</v>
      </c>
      <c r="C33" s="15" t="n">
        <f aca="false">-R_prem*$A33^2+C$8*$A33</f>
        <v>5.87912700693798</v>
      </c>
      <c r="D33" s="15" t="n">
        <f aca="false">-R_prem*$A33^2+D$8*$A33</f>
        <v>-0.0854364965310115</v>
      </c>
    </row>
    <row r="34" customFormat="false" ht="15" hidden="false" customHeight="false" outlineLevel="0" collapsed="false">
      <c r="A34" s="19" t="n">
        <v>230</v>
      </c>
      <c r="B34" s="15" t="n">
        <f aca="false">-R_prem*$A34^2+B$8*$A34</f>
        <v>18.3302201054158</v>
      </c>
      <c r="C34" s="15" t="n">
        <f aca="false">-R_prem*$A34^2+C$8*$A34</f>
        <v>5.85886005270789</v>
      </c>
      <c r="D34" s="15" t="n">
        <f aca="false">-R_prem*$A34^2+D$8*$A34</f>
        <v>-0.376819973646057</v>
      </c>
    </row>
    <row r="35" customFormat="false" ht="15" hidden="false" customHeight="false" outlineLevel="0" collapsed="false">
      <c r="A35" s="19" t="n">
        <v>240</v>
      </c>
      <c r="B35" s="15" t="n">
        <f aca="false">-R_prem*$A35^2+B$8*$A35</f>
        <v>18.8271861969556</v>
      </c>
      <c r="C35" s="15" t="n">
        <f aca="false">-R_prem*$A35^2+C$8*$A35</f>
        <v>5.81359309847779</v>
      </c>
      <c r="D35" s="15" t="n">
        <f aca="false">-R_prem*$A35^2+D$8*$A35</f>
        <v>-0.693203450761104</v>
      </c>
    </row>
    <row r="36" customFormat="false" ht="15" hidden="false" customHeight="false" outlineLevel="0" collapsed="false">
      <c r="A36" s="19" t="n">
        <v>250</v>
      </c>
      <c r="B36" s="15" t="n">
        <f aca="false">-R_prem*$A36^2+B$8*$A36</f>
        <v>19.2991522884954</v>
      </c>
      <c r="C36" s="15" t="n">
        <f aca="false">-R_prem*$A36^2+C$8*$A36</f>
        <v>5.7433261442477</v>
      </c>
      <c r="D36" s="15" t="n">
        <f aca="false">-R_prem*$A36^2+D$8*$A36</f>
        <v>-1.03458692787615</v>
      </c>
    </row>
    <row r="37" customFormat="false" ht="15" hidden="false" customHeight="false" outlineLevel="0" collapsed="false">
      <c r="A37" s="19" t="n">
        <v>260</v>
      </c>
      <c r="B37" s="15" t="n">
        <f aca="false">-R_prem*$A37^2+B$8*$A37</f>
        <v>19.7461183800352</v>
      </c>
      <c r="C37" s="15" t="n">
        <f aca="false">-R_prem*$A37^2+C$8*$A37</f>
        <v>5.64805919001761</v>
      </c>
      <c r="D37" s="15" t="n">
        <f aca="false">-R_prem*$A37^2+D$8*$A37</f>
        <v>-1.4009704049912</v>
      </c>
    </row>
    <row r="38" customFormat="false" ht="15" hidden="false" customHeight="false" outlineLevel="0" collapsed="false">
      <c r="A38" s="19" t="n">
        <v>270</v>
      </c>
      <c r="B38" s="15" t="n">
        <f aca="false">-R_prem*$A38^2+B$8*$A38</f>
        <v>20.168084471575</v>
      </c>
      <c r="C38" s="15" t="n">
        <f aca="false">-R_prem*$A38^2+C$8*$A38</f>
        <v>5.52779223578752</v>
      </c>
      <c r="D38" s="15" t="n">
        <f aca="false">-R_prem*$A38^2+D$8*$A38</f>
        <v>-1.79235388210624</v>
      </c>
    </row>
    <row r="39" customFormat="false" ht="15" hidden="false" customHeight="false" outlineLevel="0" collapsed="false">
      <c r="A39" s="19" t="n">
        <v>280</v>
      </c>
      <c r="B39" s="15" t="n">
        <f aca="false">-R_prem*$A39^2+B$8*$A39</f>
        <v>20.5650505631149</v>
      </c>
      <c r="C39" s="15" t="n">
        <f aca="false">-R_prem*$A39^2+C$8*$A39</f>
        <v>5.38252528155742</v>
      </c>
      <c r="D39" s="15" t="n">
        <f aca="false">-R_prem*$A39^2+D$8*$A39</f>
        <v>-2.20873735922129</v>
      </c>
    </row>
    <row r="40" customFormat="false" ht="15" hidden="false" customHeight="false" outlineLevel="0" collapsed="false">
      <c r="A40" s="19" t="n">
        <v>290</v>
      </c>
      <c r="B40" s="15" t="n">
        <f aca="false">-R_prem*$A40^2+B$8*$A40</f>
        <v>20.9370166546547</v>
      </c>
      <c r="C40" s="15" t="n">
        <f aca="false">-R_prem*$A40^2+C$8*$A40</f>
        <v>5.21225832732733</v>
      </c>
      <c r="D40" s="15" t="n">
        <f aca="false">-R_prem*$A40^2+D$8*$A40</f>
        <v>-2.65012083633633</v>
      </c>
    </row>
    <row r="41" customFormat="false" ht="15" hidden="false" customHeight="false" outlineLevel="0" collapsed="false">
      <c r="A41" s="19" t="n">
        <v>300</v>
      </c>
      <c r="B41" s="15" t="n">
        <f aca="false">-R_prem*$A41^2+B$8*$A41</f>
        <v>21.2839827461945</v>
      </c>
      <c r="C41" s="15" t="n">
        <f aca="false">-R_prem*$A41^2+C$8*$A41</f>
        <v>5.01699137309724</v>
      </c>
      <c r="D41" s="15" t="n">
        <f aca="false">-R_prem*$A41^2+D$8*$A41</f>
        <v>-3.11650431345138</v>
      </c>
    </row>
    <row r="42" customFormat="false" ht="15" hidden="false" customHeight="false" outlineLevel="0" collapsed="false">
      <c r="A42" s="19" t="n">
        <v>310</v>
      </c>
      <c r="B42" s="15" t="n">
        <f aca="false">-R_prem*$A42^2+B$8*$A42</f>
        <v>21.6059488377343</v>
      </c>
      <c r="C42" s="15" t="n">
        <f aca="false">-R_prem*$A42^2+C$8*$A42</f>
        <v>4.79672441886715</v>
      </c>
      <c r="D42" s="15" t="n">
        <f aca="false">-R_prem*$A42^2+D$8*$A42</f>
        <v>-3.60788779056643</v>
      </c>
    </row>
    <row r="43" customFormat="false" ht="15" hidden="false" customHeight="false" outlineLevel="0" collapsed="false">
      <c r="A43" s="19" t="n">
        <v>320</v>
      </c>
      <c r="B43" s="15" t="n">
        <f aca="false">-R_prem*$A43^2+B$8*$A43</f>
        <v>21.9029149292741</v>
      </c>
      <c r="C43" s="15" t="n">
        <f aca="false">-R_prem*$A43^2+C$8*$A43</f>
        <v>4.55145746463706</v>
      </c>
      <c r="D43" s="15" t="n">
        <f aca="false">-R_prem*$A43^2+D$8*$A43</f>
        <v>-4.12427126768147</v>
      </c>
    </row>
    <row r="44" customFormat="false" ht="15" hidden="false" customHeight="false" outlineLevel="0" collapsed="false">
      <c r="A44" s="19" t="n">
        <v>330</v>
      </c>
      <c r="B44" s="15" t="n">
        <f aca="false">-R_prem*$A44^2+B$8*$A44</f>
        <v>22.1748810208139</v>
      </c>
      <c r="C44" s="15" t="n">
        <f aca="false">-R_prem*$A44^2+C$8*$A44</f>
        <v>4.28119051040697</v>
      </c>
      <c r="D44" s="15" t="n">
        <f aca="false">-R_prem*$A44^2+D$8*$A44</f>
        <v>-4.66565474479652</v>
      </c>
    </row>
    <row r="45" customFormat="false" ht="15" hidden="false" customHeight="false" outlineLevel="0" collapsed="false">
      <c r="A45" s="19" t="n">
        <v>340</v>
      </c>
      <c r="B45" s="15" t="n">
        <f aca="false">-R_prem*$A45^2+B$8*$A45</f>
        <v>22.4218471123537</v>
      </c>
      <c r="C45" s="15" t="n">
        <f aca="false">-R_prem*$A45^2+C$8*$A45</f>
        <v>3.98592355617687</v>
      </c>
      <c r="D45" s="15" t="n">
        <f aca="false">-R_prem*$A45^2+D$8*$A45</f>
        <v>-5.23203822191156</v>
      </c>
    </row>
    <row r="46" customFormat="false" ht="15" hidden="false" customHeight="false" outlineLevel="0" collapsed="false">
      <c r="A46" s="19" t="n">
        <v>350</v>
      </c>
      <c r="B46" s="15" t="n">
        <f aca="false">-R_prem*$A46^2+B$8*$A46</f>
        <v>22.6438132038936</v>
      </c>
      <c r="C46" s="15" t="n">
        <f aca="false">-R_prem*$A46^2+C$8*$A46</f>
        <v>3.66565660194678</v>
      </c>
      <c r="D46" s="15" t="n">
        <f aca="false">-R_prem*$A46^2+D$8*$A46</f>
        <v>-5.82342169902661</v>
      </c>
    </row>
    <row r="47" customFormat="false" ht="15" hidden="false" customHeight="false" outlineLevel="0" collapsed="false">
      <c r="A47" s="19" t="n">
        <v>360</v>
      </c>
      <c r="B47" s="15" t="n">
        <f aca="false">-R_prem*$A47^2+B$8*$A47</f>
        <v>22.8407792954334</v>
      </c>
      <c r="C47" s="15" t="n">
        <f aca="false">-R_prem*$A47^2+C$8*$A47</f>
        <v>3.32038964771669</v>
      </c>
      <c r="D47" s="15" t="n">
        <f aca="false">-R_prem*$A47^2+D$8*$A47</f>
        <v>-6.43980517614166</v>
      </c>
    </row>
    <row r="48" customFormat="false" ht="15" hidden="false" customHeight="false" outlineLevel="0" collapsed="false">
      <c r="A48" s="19" t="n">
        <v>370</v>
      </c>
      <c r="B48" s="15" t="n">
        <f aca="false">-R_prem*$A48^2+B$8*$A48</f>
        <v>23.0127453869732</v>
      </c>
      <c r="C48" s="15" t="n">
        <f aca="false">-R_prem*$A48^2+C$8*$A48</f>
        <v>2.95012269348659</v>
      </c>
      <c r="D48" s="15" t="n">
        <f aca="false">-R_prem*$A48^2+D$8*$A48</f>
        <v>-7.0811886532567</v>
      </c>
    </row>
    <row r="49" customFormat="false" ht="15" hidden="false" customHeight="false" outlineLevel="0" collapsed="false">
      <c r="A49" s="19" t="n">
        <v>380</v>
      </c>
      <c r="B49" s="15" t="n">
        <f aca="false">-R_prem*$A49^2+B$8*$A49</f>
        <v>23.159711478513</v>
      </c>
      <c r="C49" s="15" t="n">
        <f aca="false">-R_prem*$A49^2+C$8*$A49</f>
        <v>2.5548557392565</v>
      </c>
      <c r="D49" s="15" t="n">
        <f aca="false">-R_prem*$A49^2+D$8*$A49</f>
        <v>-7.74757213037175</v>
      </c>
    </row>
    <row r="50" customFormat="false" ht="15" hidden="false" customHeight="false" outlineLevel="0" collapsed="false">
      <c r="A50" s="19" t="n">
        <v>390</v>
      </c>
      <c r="B50" s="15" t="n">
        <f aca="false">-R_prem*$A50^2+B$8*$A50</f>
        <v>23.2816775700528</v>
      </c>
      <c r="C50" s="15" t="n">
        <f aca="false">-R_prem*$A50^2+C$8*$A50</f>
        <v>2.13458878502641</v>
      </c>
      <c r="D50" s="15" t="n">
        <f aca="false">-R_prem*$A50^2+D$8*$A50</f>
        <v>-8.43895560748679</v>
      </c>
    </row>
    <row r="51" customFormat="false" ht="15" hidden="false" customHeight="false" outlineLevel="0" collapsed="false">
      <c r="A51" s="19" t="n">
        <v>400</v>
      </c>
      <c r="B51" s="15" t="n">
        <f aca="false">-R_prem*$A51^2+B$8*$A51</f>
        <v>23.3786436615926</v>
      </c>
      <c r="C51" s="15" t="n">
        <f aca="false">-R_prem*$A51^2+C$8*$A51</f>
        <v>1.68932183079632</v>
      </c>
      <c r="D51" s="15" t="n">
        <f aca="false">-R_prem*$A51^2+D$8*$A51</f>
        <v>-9.15533908460184</v>
      </c>
    </row>
    <row r="52" customFormat="false" ht="15" hidden="false" customHeight="false" outlineLevel="0" collapsed="false">
      <c r="A52" s="19" t="n">
        <v>410</v>
      </c>
      <c r="B52" s="15" t="n">
        <f aca="false">-R_prem*$A52^2+B$8*$A52</f>
        <v>23.4506097531325</v>
      </c>
      <c r="C52" s="15" t="n">
        <f aca="false">-R_prem*$A52^2+C$8*$A52</f>
        <v>1.21905487656623</v>
      </c>
      <c r="D52" s="15" t="n">
        <f aca="false">-R_prem*$A52^2+D$8*$A52</f>
        <v>-9.89672256171689</v>
      </c>
    </row>
    <row r="53" customFormat="false" ht="15" hidden="false" customHeight="false" outlineLevel="0" collapsed="false">
      <c r="A53" s="19" t="n">
        <v>420</v>
      </c>
      <c r="B53" s="15" t="n">
        <f aca="false">-R_prem*$A53^2+B$8*$A53</f>
        <v>23.4975758446723</v>
      </c>
      <c r="C53" s="15" t="n">
        <f aca="false">-R_prem*$A53^2+C$8*$A53</f>
        <v>0.723787922336136</v>
      </c>
      <c r="D53" s="15" t="n">
        <f aca="false">-R_prem*$A53^2+D$8*$A53</f>
        <v>-10.6631060388319</v>
      </c>
    </row>
    <row r="54" customFormat="false" ht="15" hidden="false" customHeight="false" outlineLevel="0" collapsed="false">
      <c r="A54" s="19" t="n">
        <v>430</v>
      </c>
      <c r="B54" s="15" t="n">
        <f aca="false">-R_prem*$A54^2+B$8*$A54</f>
        <v>23.5195419362121</v>
      </c>
      <c r="C54" s="15" t="n">
        <f aca="false">-R_prem*$A54^2+C$8*$A54</f>
        <v>0.203520968106044</v>
      </c>
      <c r="D54" s="15" t="n">
        <f aca="false">-R_prem*$A54^2+D$8*$A54</f>
        <v>-11.454489515947</v>
      </c>
    </row>
    <row r="55" customFormat="false" ht="15" hidden="false" customHeight="false" outlineLevel="0" collapsed="false">
      <c r="A55" s="19" t="n">
        <v>440</v>
      </c>
      <c r="B55" s="15" t="n">
        <f aca="false">-R_prem*$A55^2+B$8*$A55</f>
        <v>23.5165080277519</v>
      </c>
      <c r="C55" s="15" t="n">
        <f aca="false">-R_prem*$A55^2+C$8*$A55</f>
        <v>-0.341745986124046</v>
      </c>
      <c r="D55" s="15" t="n">
        <f aca="false">-R_prem*$A55^2+D$8*$A55</f>
        <v>-12.270872993062</v>
      </c>
    </row>
    <row r="56" customFormat="false" ht="15" hidden="false" customHeight="false" outlineLevel="0" collapsed="false">
      <c r="A56" s="19" t="n">
        <v>450</v>
      </c>
      <c r="B56" s="15" t="n">
        <f aca="false">-R_prem*$A56^2+B$8*$A56</f>
        <v>23.4884741192917</v>
      </c>
      <c r="C56" s="15" t="n">
        <f aca="false">-R_prem*$A56^2+C$8*$A56</f>
        <v>-0.912012940354138</v>
      </c>
      <c r="D56" s="15" t="n">
        <f aca="false">-R_prem*$A56^2+D$8*$A56</f>
        <v>-13.1122564701771</v>
      </c>
    </row>
    <row r="57" customFormat="false" ht="15" hidden="false" customHeight="false" outlineLevel="0" collapsed="false">
      <c r="A57" s="19" t="n">
        <v>460</v>
      </c>
      <c r="B57" s="15" t="n">
        <f aca="false">-R_prem*$A57^2+B$8*$A57</f>
        <v>23.4354402108315</v>
      </c>
      <c r="C57" s="15" t="n">
        <f aca="false">-R_prem*$A57^2+C$8*$A57</f>
        <v>-1.50727989458423</v>
      </c>
      <c r="D57" s="15" t="n">
        <f aca="false">-R_prem*$A57^2+D$8*$A57</f>
        <v>-13.9786399472921</v>
      </c>
    </row>
    <row r="58" customFormat="false" ht="15" hidden="false" customHeight="false" outlineLevel="0" collapsed="false">
      <c r="A58" s="19" t="n">
        <v>470</v>
      </c>
      <c r="B58" s="15" t="n">
        <f aca="false">-R_prem*$A58^2+B$8*$A58</f>
        <v>23.3574063023714</v>
      </c>
      <c r="C58" s="15" t="n">
        <f aca="false">-R_prem*$A58^2+C$8*$A58</f>
        <v>-2.12754684881432</v>
      </c>
      <c r="D58" s="15" t="n">
        <f aca="false">-R_prem*$A58^2+D$8*$A58</f>
        <v>-14.8700234244072</v>
      </c>
    </row>
    <row r="59" customFormat="false" ht="15" hidden="false" customHeight="false" outlineLevel="0" collapsed="false">
      <c r="A59" s="19" t="n">
        <v>480</v>
      </c>
      <c r="B59" s="15" t="n">
        <f aca="false">-R_prem*$A59^2+B$8*$A59</f>
        <v>23.2543723939112</v>
      </c>
      <c r="C59" s="15" t="n">
        <f aca="false">-R_prem*$A59^2+C$8*$A59</f>
        <v>-2.77281380304441</v>
      </c>
      <c r="D59" s="15" t="n">
        <f aca="false">-R_prem*$A59^2+D$8*$A59</f>
        <v>-15.7864069015222</v>
      </c>
    </row>
    <row r="60" customFormat="false" ht="15" hidden="false" customHeight="false" outlineLevel="0" collapsed="false">
      <c r="A60" s="19" t="n">
        <v>490</v>
      </c>
      <c r="B60" s="15" t="n">
        <f aca="false">-R_prem*$A60^2+B$8*$A60</f>
        <v>23.126338485451</v>
      </c>
      <c r="C60" s="15" t="n">
        <f aca="false">-R_prem*$A60^2+C$8*$A60</f>
        <v>-3.4430807572745</v>
      </c>
      <c r="D60" s="15" t="n">
        <f aca="false">-R_prem*$A60^2+D$8*$A60</f>
        <v>-16.7277903786373</v>
      </c>
    </row>
    <row r="61" customFormat="false" ht="15" hidden="false" customHeight="false" outlineLevel="0" collapsed="false">
      <c r="A61" s="19" t="n">
        <v>500</v>
      </c>
      <c r="B61" s="15" t="n">
        <f aca="false">-R_prem*$A61^2+B$8*$A61</f>
        <v>22.9733045769908</v>
      </c>
      <c r="C61" s="15" t="n">
        <f aca="false">-R_prem*$A61^2+C$8*$A61</f>
        <v>-4.1383477115046</v>
      </c>
      <c r="D61" s="15" t="n">
        <f aca="false">-R_prem*$A61^2+D$8*$A61</f>
        <v>-17.6941738557523</v>
      </c>
    </row>
    <row r="63" customFormat="false" ht="15" hidden="false" customHeight="false" outlineLevel="0" collapsed="false">
      <c r="A63" s="2" t="s">
        <v>132</v>
      </c>
      <c r="B63" s="19" t="n">
        <f aca="false">INDEX($A$11:$A$61,MATCH(MAX(B11:B61),B11:B61,0))</f>
        <v>430</v>
      </c>
      <c r="C63" s="19" t="n">
        <f aca="false">INDEX($A$11:$A$61,MATCH(MAX(C11:C61),C11:C61,0))</f>
        <v>220</v>
      </c>
      <c r="D63" s="19" t="n">
        <f aca="false">INDEX($A$11:$A$61,MATCH(MAX(D11:D61),D11:D61,0))</f>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40"/>
    <col collapsed="false" customWidth="true" hidden="false" outlineLevel="0" max="4" min="4" style="0" width="20"/>
    <col collapsed="false" customWidth="true" hidden="false" outlineLevel="0" max="5" min="5" style="0" width="16"/>
    <col collapsed="false" customWidth="true" hidden="false" outlineLevel="0" max="6" min="6" style="0" width="30"/>
  </cols>
  <sheetData>
    <row r="1" customFormat="false" ht="15" hidden="false" customHeight="false" outlineLevel="0" collapsed="false">
      <c r="A1" s="1" t="s">
        <v>133</v>
      </c>
    </row>
    <row r="2" customFormat="false" ht="15" hidden="false" customHeight="false" outlineLevel="0" collapsed="false">
      <c r="A2" s="10" t="s">
        <v>134</v>
      </c>
    </row>
    <row r="4" customFormat="false" ht="23.85" hidden="false" customHeight="false" outlineLevel="0" collapsed="false">
      <c r="A4" s="8" t="s">
        <v>135</v>
      </c>
      <c r="B4" s="8" t="s">
        <v>136</v>
      </c>
      <c r="C4" s="8" t="s">
        <v>137</v>
      </c>
      <c r="D4" s="8" t="s">
        <v>138</v>
      </c>
      <c r="E4" s="8" t="s">
        <v>139</v>
      </c>
      <c r="F4" s="8" t="s">
        <v>140</v>
      </c>
    </row>
    <row r="5" customFormat="false" ht="15" hidden="false" customHeight="false" outlineLevel="0" collapsed="false">
      <c r="A5" s="19" t="n">
        <v>0</v>
      </c>
      <c r="B5" s="11" t="n">
        <f aca="false">K_caut</f>
        <v>2</v>
      </c>
      <c r="C5" s="21" t="n">
        <f aca="false">(Q_gap+R_prem*B5^2)/(2*(A_close+B_share*B5)+Rho_a)</f>
        <v>0.00110838365351708</v>
      </c>
      <c r="D5" s="11" t="n">
        <f aca="false">C5*D0_gap^2</f>
        <v>11.0838365351708</v>
      </c>
      <c r="E5" s="22" t="n">
        <f aca="false">D5-Riccati!$B$14</f>
        <v>2.04661910567233</v>
      </c>
      <c r="F5" s="15" t="n">
        <f aca="false">A_close+B_share*B5+Rho_a/2</f>
        <v>1.66909715253347</v>
      </c>
    </row>
    <row r="6" customFormat="false" ht="15" hidden="false" customHeight="false" outlineLevel="0" collapsed="false">
      <c r="A6" s="19" t="n">
        <v>1</v>
      </c>
      <c r="B6" s="11" t="n">
        <f aca="false">B_share*C5/R_prem</f>
        <v>5.32024153688198</v>
      </c>
      <c r="C6" s="21" t="n">
        <f aca="false">(Q_gap+R_prem*B6^2)/(2*(A_close+B_share*B6)+Rho_a)</f>
        <v>0.000920196085636647</v>
      </c>
      <c r="D6" s="11" t="n">
        <f aca="false">C6*D0_gap^2</f>
        <v>9.20196085636647</v>
      </c>
      <c r="E6" s="22" t="n">
        <f aca="false">D6-Riccati!$B$14</f>
        <v>0.164743426868</v>
      </c>
      <c r="F6" s="15" t="n">
        <f aca="false">A_close+B_share*B6+Rho_a/2</f>
        <v>3.66124207466266</v>
      </c>
    </row>
    <row r="7" customFormat="false" ht="15" hidden="false" customHeight="false" outlineLevel="0" collapsed="false">
      <c r="A7" s="19" t="n">
        <v>2</v>
      </c>
      <c r="B7" s="11" t="n">
        <f aca="false">B_share*C6/R_prem</f>
        <v>4.4169412110559</v>
      </c>
      <c r="C7" s="21" t="n">
        <f aca="false">(Q_gap+R_prem*B7^2)/(2*(A_close+B_share*B7)+Rho_a)</f>
        <v>0.000903847035960682</v>
      </c>
      <c r="D7" s="11" t="n">
        <f aca="false">C7*D0_gap^2</f>
        <v>9.03847035960683</v>
      </c>
      <c r="E7" s="22" t="n">
        <f aca="false">D7-Riccati!$B$14</f>
        <v>0.00125293010835748</v>
      </c>
      <c r="F7" s="15" t="n">
        <f aca="false">A_close+B_share*B7+Rho_a/2</f>
        <v>3.11926187916701</v>
      </c>
    </row>
    <row r="8" customFormat="false" ht="15" hidden="false" customHeight="false" outlineLevel="0" collapsed="false">
      <c r="A8" s="19" t="n">
        <v>3</v>
      </c>
      <c r="B8" s="11" t="n">
        <f aca="false">B_share*C7/R_prem</f>
        <v>4.33846577261128</v>
      </c>
      <c r="C8" s="21" t="n">
        <f aca="false">(Q_gap+R_prem*B8^2)/(2*(A_close+B_share*B8)+Rho_a)</f>
        <v>0.00090372175030802</v>
      </c>
      <c r="D8" s="11" t="n">
        <f aca="false">C8*D0_gap^2</f>
        <v>9.0372175030802</v>
      </c>
      <c r="E8" s="22" t="n">
        <f aca="false">D8-Riccati!$B$14</f>
        <v>7.35817309305276E-008</v>
      </c>
      <c r="F8" s="15" t="n">
        <f aca="false">A_close+B_share*B8+Rho_a/2</f>
        <v>3.07217661610023</v>
      </c>
    </row>
    <row r="9" customFormat="false" ht="15" hidden="false" customHeight="false" outlineLevel="0" collapsed="false">
      <c r="A9" s="19" t="n">
        <v>4</v>
      </c>
      <c r="B9" s="11" t="n">
        <f aca="false">B_share*C8/R_prem</f>
        <v>4.3378644014785</v>
      </c>
      <c r="C9" s="21" t="n">
        <f aca="false">(Q_gap+R_prem*B9^2)/(2*(A_close+B_share*B9)+Rho_a)</f>
        <v>0.000903721742949847</v>
      </c>
      <c r="D9" s="11" t="n">
        <f aca="false">C9*D0_gap^2</f>
        <v>9.03721742949847</v>
      </c>
      <c r="E9" s="22" t="n">
        <f aca="false">D9-Riccati!$B$14</f>
        <v>0</v>
      </c>
      <c r="F9" s="15" t="n">
        <f aca="false">A_close+B_share*B9+Rho_a/2</f>
        <v>3.07181579342056</v>
      </c>
    </row>
    <row r="10" customFormat="false" ht="15" hidden="false" customHeight="false" outlineLevel="0" collapsed="false">
      <c r="A10" s="19" t="n">
        <v>5</v>
      </c>
      <c r="B10" s="11" t="n">
        <f aca="false">B_share*C9/R_prem</f>
        <v>4.33786436615926</v>
      </c>
      <c r="C10" s="21" t="n">
        <f aca="false">(Q_gap+R_prem*B10^2)/(2*(A_close+B_share*B10)+Rho_a)</f>
        <v>0.000903721742949847</v>
      </c>
      <c r="D10" s="11" t="n">
        <f aca="false">C10*D0_gap^2</f>
        <v>9.03721742949847</v>
      </c>
      <c r="E10" s="22" t="n">
        <f aca="false">D10-Riccati!$B$14</f>
        <v>0</v>
      </c>
      <c r="F10" s="15" t="n">
        <f aca="false">A_close+B_share*B10+Rho_a/2</f>
        <v>3.07181577222903</v>
      </c>
    </row>
    <row r="11" customFormat="false" ht="15" hidden="false" customHeight="false" outlineLevel="0" collapsed="false">
      <c r="A11" s="19" t="n">
        <v>6</v>
      </c>
      <c r="B11" s="11" t="n">
        <f aca="false">B_share*C10/R_prem</f>
        <v>4.33786436615926</v>
      </c>
      <c r="C11" s="21" t="n">
        <f aca="false">(Q_gap+R_prem*B11^2)/(2*(A_close+B_share*B11)+Rho_a)</f>
        <v>0.000903721742949847</v>
      </c>
      <c r="D11" s="11" t="n">
        <f aca="false">C11*D0_gap^2</f>
        <v>9.03721742949847</v>
      </c>
      <c r="E11" s="22" t="n">
        <f aca="false">D11-Riccati!$B$14</f>
        <v>0</v>
      </c>
      <c r="F11" s="15" t="n">
        <f aca="false">A_close+B_share*B11+Rho_a/2</f>
        <v>3.07181577222903</v>
      </c>
    </row>
    <row r="13" customFormat="false" ht="15" hidden="false" customHeight="false" outlineLevel="0" collapsed="false">
      <c r="A13" s="4" t="s">
        <v>141</v>
      </c>
    </row>
    <row r="14" customFormat="false" ht="15" hidden="false" customHeight="false" outlineLevel="0" collapsed="false">
      <c r="A14" s="8" t="s">
        <v>142</v>
      </c>
      <c r="B14" s="8" t="s">
        <v>136</v>
      </c>
      <c r="C14" s="8" t="s">
        <v>143</v>
      </c>
    </row>
    <row r="15" customFormat="false" ht="15" hidden="false" customHeight="false" outlineLevel="0" collapsed="false">
      <c r="A15" s="2" t="s">
        <v>144</v>
      </c>
      <c r="B15" s="17" t="n">
        <f aca="false">Riccati!B9</f>
        <v>4.33786436615926</v>
      </c>
      <c r="C15" s="15" t="n">
        <f aca="false">(Q_gap+R_prem*B15^2)*D0_gap^2/(2*(A_close+B_share*B15)+Rho_a)</f>
        <v>9.03721742949847</v>
      </c>
    </row>
    <row r="16" customFormat="false" ht="15" hidden="false" customHeight="false" outlineLevel="0" collapsed="false">
      <c r="A16" s="2" t="s">
        <v>145</v>
      </c>
      <c r="B16" s="23" t="n">
        <v>2.48234745571465</v>
      </c>
      <c r="C16" s="15" t="n">
        <f aca="false">(Q_gap+R_prem*B16^2)*D0_gap^2/(2*(A_close+B_share*B16)+Rho_a)</f>
        <v>10.1359323627446</v>
      </c>
    </row>
    <row r="17" customFormat="false" ht="15" hidden="false" customHeight="false" outlineLevel="0" collapsed="false">
      <c r="A17" s="2" t="s">
        <v>146</v>
      </c>
      <c r="B17" s="17" t="n">
        <f aca="false">K_caut</f>
        <v>2</v>
      </c>
      <c r="C17" s="15" t="n">
        <f aca="false">(Q_gap+R_prem*B17^2)*D0_gap^2/(2*(A_close+B_share*B17)+Rho_a)</f>
        <v>11.0838365351708</v>
      </c>
    </row>
    <row r="18" customFormat="false" ht="15" hidden="false" customHeight="false" outlineLevel="0" collapsed="false">
      <c r="A18" s="2" t="s">
        <v>147</v>
      </c>
      <c r="B18" s="17" t="n">
        <f aca="false">K_dead</f>
        <v>6</v>
      </c>
      <c r="C18" s="15" t="n">
        <f aca="false">(Q_gap+R_prem*B18^2)*D0_gap^2/(2*(A_close+B_share*B18)+Rho_a)</f>
        <v>9.46155831546795</v>
      </c>
    </row>
    <row r="19" customFormat="false" ht="15" hidden="false" customHeight="false" outlineLevel="0" collapsed="false">
      <c r="A19" s="4" t="s">
        <v>148</v>
      </c>
      <c r="C19" s="15" t="n">
        <f aca="false">C17-C15</f>
        <v>2.04661910567233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44"/>
    <col collapsed="false" customWidth="true" hidden="false" outlineLevel="0" max="4" min="4" style="0" width="14"/>
    <col collapsed="false" customWidth="true" hidden="false" outlineLevel="0" max="5" min="5" style="0" width="10"/>
    <col collapsed="false" customWidth="true" hidden="false" outlineLevel="0" max="6" min="6" style="0" width="18"/>
    <col collapsed="false" customWidth="true" hidden="false" outlineLevel="0" max="7" min="7" style="0" width="12"/>
  </cols>
  <sheetData>
    <row r="1" customFormat="false" ht="15" hidden="false" customHeight="false" outlineLevel="0" collapsed="false">
      <c r="A1" s="1" t="s">
        <v>149</v>
      </c>
    </row>
    <row r="2" customFormat="false" ht="15" hidden="false" customHeight="false" outlineLevel="0" collapsed="false">
      <c r="A2" s="10" t="s">
        <v>150</v>
      </c>
    </row>
    <row r="3" customFormat="false" ht="15" hidden="false" customHeight="false" outlineLevel="0" collapsed="false">
      <c r="A3" s="8" t="s">
        <v>20</v>
      </c>
      <c r="B3" s="8" t="s">
        <v>21</v>
      </c>
      <c r="C3" s="8" t="s">
        <v>74</v>
      </c>
    </row>
    <row r="4" customFormat="false" ht="15" hidden="false" customHeight="false" outlineLevel="0" collapsed="false">
      <c r="A4" s="2" t="s">
        <v>151</v>
      </c>
      <c r="B4" s="18" t="n">
        <f aca="false">Q_gap*EXP(-Rho_a*Tau_d)</f>
        <v>0.00312465308696419</v>
      </c>
      <c r="C4" s="10" t="s">
        <v>152</v>
      </c>
    </row>
    <row r="5" customFormat="false" ht="15" hidden="false" customHeight="false" outlineLevel="0" collapsed="false">
      <c r="A5" s="2" t="s">
        <v>153</v>
      </c>
      <c r="B5" s="18" t="n">
        <f aca="false">(-(Riccati!B5)+SQRT((Riccati!B5)^2+4*(Riccati!B4)*(B4)))/(2*(Riccati!B4))</f>
        <v>0.000891386180364795</v>
      </c>
    </row>
    <row r="6" customFormat="false" ht="15" hidden="false" customHeight="false" outlineLevel="0" collapsed="false">
      <c r="A6" s="2" t="s">
        <v>154</v>
      </c>
      <c r="B6" s="17" t="n">
        <f aca="false">B_share*B5/R_prem</f>
        <v>4.27865366575102</v>
      </c>
      <c r="C6" s="10" t="s">
        <v>155</v>
      </c>
    </row>
    <row r="7" customFormat="false" ht="15" hidden="false" customHeight="false" outlineLevel="0" collapsed="false">
      <c r="A7" s="2" t="s">
        <v>85</v>
      </c>
      <c r="B7" s="17" t="n">
        <f aca="false">B6/4</f>
        <v>1.06966341643775</v>
      </c>
    </row>
    <row r="8" customFormat="false" ht="15" hidden="false" customHeight="false" outlineLevel="0" collapsed="false">
      <c r="A8" s="2" t="s">
        <v>156</v>
      </c>
      <c r="B8" s="15" t="n">
        <f aca="false">EXP(-A_close*Tau_d)*D0_gap</f>
        <v>-90</v>
      </c>
      <c r="C8" s="10" t="s">
        <v>157</v>
      </c>
    </row>
    <row r="9" customFormat="false" ht="15" hidden="false" customHeight="false" outlineLevel="0" collapsed="false">
      <c r="A9" s="2" t="s">
        <v>158</v>
      </c>
      <c r="B9" s="15" t="n">
        <f aca="false">Q_gap*D0_gap^2*(1-EXP(-(2*A_close+Rho_a)*Tau_d))/(2*A_close+Rho_a)</f>
        <v>7.13104946326946</v>
      </c>
      <c r="C9" s="10" t="s">
        <v>159</v>
      </c>
    </row>
    <row r="10" customFormat="false" ht="15" hidden="false" customHeight="false" outlineLevel="0" collapsed="false">
      <c r="A10" s="2" t="s">
        <v>160</v>
      </c>
      <c r="B10" s="15" t="n">
        <f aca="false">B5*B8^2</f>
        <v>7.22022806095484</v>
      </c>
    </row>
    <row r="11" customFormat="false" ht="15" hidden="false" customHeight="false" outlineLevel="0" collapsed="false">
      <c r="A11" s="2" t="s">
        <v>161</v>
      </c>
      <c r="B11" s="15" t="n">
        <f aca="false">B9+B10</f>
        <v>14.3512775242243</v>
      </c>
      <c r="C11" s="10" t="s">
        <v>162</v>
      </c>
    </row>
    <row r="12" customFormat="false" ht="15" hidden="false" customHeight="false" outlineLevel="0" collapsed="false">
      <c r="A12" s="2" t="s">
        <v>163</v>
      </c>
      <c r="B12" s="15" t="n">
        <f aca="false">B11-Riccati!B14</f>
        <v>5.31406009472583</v>
      </c>
      <c r="C12" s="10" t="s">
        <v>164</v>
      </c>
    </row>
    <row r="13" customFormat="false" ht="15" hidden="false" customHeight="false" outlineLevel="0" collapsed="false">
      <c r="A13" s="2" t="s">
        <v>165</v>
      </c>
      <c r="B13" s="15" t="n">
        <f aca="false">A_close+B_share*B6</f>
        <v>2.98863426208191</v>
      </c>
    </row>
    <row r="14" customFormat="false" ht="15" hidden="false" customHeight="false" outlineLevel="0" collapsed="false">
      <c r="A14" s="2" t="s">
        <v>166</v>
      </c>
      <c r="B14" s="14" t="n">
        <f aca="false">B6*ABS(B8)</f>
        <v>385.078829917591</v>
      </c>
      <c r="C14" s="10" t="s">
        <v>167</v>
      </c>
    </row>
    <row r="15" customFormat="false" ht="15" hidden="false" customHeight="false" outlineLevel="0" collapsed="false">
      <c r="A15" s="2" t="s">
        <v>168</v>
      </c>
      <c r="B15" s="14" t="n">
        <f aca="false">B14*(1-EXP(-B13*Tau_d))/B13</f>
        <v>67.8112025281924</v>
      </c>
      <c r="C15" s="10" t="s">
        <v>169</v>
      </c>
    </row>
    <row r="16" customFormat="false" ht="15" hidden="false" customHeight="false" outlineLevel="0" collapsed="false">
      <c r="A16" s="2" t="s">
        <v>170</v>
      </c>
      <c r="B16" s="13" t="n">
        <f aca="false">B8*EXP(-B13*(1-Tau_d))</f>
        <v>-9.56713678107325</v>
      </c>
      <c r="C16" s="10" t="s">
        <v>171</v>
      </c>
    </row>
    <row r="17" customFormat="false" ht="15" hidden="false" customHeight="false" outlineLevel="0" collapsed="false">
      <c r="A17" s="2" t="s">
        <v>172</v>
      </c>
      <c r="B17" s="17" t="n">
        <f aca="false">2*R_prem*B14</f>
        <v>0.0962697074793979</v>
      </c>
    </row>
    <row r="18" customFormat="false" ht="15" hidden="false" customHeight="false" outlineLevel="0" collapsed="false">
      <c r="A18" s="2" t="s">
        <v>173</v>
      </c>
      <c r="B18" s="17" t="n">
        <f aca="false">B_share*2*B5*ABS(B8)</f>
        <v>0.0962697074793979</v>
      </c>
      <c r="C18" s="10" t="s">
        <v>174</v>
      </c>
    </row>
    <row r="19" customFormat="false" ht="15" hidden="false" customHeight="false" outlineLevel="0" collapsed="false">
      <c r="A19" s="2" t="s">
        <v>175</v>
      </c>
      <c r="B19" s="17" t="n">
        <f aca="false">2*Q_gap*ABS(D0_gap)*(1-EXP(-(2*A_close+Rho_a)*Tau_d))/(2*A_close+Rho_a)+2*B5*ABS(B8)*EXP(-A_close*Tau_d)</f>
        <v>0.287025550484486</v>
      </c>
      <c r="C19" s="10" t="s">
        <v>176</v>
      </c>
    </row>
    <row r="21" customFormat="false" ht="15" hidden="false" customHeight="false" outlineLevel="0" collapsed="false">
      <c r="A21" s="4" t="s">
        <v>177</v>
      </c>
    </row>
    <row r="22" customFormat="false" ht="15" hidden="false" customHeight="false" outlineLevel="0" collapsed="false">
      <c r="A22" s="8" t="s">
        <v>178</v>
      </c>
      <c r="B22" s="8" t="s">
        <v>179</v>
      </c>
      <c r="C22" s="8" t="s">
        <v>180</v>
      </c>
      <c r="D22" s="8" t="s">
        <v>181</v>
      </c>
      <c r="E22" s="8" t="s">
        <v>182</v>
      </c>
      <c r="F22" s="8" t="s">
        <v>183</v>
      </c>
      <c r="G22" s="8" t="s">
        <v>184</v>
      </c>
    </row>
    <row r="23" customFormat="false" ht="15" hidden="false" customHeight="false" outlineLevel="0" collapsed="false">
      <c r="A23" s="12" t="n">
        <v>0</v>
      </c>
      <c r="B23" s="17" t="n">
        <f aca="false">A23/12</f>
        <v>0</v>
      </c>
      <c r="C23" s="18" t="n">
        <f aca="false">Q_gap*EXP(-Rho_a*B23)</f>
        <v>0.0032</v>
      </c>
      <c r="D23" s="18" t="n">
        <f aca="false">(-(Riccati!$B$5)+SQRT((Riccati!$B$5)^2+4*(Riccati!$B$4)*(C23)))/(2*(Riccati!$B$4))</f>
        <v>0.000903721742949847</v>
      </c>
      <c r="E23" s="15" t="n">
        <f aca="false">EXP(-A_close*B23)*D0_gap</f>
        <v>-100</v>
      </c>
      <c r="F23" s="15" t="n">
        <f aca="false">Q_gap*D0_gap^2*(1-EXP(-(2*A_close+Rho_a)*B23))/(2*A_close+Rho_a)</f>
        <v>0</v>
      </c>
      <c r="G23" s="15" t="n">
        <f aca="false">F23+D23*E23^2</f>
        <v>9.03721742949847</v>
      </c>
    </row>
    <row r="24" customFormat="false" ht="15" hidden="false" customHeight="false" outlineLevel="0" collapsed="false">
      <c r="A24" s="12" t="n">
        <v>1</v>
      </c>
      <c r="B24" s="17" t="n">
        <f aca="false">A24/12</f>
        <v>0.0833333333333333</v>
      </c>
      <c r="C24" s="18" t="n">
        <f aca="false">Q_gap*EXP(-Rho_a*B24)</f>
        <v>0.00317468461903037</v>
      </c>
      <c r="D24" s="18" t="n">
        <f aca="false">(-(Riccati!$B$5)+SQRT((Riccati!$B$5)^2+4*(Riccati!$B$4)*(C24)))/(2*(Riccati!$B$4))</f>
        <v>0.000899593163481637</v>
      </c>
      <c r="E24" s="15" t="n">
        <f aca="false">EXP(-A_close*B24)*D0_gap</f>
        <v>-96.548938460563</v>
      </c>
      <c r="F24" s="15" t="n">
        <f aca="false">Q_gap*D0_gap^2*(1-EXP(-(2*A_close+Rho_a)*B24))/(2*A_close+Rho_a)</f>
        <v>2.56508726795093</v>
      </c>
      <c r="G24" s="15" t="n">
        <f aca="false">F24+D24*E24^2</f>
        <v>10.9508226270629</v>
      </c>
    </row>
    <row r="25" customFormat="false" ht="15" hidden="false" customHeight="false" outlineLevel="0" collapsed="false">
      <c r="A25" s="12" t="n">
        <v>2</v>
      </c>
      <c r="B25" s="17" t="n">
        <f aca="false">A25/12</f>
        <v>0.166666666666667</v>
      </c>
      <c r="C25" s="18" t="n">
        <f aca="false">Q_gap*EXP(-Rho_a*B25)</f>
        <v>0.00314956950947125</v>
      </c>
      <c r="D25" s="18" t="n">
        <f aca="false">(-(Riccati!$B$5)+SQRT((Riccati!$B$5)^2+4*(Riccati!$B$4)*(C25)))/(2*(Riccati!$B$4))</f>
        <v>0.000895481330938493</v>
      </c>
      <c r="E25" s="15" t="n">
        <f aca="false">EXP(-A_close*B25)*D0_gap</f>
        <v>-93.2169751786158</v>
      </c>
      <c r="F25" s="15" t="n">
        <f aca="false">Q_gap*D0_gap^2*(1-EXP(-(2*A_close+Rho_a)*B25))/(2*A_close+Rho_a)</f>
        <v>4.93726792811966</v>
      </c>
      <c r="G25" s="15" t="n">
        <f aca="false">F25+D25*E25^2</f>
        <v>12.7184674003224</v>
      </c>
    </row>
    <row r="26" customFormat="false" ht="15" hidden="false" customHeight="false" outlineLevel="0" collapsed="false">
      <c r="A26" s="12" t="n">
        <v>3</v>
      </c>
      <c r="B26" s="17" t="n">
        <f aca="false">A26/12</f>
        <v>0.25</v>
      </c>
      <c r="C26" s="18" t="n">
        <f aca="false">Q_gap*EXP(-Rho_a*B26)</f>
        <v>0.00312465308696419</v>
      </c>
      <c r="D26" s="18" t="n">
        <f aca="false">(-(Riccati!$B$5)+SQRT((Riccati!$B$5)^2+4*(Riccati!$B$4)*(C26)))/(2*(Riccati!$B$4))</f>
        <v>0.000891386180364795</v>
      </c>
      <c r="E26" s="15" t="n">
        <f aca="false">EXP(-A_close*B26)*D0_gap</f>
        <v>-90</v>
      </c>
      <c r="F26" s="15" t="n">
        <f aca="false">Q_gap*D0_gap^2*(1-EXP(-(2*A_close+Rho_a)*B26))/(2*A_close+Rho_a)</f>
        <v>7.13104946326946</v>
      </c>
      <c r="G26" s="15" t="n">
        <f aca="false">F26+D26*E26^2</f>
        <v>14.3512775242243</v>
      </c>
    </row>
    <row r="27" customFormat="false" ht="15" hidden="false" customHeight="false" outlineLevel="0" collapsed="false">
      <c r="A27" s="12" t="n">
        <v>4</v>
      </c>
      <c r="B27" s="17" t="n">
        <f aca="false">A27/12</f>
        <v>0.333333333333333</v>
      </c>
      <c r="C27" s="18" t="n">
        <f aca="false">Q_gap*EXP(-Rho_a*B27)</f>
        <v>0.00309993377968469</v>
      </c>
      <c r="D27" s="18" t="n">
        <f aca="false">(-(Riccati!$B$5)+SQRT((Riccati!$B$5)^2+4*(Riccati!$B$4)*(C27)))/(2*(Riccati!$B$4))</f>
        <v>0.000887307647066766</v>
      </c>
      <c r="E27" s="15" t="n">
        <f aca="false">EXP(-A_close*B27)*D0_gap</f>
        <v>-86.8940446145067</v>
      </c>
      <c r="F27" s="15" t="n">
        <f aca="false">Q_gap*D0_gap^2*(1-EXP(-(2*A_close+Rho_a)*B27))/(2*A_close+Rho_a)</f>
        <v>9.15984832533498</v>
      </c>
      <c r="G27" s="15" t="n">
        <f aca="false">F27+D27*E27^2</f>
        <v>15.8595312532409</v>
      </c>
    </row>
    <row r="28" customFormat="false" ht="15" hidden="false" customHeight="false" outlineLevel="0" collapsed="false">
      <c r="A28" s="12" t="n">
        <v>5</v>
      </c>
      <c r="B28" s="17" t="n">
        <f aca="false">A28/12</f>
        <v>0.416666666666667</v>
      </c>
      <c r="C28" s="18" t="n">
        <f aca="false">Q_gap*EXP(-Rho_a*B28)</f>
        <v>0.00307541002824302</v>
      </c>
      <c r="D28" s="18" t="n">
        <f aca="false">(-(Riccati!$B$5)+SQRT((Riccati!$B$5)^2+4*(Riccati!$B$4)*(C28)))/(2*(Riccati!$B$4))</f>
        <v>0.00088324566661144</v>
      </c>
      <c r="E28" s="15" t="n">
        <f aca="false">EXP(-A_close*B28)*D0_gap</f>
        <v>-83.8952776607542</v>
      </c>
      <c r="F28" s="15" t="n">
        <f aca="false">Q_gap*D0_gap^2*(1-EXP(-(2*A_close+Rho_a)*B28))/(2*A_close+Rho_a)</f>
        <v>11.036071986064</v>
      </c>
      <c r="G28" s="15" t="n">
        <f aca="false">F28+D28*E28^2</f>
        <v>17.2527238432324</v>
      </c>
    </row>
    <row r="29" customFormat="false" ht="15" hidden="false" customHeight="false" outlineLevel="0" collapsed="false">
      <c r="A29" s="12" t="n">
        <v>6</v>
      </c>
      <c r="B29" s="17" t="n">
        <f aca="false">A29/12</f>
        <v>0.5</v>
      </c>
      <c r="C29" s="18" t="n">
        <f aca="false">Q_gap*EXP(-Rho_a*B29)</f>
        <v>0.0030510802855859</v>
      </c>
      <c r="D29" s="18" t="n">
        <f aca="false">(-(Riccati!$B$5)+SQRT((Riccati!$B$5)^2+4*(Riccati!$B$4)*(C29)))/(2*(Riccati!$B$4))</f>
        <v>0.000879200174825628</v>
      </c>
      <c r="E29" s="15" t="n">
        <f aca="false">EXP(-A_close*B29)*D0_gap</f>
        <v>-81</v>
      </c>
      <c r="F29" s="15" t="n">
        <f aca="false">Q_gap*D0_gap^2*(1-EXP(-(2*A_close+Rho_a)*B29))/(2*A_close+Rho_a)</f>
        <v>12.7711948170652</v>
      </c>
      <c r="G29" s="15" t="n">
        <f aca="false">F29+D29*E29^2</f>
        <v>18.5396271640962</v>
      </c>
    </row>
    <row r="31" customFormat="false" ht="15" hidden="false" customHeight="false" outlineLevel="0" collapsed="false">
      <c r="A31" s="4" t="s">
        <v>185</v>
      </c>
      <c r="G31" s="15" t="n">
        <f aca="false">G26-G24</f>
        <v>3.40045489716135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0"/>
    <col collapsed="false" customWidth="true" hidden="false" outlineLevel="0" max="3" min="3" style="0" width="22"/>
    <col collapsed="false" customWidth="true" hidden="false" outlineLevel="0" max="4" min="4" style="0" width="12"/>
    <col collapsed="false" customWidth="true" hidden="false" outlineLevel="0" max="5" min="5" style="0" width="14"/>
    <col collapsed="false" customWidth="true" hidden="false" outlineLevel="0" max="7" min="6" style="0" width="12"/>
    <col collapsed="false" customWidth="true" hidden="false" outlineLevel="0" max="10" min="8" style="0" width="10"/>
  </cols>
  <sheetData>
    <row r="1" customFormat="false" ht="15" hidden="false" customHeight="false" outlineLevel="0" collapsed="false">
      <c r="A1" s="1" t="s">
        <v>186</v>
      </c>
    </row>
    <row r="2" customFormat="false" ht="15" hidden="false" customHeight="false" outlineLevel="0" collapsed="false">
      <c r="A2" s="10" t="s">
        <v>187</v>
      </c>
    </row>
    <row r="4" customFormat="false" ht="23.85" hidden="false" customHeight="false" outlineLevel="0" collapsed="false">
      <c r="A4" s="8" t="s">
        <v>142</v>
      </c>
      <c r="B4" s="8" t="s">
        <v>188</v>
      </c>
      <c r="C4" s="8" t="s">
        <v>189</v>
      </c>
      <c r="D4" s="8" t="s">
        <v>85</v>
      </c>
      <c r="E4" s="8" t="s">
        <v>190</v>
      </c>
      <c r="F4" s="8" t="s">
        <v>191</v>
      </c>
      <c r="G4" s="8" t="s">
        <v>170</v>
      </c>
      <c r="H4" s="8" t="s">
        <v>192</v>
      </c>
      <c r="I4" s="8" t="s">
        <v>193</v>
      </c>
      <c r="J4" s="8" t="s">
        <v>194</v>
      </c>
    </row>
    <row r="5" customFormat="false" ht="15" hidden="false" customHeight="false" outlineLevel="0" collapsed="false">
      <c r="A5" s="2" t="s">
        <v>195</v>
      </c>
      <c r="B5" s="2" t="s">
        <v>196</v>
      </c>
      <c r="C5" s="17" t="n">
        <f aca="false">Delay!B6</f>
        <v>4.27865366575102</v>
      </c>
      <c r="D5" s="13" t="n">
        <f aca="false">C5/4</f>
        <v>1.06966341643775</v>
      </c>
      <c r="E5" s="24" t="n">
        <v>67.8146431061425</v>
      </c>
      <c r="F5" s="25" t="n">
        <v>0</v>
      </c>
      <c r="G5" s="25" t="n">
        <v>-9.56590290630719</v>
      </c>
      <c r="H5" s="26" t="n">
        <v>14.3512774415024</v>
      </c>
      <c r="I5" s="15" t="s">
        <v>197</v>
      </c>
      <c r="J5" s="15" t="n">
        <f aca="false">Riccati!B14</f>
        <v>9.03721742949847</v>
      </c>
    </row>
    <row r="6" customFormat="false" ht="15" hidden="false" customHeight="false" outlineLevel="0" collapsed="false">
      <c r="A6" s="2" t="s">
        <v>198</v>
      </c>
      <c r="B6" s="2" t="s">
        <v>199</v>
      </c>
      <c r="C6" s="17" t="n">
        <f aca="false">Riccati!B9</f>
        <v>4.33786436615926</v>
      </c>
      <c r="D6" s="13" t="n">
        <f aca="false">C6/4</f>
        <v>1.08446609153982</v>
      </c>
      <c r="E6" s="24" t="n">
        <v>102.930164189086</v>
      </c>
      <c r="F6" s="25" t="n">
        <v>15.8665751291443</v>
      </c>
      <c r="G6" s="25" t="n">
        <v>12.242305289421</v>
      </c>
      <c r="H6" s="26" t="n">
        <v>17.4707958316058</v>
      </c>
      <c r="I6" s="15" t="n">
        <f aca="false">H6-$H$5</f>
        <v>3.11951839010342</v>
      </c>
      <c r="J6" s="15" t="n">
        <f aca="false">(Q_gap+R_prem*C6^2)*D0_gap^2/(2*(A_close+B_share*C6)+Rho_a)</f>
        <v>9.03721742949847</v>
      </c>
    </row>
    <row r="7" customFormat="false" ht="15" hidden="false" customHeight="false" outlineLevel="0" collapsed="false">
      <c r="A7" s="2" t="s">
        <v>200</v>
      </c>
      <c r="B7" s="2" t="s">
        <v>199</v>
      </c>
      <c r="C7" s="23" t="n">
        <v>2.48234745571465</v>
      </c>
      <c r="D7" s="13" t="n">
        <f aca="false">C7/4</f>
        <v>0.620586863928663</v>
      </c>
      <c r="E7" s="24" t="n">
        <v>58.9018949472818</v>
      </c>
      <c r="F7" s="25" t="n">
        <v>0.119145122804477</v>
      </c>
      <c r="G7" s="25" t="n">
        <v>-5.86069168159247</v>
      </c>
      <c r="H7" s="26" t="n">
        <v>14.5811919838896</v>
      </c>
      <c r="I7" s="15" t="n">
        <f aca="false">H7-$H$5</f>
        <v>0.22991454238718</v>
      </c>
      <c r="J7" s="15" t="n">
        <f aca="false">(Q_gap+R_prem*C7^2)*D0_gap^2/(2*(A_close+B_share*C7)+Rho_a)</f>
        <v>10.1359323627446</v>
      </c>
    </row>
    <row r="8" customFormat="false" ht="15" hidden="false" customHeight="false" outlineLevel="0" collapsed="false">
      <c r="A8" s="2" t="s">
        <v>146</v>
      </c>
      <c r="B8" s="2" t="s">
        <v>199</v>
      </c>
      <c r="C8" s="17" t="n">
        <f aca="false">K_caut</f>
        <v>2</v>
      </c>
      <c r="D8" s="13" t="n">
        <f aca="false">C8/4</f>
        <v>0.5</v>
      </c>
      <c r="E8" s="24" t="n">
        <v>47.4566079069089</v>
      </c>
      <c r="F8" s="25" t="n">
        <v>0</v>
      </c>
      <c r="G8" s="25" t="n">
        <v>-14.1733881029368</v>
      </c>
      <c r="H8" s="26" t="n">
        <v>14.8440105558842</v>
      </c>
      <c r="I8" s="15" t="n">
        <f aca="false">H8-$H$5</f>
        <v>0.492733114381791</v>
      </c>
      <c r="J8" s="15" t="n">
        <f aca="false">(Q_gap+R_prem*C8^2)*D0_gap^2/(2*(A_close+B_share*C8)+Rho_a)</f>
        <v>11.0838365351708</v>
      </c>
    </row>
    <row r="9" customFormat="false" ht="15" hidden="false" customHeight="false" outlineLevel="0" collapsed="false">
      <c r="A9" s="2" t="s">
        <v>147</v>
      </c>
      <c r="B9" s="2" t="s">
        <v>199</v>
      </c>
      <c r="C9" s="17" t="n">
        <f aca="false">K_dead</f>
        <v>6</v>
      </c>
      <c r="D9" s="13" t="n">
        <f aca="false">C9/4</f>
        <v>1.5</v>
      </c>
      <c r="E9" s="24" t="n">
        <v>142.369823720727</v>
      </c>
      <c r="F9" s="25" t="n">
        <v>36.5589130525328</v>
      </c>
      <c r="G9" s="25" t="n">
        <v>10.9412162954871</v>
      </c>
      <c r="H9" s="26" t="n">
        <v>25.0695313034543</v>
      </c>
      <c r="I9" s="15" t="n">
        <f aca="false">H9-$H$5</f>
        <v>10.7182538619519</v>
      </c>
      <c r="J9" s="15" t="n">
        <f aca="false">(Q_gap+R_prem*C9^2)*D0_gap^2/(2*(A_close+B_share*C9)+Rho_a)</f>
        <v>9.46155831546795</v>
      </c>
    </row>
    <row r="11" customFormat="false" ht="15" hidden="false" customHeight="false" outlineLevel="0" collapsed="false">
      <c r="A11" s="2" t="s">
        <v>201</v>
      </c>
      <c r="H11" s="15" t="n">
        <f aca="false">Delay!B11</f>
        <v>14.3512775242243</v>
      </c>
      <c r="I11" s="22" t="n">
        <f aca="false">H5-H11</f>
        <v>-8.27219270860269E-008</v>
      </c>
    </row>
    <row r="12" customFormat="false" ht="15" hidden="false" customHeight="false" outlineLevel="0" collapsed="false">
      <c r="A12" s="2" t="s">
        <v>202</v>
      </c>
      <c r="J12" s="15" t="n">
        <f aca="false">J8-J5</f>
        <v>2.04661910567233</v>
      </c>
    </row>
    <row r="14" customFormat="false" ht="15" hidden="false" customHeight="false" outlineLevel="0" collapsed="false">
      <c r="A14" s="4" t="s">
        <v>203</v>
      </c>
    </row>
    <row r="15" customFormat="false" ht="15" hidden="false" customHeight="false" outlineLevel="0" collapsed="false">
      <c r="A15" s="8" t="s">
        <v>136</v>
      </c>
      <c r="B15" s="8" t="s">
        <v>204</v>
      </c>
      <c r="C15" s="8" t="s">
        <v>205</v>
      </c>
    </row>
    <row r="16" customFormat="false" ht="15" hidden="false" customHeight="false" outlineLevel="0" collapsed="false">
      <c r="A16" s="12" t="n">
        <v>1</v>
      </c>
      <c r="B16" s="15" t="n">
        <f aca="false">(Q_gap+R_prem*A16^2)*D0_gap^2/(2*(A_close+B_share*A16)+Rho_a)</f>
        <v>15.5505044238527</v>
      </c>
      <c r="C16" s="26" t="n">
        <v>18.0130383858442</v>
      </c>
    </row>
    <row r="17" customFormat="false" ht="15" hidden="false" customHeight="false" outlineLevel="0" collapsed="false">
      <c r="A17" s="12" t="n">
        <v>2</v>
      </c>
      <c r="B17" s="15" t="n">
        <f aca="false">(Q_gap+R_prem*A17^2)*D0_gap^2/(2*(A_close+B_share*A17)+Rho_a)</f>
        <v>11.0838365351708</v>
      </c>
      <c r="C17" s="26" t="n">
        <v>14.844009281482</v>
      </c>
    </row>
    <row r="18" customFormat="false" ht="15" hidden="false" customHeight="false" outlineLevel="0" collapsed="false">
      <c r="A18" s="12" t="n">
        <v>3</v>
      </c>
      <c r="B18" s="15" t="n">
        <f aca="false">(Q_gap+R_prem*A18^2)*D0_gap^2/(2*(A_close+B_share*A18)+Rho_a)</f>
        <v>9.53022217486611</v>
      </c>
      <c r="C18" s="26" t="n">
        <v>14.8318098930436</v>
      </c>
    </row>
    <row r="19" customFormat="false" ht="15" hidden="false" customHeight="false" outlineLevel="0" collapsed="false">
      <c r="A19" s="12" t="n">
        <v>4</v>
      </c>
      <c r="B19" s="15" t="n">
        <f aca="false">(Q_gap+R_prem*A19^2)*D0_gap^2/(2*(A_close+B_share*A19)+Rho_a)</f>
        <v>9.06208420897895</v>
      </c>
      <c r="C19" s="26" t="n">
        <v>16.5471441003098</v>
      </c>
    </row>
    <row r="20" customFormat="false" ht="15" hidden="false" customHeight="false" outlineLevel="0" collapsed="false">
      <c r="A20" s="12" t="n">
        <v>5</v>
      </c>
      <c r="B20" s="15" t="n">
        <f aca="false">(Q_gap+R_prem*A20^2)*D0_gap^2/(2*(A_close+B_share*A20)+Rho_a)</f>
        <v>9.11620476725605</v>
      </c>
      <c r="C20" s="26" t="n">
        <v>19.8257081875518</v>
      </c>
    </row>
    <row r="21" customFormat="false" ht="15" hidden="false" customHeight="false" outlineLevel="0" collapsed="false">
      <c r="A21" s="12" t="n">
        <v>6</v>
      </c>
      <c r="B21" s="15" t="n">
        <f aca="false">(Q_gap+R_prem*A21^2)*D0_gap^2/(2*(A_close+B_share*A21)+Rho_a)</f>
        <v>9.46155831546795</v>
      </c>
      <c r="C21" s="26" t="n">
        <v>25.0695058707012</v>
      </c>
    </row>
    <row r="22" customFormat="false" ht="15" hidden="false" customHeight="false" outlineLevel="0" collapsed="false">
      <c r="A22" s="12" t="n">
        <v>7</v>
      </c>
      <c r="B22" s="15" t="n">
        <f aca="false">(Q_gap+R_prem*A22^2)*D0_gap^2/(2*(A_close+B_share*A22)+Rho_a)</f>
        <v>9.98587060342086</v>
      </c>
      <c r="C22" s="26" t="n">
        <v>33.3822572348746</v>
      </c>
    </row>
    <row r="23" customFormat="false" ht="15" hidden="false" customHeight="false" outlineLevel="0" collapsed="false">
      <c r="A23" s="12" t="n">
        <v>8</v>
      </c>
      <c r="B23" s="15" t="n">
        <f aca="false">(Q_gap+R_prem*A23^2)*D0_gap^2/(2*(A_close+B_share*A23)+Rho_a)</f>
        <v>10.6280067303512</v>
      </c>
      <c r="C23" s="26" t="n">
        <v>47.4659219247519</v>
      </c>
    </row>
    <row r="25" customFormat="false" ht="15" hidden="false" customHeight="false" outlineLevel="0" collapsed="false">
      <c r="A25" s="10" t="s">
        <v>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4" min="2" style="0" width="14"/>
    <col collapsed="false" customWidth="true" hidden="false" outlineLevel="0" max="5" min="5" style="0" width="18"/>
    <col collapsed="false" customWidth="true" hidden="false" outlineLevel="0" max="6" min="6" style="0" width="3"/>
    <col collapsed="false" customWidth="true" hidden="false" outlineLevel="0" max="7" min="7" style="0" width="54"/>
    <col collapsed="false" customWidth="true" hidden="false" outlineLevel="0" max="9" min="8" style="0" width="14"/>
  </cols>
  <sheetData>
    <row r="1" customFormat="false" ht="15" hidden="false" customHeight="false" outlineLevel="0" collapsed="false">
      <c r="A1" s="1" t="s">
        <v>207</v>
      </c>
    </row>
    <row r="2" customFormat="false" ht="15" hidden="false" customHeight="false" outlineLevel="0" collapsed="false">
      <c r="A2" s="10" t="s">
        <v>208</v>
      </c>
    </row>
    <row r="4" customFormat="false" ht="15" hidden="false" customHeight="false" outlineLevel="0" collapsed="false">
      <c r="A4" s="8" t="s">
        <v>135</v>
      </c>
      <c r="B4" s="8" t="s">
        <v>209</v>
      </c>
      <c r="C4" s="8" t="s">
        <v>210</v>
      </c>
      <c r="D4" s="8" t="s">
        <v>211</v>
      </c>
      <c r="E4" s="8" t="s">
        <v>212</v>
      </c>
      <c r="G4" s="8" t="s">
        <v>213</v>
      </c>
      <c r="H4" s="8" t="s">
        <v>21</v>
      </c>
    </row>
    <row r="5" customFormat="false" ht="15" hidden="false" customHeight="false" outlineLevel="0" collapsed="false">
      <c r="A5" s="19" t="n">
        <v>1</v>
      </c>
      <c r="B5" s="27" t="n">
        <f aca="false">PI()/(2*Tau_d)+0.000000001</f>
        <v>6.28318530817959</v>
      </c>
      <c r="C5" s="27" t="n">
        <f aca="false">PI()/Tau_d-0.000000001</f>
        <v>12.5663706133592</v>
      </c>
      <c r="D5" s="27" t="n">
        <f aca="false">(B5+C5)/2</f>
        <v>9.42477796076938</v>
      </c>
      <c r="E5" s="22" t="n">
        <f aca="false">D5+A_close*TAN(D5*Tau_d)</f>
        <v>9.00333589813807</v>
      </c>
      <c r="G5" s="2" t="s">
        <v>214</v>
      </c>
      <c r="H5" s="17" t="n">
        <f aca="false">D64</f>
        <v>6.54056976612923</v>
      </c>
    </row>
    <row r="6" customFormat="false" ht="15" hidden="false" customHeight="false" outlineLevel="0" collapsed="false">
      <c r="A6" s="19" t="n">
        <v>2</v>
      </c>
      <c r="B6" s="27" t="n">
        <f aca="false">IF(E5&lt;0,D5,B5)</f>
        <v>6.28318530817959</v>
      </c>
      <c r="C6" s="27" t="n">
        <f aca="false">IF(E5&lt;0,C5,D5)</f>
        <v>9.42477796076938</v>
      </c>
      <c r="D6" s="27" t="n">
        <f aca="false">(B6+C6)/2</f>
        <v>7.85398163447448</v>
      </c>
      <c r="E6" s="22" t="n">
        <f aca="false">D6+A_close*TAN(D6*Tau_d)</f>
        <v>6.83653049147522</v>
      </c>
      <c r="G6" s="2" t="s">
        <v>215</v>
      </c>
      <c r="H6" s="17" t="n">
        <f aca="false">SQRT(A_close^2+H5^2)/B_share</f>
        <v>10.9235558768093</v>
      </c>
    </row>
    <row r="7" customFormat="false" ht="15" hidden="false" customHeight="false" outlineLevel="0" collapsed="false">
      <c r="A7" s="19" t="n">
        <v>3</v>
      </c>
      <c r="B7" s="27" t="n">
        <f aca="false">IF(E6&lt;0,D6,B6)</f>
        <v>6.28318530817959</v>
      </c>
      <c r="C7" s="27" t="n">
        <f aca="false">IF(E6&lt;0,C6,D6)</f>
        <v>7.85398163447448</v>
      </c>
      <c r="D7" s="27" t="n">
        <f aca="false">(B7+C7)/2</f>
        <v>7.06858347132704</v>
      </c>
      <c r="E7" s="22" t="n">
        <f aca="false">D7+A_close*TAN(D7*Tau_d)</f>
        <v>4.94985114829389</v>
      </c>
      <c r="G7" s="2" t="s">
        <v>216</v>
      </c>
      <c r="H7" s="17" t="n">
        <f aca="false">H6/4</f>
        <v>2.73088896920231</v>
      </c>
    </row>
    <row r="8" customFormat="false" ht="15" hidden="false" customHeight="false" outlineLevel="0" collapsed="false">
      <c r="A8" s="19" t="n">
        <v>4</v>
      </c>
      <c r="B8" s="27" t="n">
        <f aca="false">IF(E7&lt;0,D7,B7)</f>
        <v>6.28318530817959</v>
      </c>
      <c r="C8" s="27" t="n">
        <f aca="false">IF(E7&lt;0,C7,D7)</f>
        <v>7.06858347132704</v>
      </c>
      <c r="D8" s="27" t="n">
        <f aca="false">(B8+C8)/2</f>
        <v>6.67588438975331</v>
      </c>
      <c r="E8" s="22" t="n">
        <f aca="false">D8+A_close*TAN(D8*Tau_d)</f>
        <v>2.39691132894816</v>
      </c>
      <c r="G8" s="2" t="s">
        <v>217</v>
      </c>
      <c r="H8" s="17" t="n">
        <f aca="false">2*PI()/H5</f>
        <v>0.960648006495929</v>
      </c>
    </row>
    <row r="9" customFormat="false" ht="15" hidden="false" customHeight="false" outlineLevel="0" collapsed="false">
      <c r="A9" s="19" t="n">
        <v>5</v>
      </c>
      <c r="B9" s="27" t="n">
        <f aca="false">IF(E8&lt;0,D8,B8)</f>
        <v>6.28318530817959</v>
      </c>
      <c r="C9" s="27" t="n">
        <f aca="false">IF(E8&lt;0,C8,D8)</f>
        <v>6.67588438975331</v>
      </c>
      <c r="D9" s="27" t="n">
        <f aca="false">(B9+C9)/2</f>
        <v>6.47953484896645</v>
      </c>
      <c r="E9" s="22" t="n">
        <f aca="false">D9+A_close*TAN(D9*Tau_d)</f>
        <v>-2.099115371707</v>
      </c>
      <c r="G9" s="2" t="s">
        <v>218</v>
      </c>
      <c r="H9" s="13" t="n">
        <f aca="false">1/B_share</f>
        <v>1.66666666666667</v>
      </c>
    </row>
    <row r="10" customFormat="false" ht="15" hidden="false" customHeight="false" outlineLevel="0" collapsed="false">
      <c r="A10" s="19" t="n">
        <v>6</v>
      </c>
      <c r="B10" s="27" t="n">
        <f aca="false">IF(E9&lt;0,D9,B9)</f>
        <v>6.47953484896645</v>
      </c>
      <c r="C10" s="27" t="n">
        <f aca="false">IF(E9&lt;0,C9,D9)</f>
        <v>6.67588438975331</v>
      </c>
      <c r="D10" s="27" t="n">
        <f aca="false">(B10+C10)/2</f>
        <v>6.57770961935988</v>
      </c>
      <c r="E10" s="22" t="n">
        <f aca="false">D10+A_close*TAN(D10*Tau_d)</f>
        <v>0.864358989096153</v>
      </c>
    </row>
    <row r="11" customFormat="false" ht="15" hidden="false" customHeight="false" outlineLevel="0" collapsed="false">
      <c r="A11" s="19" t="n">
        <v>7</v>
      </c>
      <c r="B11" s="27" t="n">
        <f aca="false">IF(E10&lt;0,D10,B10)</f>
        <v>6.47953484896645</v>
      </c>
      <c r="C11" s="27" t="n">
        <f aca="false">IF(E10&lt;0,C10,D10)</f>
        <v>6.57770961935988</v>
      </c>
      <c r="D11" s="27" t="n">
        <f aca="false">(B11+C11)/2</f>
        <v>6.52862223416316</v>
      </c>
      <c r="E11" s="22" t="n">
        <f aca="false">D11+A_close*TAN(D11*Tau_d)</f>
        <v>-0.33119354810755</v>
      </c>
      <c r="G11" s="8" t="s">
        <v>219</v>
      </c>
      <c r="H11" s="8" t="s">
        <v>220</v>
      </c>
      <c r="I11" s="8" t="s">
        <v>221</v>
      </c>
    </row>
    <row r="12" customFormat="false" ht="15" hidden="false" customHeight="false" outlineLevel="0" collapsed="false">
      <c r="A12" s="19" t="n">
        <v>8</v>
      </c>
      <c r="B12" s="27" t="n">
        <f aca="false">IF(E11&lt;0,D11,B11)</f>
        <v>6.52862223416316</v>
      </c>
      <c r="C12" s="27" t="n">
        <f aca="false">IF(E11&lt;0,C11,D11)</f>
        <v>6.57770961935988</v>
      </c>
      <c r="D12" s="27" t="n">
        <f aca="false">(B12+C12)/2</f>
        <v>6.55316592676152</v>
      </c>
      <c r="E12" s="22" t="n">
        <f aca="false">D12+A_close*TAN(D12*Tau_d)</f>
        <v>0.318616267818592</v>
      </c>
      <c r="G12" s="2" t="s">
        <v>222</v>
      </c>
      <c r="H12" s="24" t="n">
        <v>61.3996248418692</v>
      </c>
      <c r="I12" s="24" t="n">
        <v>8.37048763303501</v>
      </c>
    </row>
    <row r="13" customFormat="false" ht="15" hidden="false" customHeight="false" outlineLevel="0" collapsed="false">
      <c r="A13" s="19" t="n">
        <v>9</v>
      </c>
      <c r="B13" s="27" t="n">
        <f aca="false">IF(E12&lt;0,D12,B12)</f>
        <v>6.52862223416316</v>
      </c>
      <c r="C13" s="27" t="n">
        <f aca="false">IF(E12&lt;0,C12,D12)</f>
        <v>6.55316592676152</v>
      </c>
      <c r="D13" s="27" t="n">
        <f aca="false">(B13+C13)/2</f>
        <v>6.54089408046234</v>
      </c>
      <c r="E13" s="22" t="n">
        <f aca="false">D13+A_close*TAN(D13*Tau_d)</f>
        <v>0.00857809102360907</v>
      </c>
      <c r="G13" s="2" t="s">
        <v>223</v>
      </c>
      <c r="H13" s="24" t="n">
        <v>280.333016942827</v>
      </c>
      <c r="I13" s="24" t="n">
        <v>2412.62392383681</v>
      </c>
    </row>
    <row r="14" customFormat="false" ht="15" hidden="false" customHeight="false" outlineLevel="0" collapsed="false">
      <c r="A14" s="19" t="n">
        <v>10</v>
      </c>
      <c r="B14" s="27" t="n">
        <f aca="false">IF(E13&lt;0,D13,B13)</f>
        <v>6.52862223416316</v>
      </c>
      <c r="C14" s="27" t="n">
        <f aca="false">IF(E13&lt;0,C13,D13)</f>
        <v>6.54089408046234</v>
      </c>
      <c r="D14" s="27" t="n">
        <f aca="false">(B14+C14)/2</f>
        <v>6.53475815731275</v>
      </c>
      <c r="E14" s="22" t="n">
        <f aca="false">D14+A_close*TAN(D14*Tau_d)</f>
        <v>-0.157319092937717</v>
      </c>
    </row>
    <row r="15" customFormat="false" ht="15" hidden="false" customHeight="false" outlineLevel="0" collapsed="false">
      <c r="A15" s="19" t="n">
        <v>11</v>
      </c>
      <c r="B15" s="27" t="n">
        <f aca="false">IF(E14&lt;0,D14,B14)</f>
        <v>6.53475815731275</v>
      </c>
      <c r="C15" s="27" t="n">
        <f aca="false">IF(E14&lt;0,C14,D14)</f>
        <v>6.54089408046234</v>
      </c>
      <c r="D15" s="27" t="n">
        <f aca="false">(B15+C15)/2</f>
        <v>6.53782611888755</v>
      </c>
      <c r="E15" s="22" t="n">
        <f aca="false">D15+A_close*TAN(D15*Tau_d)</f>
        <v>-0.0734093839941847</v>
      </c>
      <c r="G15" s="10" t="s">
        <v>224</v>
      </c>
    </row>
    <row r="16" customFormat="false" ht="15" hidden="false" customHeight="false" outlineLevel="0" collapsed="false">
      <c r="A16" s="19" t="n">
        <v>12</v>
      </c>
      <c r="B16" s="27" t="n">
        <f aca="false">IF(E15&lt;0,D15,B15)</f>
        <v>6.53782611888755</v>
      </c>
      <c r="C16" s="27" t="n">
        <f aca="false">IF(E15&lt;0,C15,D15)</f>
        <v>6.54089408046234</v>
      </c>
      <c r="D16" s="27" t="n">
        <f aca="false">(B16+C16)/2</f>
        <v>6.53936009967495</v>
      </c>
      <c r="E16" s="22" t="n">
        <f aca="false">D16+A_close*TAN(D16*Tau_d)</f>
        <v>-0.0321796836444221</v>
      </c>
      <c r="G16" s="10" t="s">
        <v>225</v>
      </c>
    </row>
    <row r="17" customFormat="false" ht="15" hidden="false" customHeight="false" outlineLevel="0" collapsed="false">
      <c r="A17" s="19" t="n">
        <v>13</v>
      </c>
      <c r="B17" s="27" t="n">
        <f aca="false">IF(E16&lt;0,D16,B16)</f>
        <v>6.53936009967495</v>
      </c>
      <c r="C17" s="27" t="n">
        <f aca="false">IF(E16&lt;0,C16,D16)</f>
        <v>6.54089408046234</v>
      </c>
      <c r="D17" s="27" t="n">
        <f aca="false">(B17+C17)/2</f>
        <v>6.54012709006864</v>
      </c>
      <c r="E17" s="22" t="n">
        <f aca="false">D17+A_close*TAN(D17*Tau_d)</f>
        <v>-0.0117423338759846</v>
      </c>
    </row>
    <row r="18" customFormat="false" ht="15" hidden="false" customHeight="false" outlineLevel="0" collapsed="false">
      <c r="A18" s="19" t="n">
        <v>14</v>
      </c>
      <c r="B18" s="27" t="n">
        <f aca="false">IF(E17&lt;0,D17,B17)</f>
        <v>6.54012709006864</v>
      </c>
      <c r="C18" s="27" t="n">
        <f aca="false">IF(E17&lt;0,C17,D17)</f>
        <v>6.54089408046234</v>
      </c>
      <c r="D18" s="27" t="n">
        <f aca="false">(B18+C18)/2</f>
        <v>6.54051058526549</v>
      </c>
      <c r="E18" s="22" t="n">
        <f aca="false">D18+A_close*TAN(D18*Tau_d)</f>
        <v>-0.00156757116317774</v>
      </c>
    </row>
    <row r="19" customFormat="false" ht="15" hidden="false" customHeight="false" outlineLevel="0" collapsed="false">
      <c r="A19" s="19" t="n">
        <v>15</v>
      </c>
      <c r="B19" s="27" t="n">
        <f aca="false">IF(E18&lt;0,D18,B18)</f>
        <v>6.54051058526549</v>
      </c>
      <c r="C19" s="27" t="n">
        <f aca="false">IF(E18&lt;0,C18,D18)</f>
        <v>6.54089408046234</v>
      </c>
      <c r="D19" s="27" t="n">
        <f aca="false">(B19+C19)/2</f>
        <v>6.54070233286392</v>
      </c>
      <c r="E19" s="22" t="n">
        <f aca="false">D19+A_close*TAN(D19*Tau_d)</f>
        <v>0.00350888937033211</v>
      </c>
    </row>
    <row r="20" customFormat="false" ht="15" hidden="false" customHeight="false" outlineLevel="0" collapsed="false">
      <c r="A20" s="19" t="n">
        <v>16</v>
      </c>
      <c r="B20" s="27" t="n">
        <f aca="false">IF(E19&lt;0,D19,B19)</f>
        <v>6.54051058526549</v>
      </c>
      <c r="C20" s="27" t="n">
        <f aca="false">IF(E19&lt;0,C19,D19)</f>
        <v>6.54070233286392</v>
      </c>
      <c r="D20" s="27" t="n">
        <f aca="false">(B20+C20)/2</f>
        <v>6.54060645906471</v>
      </c>
      <c r="E20" s="22" t="n">
        <f aca="false">D20+A_close*TAN(D20*Tau_d)</f>
        <v>0.000971567477409785</v>
      </c>
    </row>
    <row r="21" customFormat="false" ht="15" hidden="false" customHeight="false" outlineLevel="0" collapsed="false">
      <c r="A21" s="19" t="n">
        <v>17</v>
      </c>
      <c r="B21" s="27" t="n">
        <f aca="false">IF(E20&lt;0,D20,B20)</f>
        <v>6.54051058526549</v>
      </c>
      <c r="C21" s="27" t="n">
        <f aca="false">IF(E20&lt;0,C20,D20)</f>
        <v>6.54060645906471</v>
      </c>
      <c r="D21" s="27" t="n">
        <f aca="false">(B21+C21)/2</f>
        <v>6.5405585221651</v>
      </c>
      <c r="E21" s="22" t="n">
        <f aca="false">D21+A_close*TAN(D21*Tau_d)</f>
        <v>-0.000297774622519675</v>
      </c>
    </row>
    <row r="22" customFormat="false" ht="15" hidden="false" customHeight="false" outlineLevel="0" collapsed="false">
      <c r="A22" s="19" t="n">
        <v>18</v>
      </c>
      <c r="B22" s="27" t="n">
        <f aca="false">IF(E21&lt;0,D21,B21)</f>
        <v>6.5405585221651</v>
      </c>
      <c r="C22" s="27" t="n">
        <f aca="false">IF(E21&lt;0,C21,D21)</f>
        <v>6.54060645906471</v>
      </c>
      <c r="D22" s="27" t="n">
        <f aca="false">(B22+C22)/2</f>
        <v>6.5405824906149</v>
      </c>
      <c r="E22" s="22" t="n">
        <f aca="false">D22+A_close*TAN(D22*Tau_d)</f>
        <v>0.000336953216663716</v>
      </c>
    </row>
    <row r="23" customFormat="false" ht="15" hidden="false" customHeight="false" outlineLevel="0" collapsed="false">
      <c r="A23" s="19" t="n">
        <v>19</v>
      </c>
      <c r="B23" s="27" t="n">
        <f aca="false">IF(E22&lt;0,D22,B22)</f>
        <v>6.5405585221651</v>
      </c>
      <c r="C23" s="27" t="n">
        <f aca="false">IF(E22&lt;0,C22,D22)</f>
        <v>6.5405824906149</v>
      </c>
      <c r="D23" s="27" t="n">
        <f aca="false">(B23+C23)/2</f>
        <v>6.54057050639</v>
      </c>
      <c r="E23" s="22" t="n">
        <f aca="false">D23+A_close*TAN(D23*Tau_d)</f>
        <v>1.96034963604319E-005</v>
      </c>
    </row>
    <row r="24" customFormat="false" ht="15" hidden="false" customHeight="false" outlineLevel="0" collapsed="false">
      <c r="A24" s="19" t="n">
        <v>20</v>
      </c>
      <c r="B24" s="27" t="n">
        <f aca="false">IF(E23&lt;0,D23,B23)</f>
        <v>6.5405585221651</v>
      </c>
      <c r="C24" s="27" t="n">
        <f aca="false">IF(E23&lt;0,C23,D23)</f>
        <v>6.54057050639</v>
      </c>
      <c r="D24" s="27" t="n">
        <f aca="false">(B24+C24)/2</f>
        <v>6.54056451427755</v>
      </c>
      <c r="E24" s="22" t="n">
        <f aca="false">D24+A_close*TAN(D24*Tau_d)</f>
        <v>-0.000139082013009606</v>
      </c>
    </row>
    <row r="25" customFormat="false" ht="15" hidden="false" customHeight="false" outlineLevel="0" collapsed="false">
      <c r="A25" s="19" t="n">
        <v>21</v>
      </c>
      <c r="B25" s="27" t="n">
        <f aca="false">IF(E24&lt;0,D24,B24)</f>
        <v>6.54056451427755</v>
      </c>
      <c r="C25" s="27" t="n">
        <f aca="false">IF(E24&lt;0,C24,D24)</f>
        <v>6.54057050639</v>
      </c>
      <c r="D25" s="27" t="n">
        <f aca="false">(B25+C25)/2</f>
        <v>6.54056751033378</v>
      </c>
      <c r="E25" s="22" t="n">
        <f aca="false">D25+A_close*TAN(D25*Tau_d)</f>
        <v>-5.97383708385024E-005</v>
      </c>
    </row>
    <row r="26" customFormat="false" ht="15" hidden="false" customHeight="false" outlineLevel="0" collapsed="false">
      <c r="A26" s="19" t="n">
        <v>22</v>
      </c>
      <c r="B26" s="27" t="n">
        <f aca="false">IF(E25&lt;0,D25,B25)</f>
        <v>6.54056751033378</v>
      </c>
      <c r="C26" s="27" t="n">
        <f aca="false">IF(E25&lt;0,C25,D25)</f>
        <v>6.54057050639</v>
      </c>
      <c r="D26" s="27" t="n">
        <f aca="false">(B26+C26)/2</f>
        <v>6.54056900836189</v>
      </c>
      <c r="E26" s="22" t="n">
        <f aca="false">D26+A_close*TAN(D26*Tau_d)</f>
        <v>-2.00672153596315E-005</v>
      </c>
    </row>
    <row r="27" customFormat="false" ht="15" hidden="false" customHeight="false" outlineLevel="0" collapsed="false">
      <c r="A27" s="19" t="n">
        <v>23</v>
      </c>
      <c r="B27" s="27" t="n">
        <f aca="false">IF(E26&lt;0,D26,B26)</f>
        <v>6.54056900836189</v>
      </c>
      <c r="C27" s="27" t="n">
        <f aca="false">IF(E26&lt;0,C26,D26)</f>
        <v>6.54057050639</v>
      </c>
      <c r="D27" s="27" t="n">
        <f aca="false">(B27+C27)/2</f>
        <v>6.54056975737595</v>
      </c>
      <c r="E27" s="22" t="n">
        <f aca="false">D27+A_close*TAN(D27*Tau_d)</f>
        <v>-2.31804032857497E-007</v>
      </c>
    </row>
    <row r="28" customFormat="false" ht="15" hidden="false" customHeight="false" outlineLevel="0" collapsed="false">
      <c r="A28" s="19" t="n">
        <v>24</v>
      </c>
      <c r="B28" s="27" t="n">
        <f aca="false">IF(E27&lt;0,D27,B27)</f>
        <v>6.54056975737595</v>
      </c>
      <c r="C28" s="27" t="n">
        <f aca="false">IF(E27&lt;0,C27,D27)</f>
        <v>6.54057050639</v>
      </c>
      <c r="D28" s="27" t="n">
        <f aca="false">(B28+C28)/2</f>
        <v>6.54057013188297</v>
      </c>
      <c r="E28" s="22" t="n">
        <f aca="false">D28+A_close*TAN(D28*Tau_d)</f>
        <v>9.68586003047278E-006</v>
      </c>
    </row>
    <row r="29" customFormat="false" ht="15" hidden="false" customHeight="false" outlineLevel="0" collapsed="false">
      <c r="A29" s="19" t="n">
        <v>25</v>
      </c>
      <c r="B29" s="27" t="n">
        <f aca="false">IF(E28&lt;0,D28,B28)</f>
        <v>6.54056975737595</v>
      </c>
      <c r="C29" s="27" t="n">
        <f aca="false">IF(E28&lt;0,C28,D28)</f>
        <v>6.54057013188297</v>
      </c>
      <c r="D29" s="27" t="n">
        <f aca="false">(B29+C29)/2</f>
        <v>6.54056994462946</v>
      </c>
      <c r="E29" s="22" t="n">
        <f aca="false">D29+A_close*TAN(D29*Tau_d)</f>
        <v>4.72703146492393E-006</v>
      </c>
    </row>
    <row r="30" customFormat="false" ht="15" hidden="false" customHeight="false" outlineLevel="0" collapsed="false">
      <c r="A30" s="19" t="n">
        <v>26</v>
      </c>
      <c r="B30" s="27" t="n">
        <f aca="false">IF(E29&lt;0,D29,B29)</f>
        <v>6.54056975737595</v>
      </c>
      <c r="C30" s="27" t="n">
        <f aca="false">IF(E29&lt;0,C29,D29)</f>
        <v>6.54056994462946</v>
      </c>
      <c r="D30" s="27" t="n">
        <f aca="false">(B30+C30)/2</f>
        <v>6.5405698510027</v>
      </c>
      <c r="E30" s="22" t="n">
        <f aca="false">D30+A_close*TAN(D30*Tau_d)</f>
        <v>2.24761458245126E-006</v>
      </c>
    </row>
    <row r="31" customFormat="false" ht="15" hidden="false" customHeight="false" outlineLevel="0" collapsed="false">
      <c r="A31" s="19" t="n">
        <v>27</v>
      </c>
      <c r="B31" s="27" t="n">
        <f aca="false">IF(E30&lt;0,D30,B30)</f>
        <v>6.54056975737595</v>
      </c>
      <c r="C31" s="27" t="n">
        <f aca="false">IF(E30&lt;0,C30,D30)</f>
        <v>6.5405698510027</v>
      </c>
      <c r="D31" s="27" t="n">
        <f aca="false">(B31+C31)/2</f>
        <v>6.54056980418932</v>
      </c>
      <c r="E31" s="22" t="n">
        <f aca="false">D31+A_close*TAN(D31*Tau_d)</f>
        <v>1.00790547907792E-006</v>
      </c>
    </row>
    <row r="32" customFormat="false" ht="15" hidden="false" customHeight="false" outlineLevel="0" collapsed="false">
      <c r="A32" s="19" t="n">
        <v>28</v>
      </c>
      <c r="B32" s="27" t="n">
        <f aca="false">IF(E31&lt;0,D31,B31)</f>
        <v>6.54056975737595</v>
      </c>
      <c r="C32" s="27" t="n">
        <f aca="false">IF(E31&lt;0,C31,D31)</f>
        <v>6.54056980418932</v>
      </c>
      <c r="D32" s="27" t="n">
        <f aca="false">(B32+C32)/2</f>
        <v>6.54056978078263</v>
      </c>
      <c r="E32" s="22" t="n">
        <f aca="false">D32+A_close*TAN(D32*Tau_d)</f>
        <v>3.88050777289095E-007</v>
      </c>
    </row>
    <row r="33" customFormat="false" ht="15" hidden="false" customHeight="false" outlineLevel="0" collapsed="false">
      <c r="A33" s="19" t="n">
        <v>29</v>
      </c>
      <c r="B33" s="27" t="n">
        <f aca="false">IF(E32&lt;0,D32,B32)</f>
        <v>6.54056975737595</v>
      </c>
      <c r="C33" s="27" t="n">
        <f aca="false">IF(E32&lt;0,C32,D32)</f>
        <v>6.54056978078263</v>
      </c>
      <c r="D33" s="27" t="n">
        <f aca="false">(B33+C33)/2</f>
        <v>6.54056976907929</v>
      </c>
      <c r="E33" s="22" t="n">
        <f aca="false">D33+A_close*TAN(D33*Tau_d)</f>
        <v>7.81233744362453E-008</v>
      </c>
    </row>
    <row r="34" customFormat="false" ht="15" hidden="false" customHeight="false" outlineLevel="0" collapsed="false">
      <c r="A34" s="19" t="n">
        <v>30</v>
      </c>
      <c r="B34" s="27" t="n">
        <f aca="false">IF(E33&lt;0,D33,B33)</f>
        <v>6.54056975737595</v>
      </c>
      <c r="C34" s="27" t="n">
        <f aca="false">IF(E33&lt;0,C33,D33)</f>
        <v>6.54056976907929</v>
      </c>
      <c r="D34" s="27" t="n">
        <f aca="false">(B34+C34)/2</f>
        <v>6.54056976322762</v>
      </c>
      <c r="E34" s="22" t="n">
        <f aca="false">D34+A_close*TAN(D34*Tau_d)</f>
        <v>-7.68403261020012E-008</v>
      </c>
    </row>
    <row r="35" customFormat="false" ht="15" hidden="false" customHeight="false" outlineLevel="0" collapsed="false">
      <c r="A35" s="19" t="n">
        <v>31</v>
      </c>
      <c r="B35" s="27" t="n">
        <f aca="false">IF(E34&lt;0,D34,B34)</f>
        <v>6.54056976322762</v>
      </c>
      <c r="C35" s="27" t="n">
        <f aca="false">IF(E34&lt;0,C34,D34)</f>
        <v>6.54056976907929</v>
      </c>
      <c r="D35" s="27" t="n">
        <f aca="false">(B35+C35)/2</f>
        <v>6.54056976615345</v>
      </c>
      <c r="E35" s="22" t="n">
        <f aca="false">D35+A_close*TAN(D35*Tau_d)</f>
        <v>6.41536601619919E-010</v>
      </c>
    </row>
    <row r="36" customFormat="false" ht="15" hidden="false" customHeight="false" outlineLevel="0" collapsed="false">
      <c r="A36" s="19" t="n">
        <v>32</v>
      </c>
      <c r="B36" s="27" t="n">
        <f aca="false">IF(E35&lt;0,D35,B35)</f>
        <v>6.54056976322762</v>
      </c>
      <c r="C36" s="27" t="n">
        <f aca="false">IF(E35&lt;0,C35,D35)</f>
        <v>6.54056976615345</v>
      </c>
      <c r="D36" s="27" t="n">
        <f aca="false">(B36+C36)/2</f>
        <v>6.54056976469053</v>
      </c>
      <c r="E36" s="22" t="n">
        <f aca="false">D36+A_close*TAN(D36*Tau_d)</f>
        <v>-3.80994062965101E-008</v>
      </c>
    </row>
    <row r="37" customFormat="false" ht="15" hidden="false" customHeight="false" outlineLevel="0" collapsed="false">
      <c r="A37" s="19" t="n">
        <v>33</v>
      </c>
      <c r="B37" s="27" t="n">
        <f aca="false">IF(E36&lt;0,D36,B36)</f>
        <v>6.54056976469053</v>
      </c>
      <c r="C37" s="27" t="n">
        <f aca="false">IF(E36&lt;0,C36,D36)</f>
        <v>6.54056976615345</v>
      </c>
      <c r="D37" s="27" t="n">
        <f aca="false">(B37+C37)/2</f>
        <v>6.54056976542199</v>
      </c>
      <c r="E37" s="22" t="n">
        <f aca="false">D37+A_close*TAN(D37*Tau_d)</f>
        <v>-1.87289348474451E-008</v>
      </c>
    </row>
    <row r="38" customFormat="false" ht="15" hidden="false" customHeight="false" outlineLevel="0" collapsed="false">
      <c r="A38" s="19" t="n">
        <v>34</v>
      </c>
      <c r="B38" s="27" t="n">
        <f aca="false">IF(E37&lt;0,D37,B37)</f>
        <v>6.54056976542199</v>
      </c>
      <c r="C38" s="27" t="n">
        <f aca="false">IF(E37&lt;0,C37,D37)</f>
        <v>6.54056976615345</v>
      </c>
      <c r="D38" s="27" t="n">
        <f aca="false">(B38+C38)/2</f>
        <v>6.54056976578772</v>
      </c>
      <c r="E38" s="22" t="n">
        <f aca="false">D38+A_close*TAN(D38*Tau_d)</f>
        <v>-9.04369912291259E-009</v>
      </c>
    </row>
    <row r="39" customFormat="false" ht="15" hidden="false" customHeight="false" outlineLevel="0" collapsed="false">
      <c r="A39" s="19" t="n">
        <v>35</v>
      </c>
      <c r="B39" s="27" t="n">
        <f aca="false">IF(E38&lt;0,D38,B38)</f>
        <v>6.54056976578772</v>
      </c>
      <c r="C39" s="27" t="n">
        <f aca="false">IF(E38&lt;0,C38,D38)</f>
        <v>6.54056976615345</v>
      </c>
      <c r="D39" s="27" t="n">
        <f aca="false">(B39+C39)/2</f>
        <v>6.54056976597059</v>
      </c>
      <c r="E39" s="22" t="n">
        <f aca="false">D39+A_close*TAN(D39*Tau_d)</f>
        <v>-4.20109280696579E-009</v>
      </c>
    </row>
    <row r="40" customFormat="false" ht="15" hidden="false" customHeight="false" outlineLevel="0" collapsed="false">
      <c r="A40" s="19" t="n">
        <v>36</v>
      </c>
      <c r="B40" s="27" t="n">
        <f aca="false">IF(E39&lt;0,D39,B39)</f>
        <v>6.54056976597059</v>
      </c>
      <c r="C40" s="27" t="n">
        <f aca="false">IF(E39&lt;0,C39,D39)</f>
        <v>6.54056976615345</v>
      </c>
      <c r="D40" s="27" t="n">
        <f aca="false">(B40+C40)/2</f>
        <v>6.54056976606202</v>
      </c>
      <c r="E40" s="22" t="n">
        <f aca="false">D40+A_close*TAN(D40*Tau_d)</f>
        <v>-1.77977899085136E-009</v>
      </c>
    </row>
    <row r="41" customFormat="false" ht="15" hidden="false" customHeight="false" outlineLevel="0" collapsed="false">
      <c r="A41" s="19" t="n">
        <v>37</v>
      </c>
      <c r="B41" s="27" t="n">
        <f aca="false">IF(E40&lt;0,D40,B40)</f>
        <v>6.54056976606202</v>
      </c>
      <c r="C41" s="27" t="n">
        <f aca="false">IF(E40&lt;0,C40,D40)</f>
        <v>6.54056976615345</v>
      </c>
      <c r="D41" s="27" t="n">
        <f aca="false">(B41+C41)/2</f>
        <v>6.54056976610774</v>
      </c>
      <c r="E41" s="22" t="n">
        <f aca="false">D41+A_close*TAN(D41*Tau_d)</f>
        <v>-5.69120750526508E-010</v>
      </c>
    </row>
    <row r="42" customFormat="false" ht="15" hidden="false" customHeight="false" outlineLevel="0" collapsed="false">
      <c r="A42" s="19" t="n">
        <v>38</v>
      </c>
      <c r="B42" s="27" t="n">
        <f aca="false">IF(E41&lt;0,D41,B41)</f>
        <v>6.54056976610774</v>
      </c>
      <c r="C42" s="27" t="n">
        <f aca="false">IF(E41&lt;0,C41,D41)</f>
        <v>6.54056976615345</v>
      </c>
      <c r="D42" s="27" t="n">
        <f aca="false">(B42+C42)/2</f>
        <v>6.5405697661306</v>
      </c>
      <c r="E42" s="22" t="n">
        <f aca="false">D42+A_close*TAN(D42*Tau_d)</f>
        <v>3.6208369635915E-011</v>
      </c>
    </row>
    <row r="43" customFormat="false" ht="15" hidden="false" customHeight="false" outlineLevel="0" collapsed="false">
      <c r="A43" s="19" t="n">
        <v>39</v>
      </c>
      <c r="B43" s="27" t="n">
        <f aca="false">IF(E42&lt;0,D42,B42)</f>
        <v>6.54056976610774</v>
      </c>
      <c r="C43" s="27" t="n">
        <f aca="false">IF(E42&lt;0,C42,D42)</f>
        <v>6.5405697661306</v>
      </c>
      <c r="D43" s="27" t="n">
        <f aca="false">(B43+C43)/2</f>
        <v>6.54056976611917</v>
      </c>
      <c r="E43" s="22" t="n">
        <f aca="false">D43+A_close*TAN(D43*Tau_d)</f>
        <v>-2.66457078623716E-010</v>
      </c>
    </row>
    <row r="44" customFormat="false" ht="15" hidden="false" customHeight="false" outlineLevel="0" collapsed="false">
      <c r="A44" s="19" t="n">
        <v>40</v>
      </c>
      <c r="B44" s="27" t="n">
        <f aca="false">IF(E43&lt;0,D43,B43)</f>
        <v>6.54056976611917</v>
      </c>
      <c r="C44" s="27" t="n">
        <f aca="false">IF(E43&lt;0,C43,D43)</f>
        <v>6.5405697661306</v>
      </c>
      <c r="D44" s="27" t="n">
        <f aca="false">(B44+C44)/2</f>
        <v>6.54056976612488</v>
      </c>
      <c r="E44" s="22" t="n">
        <f aca="false">D44+A_close*TAN(D44*Tau_d)</f>
        <v>-1.15123910404691E-010</v>
      </c>
    </row>
    <row r="45" customFormat="false" ht="15" hidden="false" customHeight="false" outlineLevel="0" collapsed="false">
      <c r="A45" s="19" t="n">
        <v>41</v>
      </c>
      <c r="B45" s="27" t="n">
        <f aca="false">IF(E44&lt;0,D44,B44)</f>
        <v>6.54056976612488</v>
      </c>
      <c r="C45" s="27" t="n">
        <f aca="false">IF(E44&lt;0,C44,D44)</f>
        <v>6.5405697661306</v>
      </c>
      <c r="D45" s="27" t="n">
        <f aca="false">(B45+C45)/2</f>
        <v>6.54056976612774</v>
      </c>
      <c r="E45" s="22" t="n">
        <f aca="false">D45+A_close*TAN(D45*Tau_d)</f>
        <v>-3.94582144735978E-011</v>
      </c>
    </row>
    <row r="46" customFormat="false" ht="15" hidden="false" customHeight="false" outlineLevel="0" collapsed="false">
      <c r="A46" s="19" t="n">
        <v>42</v>
      </c>
      <c r="B46" s="27" t="n">
        <f aca="false">IF(E45&lt;0,D45,B45)</f>
        <v>6.54056976612774</v>
      </c>
      <c r="C46" s="27" t="n">
        <f aca="false">IF(E45&lt;0,C45,D45)</f>
        <v>6.5405697661306</v>
      </c>
      <c r="D46" s="27" t="n">
        <f aca="false">(B46+C46)/2</f>
        <v>6.54056976612917</v>
      </c>
      <c r="E46" s="22" t="n">
        <f aca="false">D46+A_close*TAN(D46*Tau_d)</f>
        <v>-1.61382018859513E-012</v>
      </c>
    </row>
    <row r="47" customFormat="false" ht="15" hidden="false" customHeight="false" outlineLevel="0" collapsed="false">
      <c r="A47" s="19" t="n">
        <v>43</v>
      </c>
      <c r="B47" s="27" t="n">
        <f aca="false">IF(E46&lt;0,D46,B46)</f>
        <v>6.54056976612917</v>
      </c>
      <c r="C47" s="27" t="n">
        <f aca="false">IF(E46&lt;0,C46,D46)</f>
        <v>6.5405697661306</v>
      </c>
      <c r="D47" s="27" t="n">
        <f aca="false">(B47+C47)/2</f>
        <v>6.54056976612988</v>
      </c>
      <c r="E47" s="22" t="n">
        <f aca="false">D47+A_close*TAN(D47*Tau_d)</f>
        <v>1.72972747236599E-011</v>
      </c>
    </row>
    <row r="48" customFormat="false" ht="15" hidden="false" customHeight="false" outlineLevel="0" collapsed="false">
      <c r="A48" s="19" t="n">
        <v>44</v>
      </c>
      <c r="B48" s="27" t="n">
        <f aca="false">IF(E47&lt;0,D47,B47)</f>
        <v>6.54056976612917</v>
      </c>
      <c r="C48" s="27" t="n">
        <f aca="false">IF(E47&lt;0,C47,D47)</f>
        <v>6.54056976612988</v>
      </c>
      <c r="D48" s="27" t="n">
        <f aca="false">(B48+C48)/2</f>
        <v>6.54056976612952</v>
      </c>
      <c r="E48" s="22" t="n">
        <f aca="false">D48+A_close*TAN(D48*Tau_d)</f>
        <v>7.84172726753241E-012</v>
      </c>
    </row>
    <row r="49" customFormat="false" ht="15" hidden="false" customHeight="false" outlineLevel="0" collapsed="false">
      <c r="A49" s="19" t="n">
        <v>45</v>
      </c>
      <c r="B49" s="27" t="n">
        <f aca="false">IF(E48&lt;0,D48,B48)</f>
        <v>6.54056976612917</v>
      </c>
      <c r="C49" s="27" t="n">
        <f aca="false">IF(E48&lt;0,C48,D48)</f>
        <v>6.54056976612952</v>
      </c>
      <c r="D49" s="27" t="n">
        <f aca="false">(B49+C49)/2</f>
        <v>6.54056976612935</v>
      </c>
      <c r="E49" s="22" t="n">
        <f aca="false">D49+A_close*TAN(D49*Tau_d)</f>
        <v>3.11395353946864E-012</v>
      </c>
    </row>
    <row r="50" customFormat="false" ht="15" hidden="false" customHeight="false" outlineLevel="0" collapsed="false">
      <c r="A50" s="19" t="n">
        <v>46</v>
      </c>
      <c r="B50" s="27" t="n">
        <f aca="false">IF(E49&lt;0,D49,B49)</f>
        <v>6.54056976612917</v>
      </c>
      <c r="C50" s="27" t="n">
        <f aca="false">IF(E49&lt;0,C49,D49)</f>
        <v>6.54056976612935</v>
      </c>
      <c r="D50" s="27" t="n">
        <f aca="false">(B50+C50)/2</f>
        <v>6.54056976612926</v>
      </c>
      <c r="E50" s="22" t="n">
        <f aca="false">D50+A_close*TAN(D50*Tau_d)</f>
        <v>7.38964445190504E-013</v>
      </c>
    </row>
    <row r="51" customFormat="false" ht="15" hidden="false" customHeight="false" outlineLevel="0" collapsed="false">
      <c r="A51" s="19" t="n">
        <v>47</v>
      </c>
      <c r="B51" s="27" t="n">
        <f aca="false">IF(E50&lt;0,D50,B50)</f>
        <v>6.54056976612917</v>
      </c>
      <c r="C51" s="27" t="n">
        <f aca="false">IF(E50&lt;0,C50,D50)</f>
        <v>6.54056976612926</v>
      </c>
      <c r="D51" s="27" t="n">
        <f aca="false">(B51+C51)/2</f>
        <v>6.54056976612921</v>
      </c>
      <c r="E51" s="22" t="n">
        <f aca="false">D51+A_close*TAN(D51*Tau_d)</f>
        <v>-4.37871960912162E-013</v>
      </c>
    </row>
    <row r="52" customFormat="false" ht="15" hidden="false" customHeight="false" outlineLevel="0" collapsed="false">
      <c r="A52" s="19" t="n">
        <v>48</v>
      </c>
      <c r="B52" s="27" t="n">
        <f aca="false">IF(E51&lt;0,D51,B51)</f>
        <v>6.54056976612921</v>
      </c>
      <c r="C52" s="27" t="n">
        <f aca="false">IF(E51&lt;0,C51,D51)</f>
        <v>6.54056976612926</v>
      </c>
      <c r="D52" s="27" t="n">
        <f aca="false">(B52+C52)/2</f>
        <v>6.54056976612923</v>
      </c>
      <c r="E52" s="22" t="n">
        <f aca="false">D52+A_close*TAN(D52*Tau_d)</f>
        <v>1.50102152929321E-013</v>
      </c>
    </row>
    <row r="53" customFormat="false" ht="15" hidden="false" customHeight="false" outlineLevel="0" collapsed="false">
      <c r="A53" s="19" t="n">
        <v>49</v>
      </c>
      <c r="B53" s="27" t="n">
        <f aca="false">IF(E52&lt;0,D52,B52)</f>
        <v>6.54056976612921</v>
      </c>
      <c r="C53" s="27" t="n">
        <f aca="false">IF(E52&lt;0,C52,D52)</f>
        <v>6.54056976612923</v>
      </c>
      <c r="D53" s="27" t="n">
        <f aca="false">(B53+C53)/2</f>
        <v>6.54056976612922</v>
      </c>
      <c r="E53" s="22" t="n">
        <f aca="false">D53+A_close*TAN(D53*Tau_d)</f>
        <v>-1.55431223447522E-013</v>
      </c>
    </row>
    <row r="54" customFormat="false" ht="15" hidden="false" customHeight="false" outlineLevel="0" collapsed="false">
      <c r="A54" s="19" t="n">
        <v>50</v>
      </c>
      <c r="B54" s="27" t="n">
        <f aca="false">IF(E53&lt;0,D53,B53)</f>
        <v>6.54056976612922</v>
      </c>
      <c r="C54" s="27" t="n">
        <f aca="false">IF(E53&lt;0,C53,D53)</f>
        <v>6.54056976612923</v>
      </c>
      <c r="D54" s="27" t="n">
        <f aca="false">(B54+C54)/2</f>
        <v>6.54056976612923</v>
      </c>
      <c r="E54" s="22" t="n">
        <f aca="false">D54+A_close*TAN(D54*Tau_d)</f>
        <v>0</v>
      </c>
    </row>
    <row r="55" customFormat="false" ht="15" hidden="false" customHeight="false" outlineLevel="0" collapsed="false">
      <c r="A55" s="19" t="n">
        <v>51</v>
      </c>
      <c r="B55" s="27" t="n">
        <f aca="false">IF(E54&lt;0,D54,B54)</f>
        <v>6.54056976612922</v>
      </c>
      <c r="C55" s="27" t="n">
        <f aca="false">IF(E54&lt;0,C54,D54)</f>
        <v>6.54056976612923</v>
      </c>
      <c r="D55" s="27" t="n">
        <f aca="false">(B55+C55)/2</f>
        <v>6.54056976612923</v>
      </c>
      <c r="E55" s="22" t="n">
        <f aca="false">D55+A_close*TAN(D55*Tau_d)</f>
        <v>-8.43769498715119E-014</v>
      </c>
    </row>
    <row r="56" customFormat="false" ht="15" hidden="false" customHeight="false" outlineLevel="0" collapsed="false">
      <c r="A56" s="19" t="n">
        <v>52</v>
      </c>
      <c r="B56" s="27" t="n">
        <f aca="false">IF(E55&lt;0,D55,B55)</f>
        <v>6.54056976612923</v>
      </c>
      <c r="C56" s="27" t="n">
        <f aca="false">IF(E55&lt;0,C55,D55)</f>
        <v>6.54056976612923</v>
      </c>
      <c r="D56" s="27" t="n">
        <f aca="false">(B56+C56)/2</f>
        <v>6.54056976612923</v>
      </c>
      <c r="E56" s="22" t="n">
        <f aca="false">D56+A_close*TAN(D56*Tau_d)</f>
        <v>-6.12843109593086E-014</v>
      </c>
    </row>
    <row r="57" customFormat="false" ht="15" hidden="false" customHeight="false" outlineLevel="0" collapsed="false">
      <c r="A57" s="19" t="n">
        <v>53</v>
      </c>
      <c r="B57" s="27" t="n">
        <f aca="false">IF(E56&lt;0,D56,B56)</f>
        <v>6.54056976612923</v>
      </c>
      <c r="C57" s="27" t="n">
        <f aca="false">IF(E56&lt;0,C56,D56)</f>
        <v>6.54056976612923</v>
      </c>
      <c r="D57" s="27" t="n">
        <f aca="false">(B57+C57)/2</f>
        <v>6.54056976612923</v>
      </c>
      <c r="E57" s="22" t="n">
        <f aca="false">D57+A_close*TAN(D57*Tau_d)</f>
        <v>-3.81916720471054E-014</v>
      </c>
    </row>
    <row r="58" customFormat="false" ht="15" hidden="false" customHeight="false" outlineLevel="0" collapsed="false">
      <c r="A58" s="19" t="n">
        <v>54</v>
      </c>
      <c r="B58" s="27" t="n">
        <f aca="false">IF(E57&lt;0,D57,B57)</f>
        <v>6.54056976612923</v>
      </c>
      <c r="C58" s="27" t="n">
        <f aca="false">IF(E57&lt;0,C57,D57)</f>
        <v>6.54056976612923</v>
      </c>
      <c r="D58" s="27" t="n">
        <f aca="false">(B58+C58)/2</f>
        <v>6.54056976612923</v>
      </c>
      <c r="E58" s="22" t="n">
        <f aca="false">D58+A_close*TAN(D58*Tau_d)</f>
        <v>0</v>
      </c>
    </row>
    <row r="59" customFormat="false" ht="15" hidden="false" customHeight="false" outlineLevel="0" collapsed="false">
      <c r="A59" s="19" t="n">
        <v>55</v>
      </c>
      <c r="B59" s="27" t="n">
        <f aca="false">IF(E58&lt;0,D58,B58)</f>
        <v>6.54056976612923</v>
      </c>
      <c r="C59" s="27" t="n">
        <f aca="false">IF(E58&lt;0,C58,D58)</f>
        <v>6.54056976612923</v>
      </c>
      <c r="D59" s="27" t="n">
        <f aca="false">(B59+C59)/2</f>
        <v>6.54056976612923</v>
      </c>
      <c r="E59" s="22" t="n">
        <f aca="false">D59+A_close*TAN(D59*Tau_d)</f>
        <v>0</v>
      </c>
    </row>
    <row r="60" customFormat="false" ht="15" hidden="false" customHeight="false" outlineLevel="0" collapsed="false">
      <c r="A60" s="19" t="n">
        <v>56</v>
      </c>
      <c r="B60" s="27" t="n">
        <f aca="false">IF(E59&lt;0,D59,B59)</f>
        <v>6.54056976612923</v>
      </c>
      <c r="C60" s="27" t="n">
        <f aca="false">IF(E59&lt;0,C59,D59)</f>
        <v>6.54056976612923</v>
      </c>
      <c r="D60" s="27" t="n">
        <f aca="false">(B60+C60)/2</f>
        <v>6.54056976612923</v>
      </c>
      <c r="E60" s="22" t="n">
        <f aca="false">D60+A_close*TAN(D60*Tau_d)</f>
        <v>0</v>
      </c>
    </row>
    <row r="61" customFormat="false" ht="15" hidden="false" customHeight="false" outlineLevel="0" collapsed="false">
      <c r="A61" s="19" t="n">
        <v>57</v>
      </c>
      <c r="B61" s="27" t="n">
        <f aca="false">IF(E60&lt;0,D60,B60)</f>
        <v>6.54056976612923</v>
      </c>
      <c r="C61" s="27" t="n">
        <f aca="false">IF(E60&lt;0,C60,D60)</f>
        <v>6.54056976612923</v>
      </c>
      <c r="D61" s="27" t="n">
        <f aca="false">(B61+C61)/2</f>
        <v>6.54056976612923</v>
      </c>
      <c r="E61" s="22" t="n">
        <f aca="false">D61+A_close*TAN(D61*Tau_d)</f>
        <v>0</v>
      </c>
    </row>
    <row r="62" customFormat="false" ht="15" hidden="false" customHeight="false" outlineLevel="0" collapsed="false">
      <c r="A62" s="19" t="n">
        <v>58</v>
      </c>
      <c r="B62" s="27" t="n">
        <f aca="false">IF(E61&lt;0,D61,B61)</f>
        <v>6.54056976612923</v>
      </c>
      <c r="C62" s="27" t="n">
        <f aca="false">IF(E61&lt;0,C61,D61)</f>
        <v>6.54056976612923</v>
      </c>
      <c r="D62" s="27" t="n">
        <f aca="false">(B62+C62)/2</f>
        <v>6.54056976612923</v>
      </c>
      <c r="E62" s="22" t="n">
        <f aca="false">D62+A_close*TAN(D62*Tau_d)</f>
        <v>0</v>
      </c>
    </row>
    <row r="63" customFormat="false" ht="15" hidden="false" customHeight="false" outlineLevel="0" collapsed="false">
      <c r="A63" s="19" t="n">
        <v>59</v>
      </c>
      <c r="B63" s="27" t="n">
        <f aca="false">IF(E62&lt;0,D62,B62)</f>
        <v>6.54056976612923</v>
      </c>
      <c r="C63" s="27" t="n">
        <f aca="false">IF(E62&lt;0,C62,D62)</f>
        <v>6.54056976612923</v>
      </c>
      <c r="D63" s="27" t="n">
        <f aca="false">(B63+C63)/2</f>
        <v>6.54056976612923</v>
      </c>
      <c r="E63" s="22" t="n">
        <f aca="false">D63+A_close*TAN(D63*Tau_d)</f>
        <v>0</v>
      </c>
    </row>
    <row r="64" customFormat="false" ht="15" hidden="false" customHeight="false" outlineLevel="0" collapsed="false">
      <c r="A64" s="19" t="n">
        <v>60</v>
      </c>
      <c r="B64" s="27" t="n">
        <f aca="false">IF(E63&lt;0,D63,B63)</f>
        <v>6.54056976612923</v>
      </c>
      <c r="C64" s="27" t="n">
        <f aca="false">IF(E63&lt;0,C63,D63)</f>
        <v>6.54056976612923</v>
      </c>
      <c r="D64" s="27" t="n">
        <f aca="false">(B64+C64)/2</f>
        <v>6.54056976612923</v>
      </c>
      <c r="E64" s="22" t="n">
        <f aca="false">D64+A_close*TAN(D64*Tau_d)</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3" min="2" style="0" width="14"/>
    <col collapsed="false" customWidth="true" hidden="false" outlineLevel="0" max="5" min="4" style="0" width="12"/>
    <col collapsed="false" customWidth="true" hidden="false" outlineLevel="0" max="7" min="6" style="0" width="14"/>
    <col collapsed="false" customWidth="true" hidden="false" outlineLevel="0" max="8" min="8" style="0" width="16"/>
    <col collapsed="false" customWidth="true" hidden="false" outlineLevel="0" max="10" min="9" style="0" width="14"/>
    <col collapsed="false" customWidth="true" hidden="false" outlineLevel="0" max="11" min="11" style="0" width="18"/>
    <col collapsed="false" customWidth="true" hidden="false" outlineLevel="0" max="12" min="12" style="0" width="20"/>
  </cols>
  <sheetData>
    <row r="1" customFormat="false" ht="15" hidden="false" customHeight="false" outlineLevel="0" collapsed="false">
      <c r="A1" s="1" t="s">
        <v>226</v>
      </c>
    </row>
    <row r="3" customFormat="false" ht="23.85" hidden="false" customHeight="false" outlineLevel="0" collapsed="false">
      <c r="A3" s="8" t="s">
        <v>227</v>
      </c>
      <c r="B3" s="8" t="s">
        <v>228</v>
      </c>
      <c r="C3" s="8" t="s">
        <v>229</v>
      </c>
      <c r="D3" s="8" t="s">
        <v>230</v>
      </c>
      <c r="E3" s="8" t="s">
        <v>231</v>
      </c>
      <c r="F3" s="8" t="s">
        <v>232</v>
      </c>
      <c r="G3" s="8" t="s">
        <v>233</v>
      </c>
      <c r="H3" s="8" t="s">
        <v>234</v>
      </c>
      <c r="I3" s="8" t="s">
        <v>180</v>
      </c>
      <c r="J3" s="8" t="s">
        <v>181</v>
      </c>
      <c r="K3" s="8" t="s">
        <v>235</v>
      </c>
      <c r="L3" s="8" t="s">
        <v>161</v>
      </c>
    </row>
    <row r="4" customFormat="false" ht="15" hidden="false" customHeight="false" outlineLevel="0" collapsed="false">
      <c r="A4" s="2" t="s">
        <v>236</v>
      </c>
      <c r="B4" s="28" t="n">
        <v>1</v>
      </c>
      <c r="C4" s="28" t="n">
        <v>1</v>
      </c>
      <c r="D4" s="11" t="n">
        <f aca="false">Q_gap*B4</f>
        <v>0.0032</v>
      </c>
      <c r="E4" s="29" t="n">
        <f aca="false">R_prem*C4</f>
        <v>0.000125</v>
      </c>
      <c r="F4" s="18" t="n">
        <f aca="false">(-(2*A_close+Rho_a)+SQRT((2*A_close+Rho_a)^2+4*(B_share^2/E4)*(D4)))/(2*(B_share^2/E4))</f>
        <v>0.000903721742949847</v>
      </c>
      <c r="G4" s="15" t="n">
        <f aca="false">B_share*F4/E4</f>
        <v>4.33786436615926</v>
      </c>
      <c r="H4" s="15" t="n">
        <f aca="false">F4*D0_gap^2</f>
        <v>9.03721742949847</v>
      </c>
      <c r="I4" s="18" t="n">
        <f aca="false">D4*EXP(-Rho_a*Tau_d)</f>
        <v>0.00312465308696419</v>
      </c>
      <c r="J4" s="18" t="n">
        <f aca="false">(-(2*A_close+Rho_a)+SQRT((2*A_close+Rho_a)^2+4*(B_share^2/E4)*(I4)))/(2*(B_share^2/E4))</f>
        <v>0.000891386180364795</v>
      </c>
      <c r="K4" s="15" t="n">
        <f aca="false">B_share*J4/E4</f>
        <v>4.27865366575102</v>
      </c>
      <c r="L4" s="15" t="n">
        <f aca="false">D4*D0_gap^2*(1-EXP(-(2*A_close+Rho_a)*Tau_d))/(2*A_close+Rho_a)+J4*(EXP(-A_close*Tau_d)*D0_gap)^2</f>
        <v>14.3512775242243</v>
      </c>
    </row>
    <row r="5" customFormat="false" ht="15" hidden="false" customHeight="false" outlineLevel="0" collapsed="false">
      <c r="A5" s="2" t="s">
        <v>237</v>
      </c>
      <c r="B5" s="28" t="n">
        <v>2</v>
      </c>
      <c r="C5" s="28" t="n">
        <v>1</v>
      </c>
      <c r="D5" s="11" t="n">
        <f aca="false">Q_gap*B5</f>
        <v>0.0064</v>
      </c>
      <c r="E5" s="29" t="n">
        <f aca="false">R_prem*C5</f>
        <v>0.000125</v>
      </c>
      <c r="F5" s="18" t="n">
        <f aca="false">(-(2*A_close+Rho_a)+SQRT((2*A_close+Rho_a)^2+4*(B_share^2/E5)*(D5)))/(2*(B_share^2/E5))</f>
        <v>0.00133670312925253</v>
      </c>
      <c r="G5" s="15" t="n">
        <f aca="false">B_share*F5/E5</f>
        <v>6.41617502041216</v>
      </c>
      <c r="H5" s="15" t="n">
        <f aca="false">F5*D0_gap^2</f>
        <v>13.3670312925253</v>
      </c>
      <c r="I5" s="18" t="n">
        <f aca="false">D5*EXP(-Rho_a*Tau_d)</f>
        <v>0.00624930617392839</v>
      </c>
      <c r="J5" s="18" t="n">
        <f aca="false">(-(2*A_close+Rho_a)+SQRT((2*A_close+Rho_a)^2+4*(B_share^2/E5)*(I5)))/(2*(B_share^2/E5))</f>
        <v>0.00131915419323561</v>
      </c>
      <c r="K5" s="15" t="n">
        <f aca="false">B_share*J5/E5</f>
        <v>6.33194012753094</v>
      </c>
      <c r="L5" s="15" t="n">
        <f aca="false">D5*D0_gap^2*(1-EXP(-(2*A_close+Rho_a)*Tau_d))/(2*A_close+Rho_a)+J5*(EXP(-A_close*Tau_d)*D0_gap)^2</f>
        <v>24.9472478917474</v>
      </c>
    </row>
    <row r="6" customFormat="false" ht="15" hidden="false" customHeight="false" outlineLevel="0" collapsed="false">
      <c r="A6" s="2" t="s">
        <v>238</v>
      </c>
      <c r="B6" s="28" t="n">
        <v>0.5</v>
      </c>
      <c r="C6" s="28" t="n">
        <v>1</v>
      </c>
      <c r="D6" s="11" t="n">
        <f aca="false">Q_gap*B6</f>
        <v>0.0016</v>
      </c>
      <c r="E6" s="29" t="n">
        <f aca="false">R_prem*C6</f>
        <v>0.000125</v>
      </c>
      <c r="F6" s="18" t="n">
        <f aca="false">(-(2*A_close+Rho_a)+SQRT((2*A_close+Rho_a)^2+4*(B_share^2/E6)*(D6)))/(2*(B_share^2/E6))</f>
        <v>0.000600064495322778</v>
      </c>
      <c r="G6" s="15" t="n">
        <f aca="false">B_share*F6/E6</f>
        <v>2.88030957754934</v>
      </c>
      <c r="H6" s="15" t="n">
        <f aca="false">F6*D0_gap^2</f>
        <v>6.00064495322778</v>
      </c>
      <c r="I6" s="18" t="n">
        <f aca="false">D6*EXP(-Rho_a*Tau_d)</f>
        <v>0.0015623265434821</v>
      </c>
      <c r="J6" s="18" t="n">
        <f aca="false">(-(2*A_close+Rho_a)+SQRT((2*A_close+Rho_a)^2+4*(B_share^2/E6)*(I6)))/(2*(B_share^2/E6))</f>
        <v>0.000591443046268727</v>
      </c>
      <c r="K6" s="15" t="n">
        <f aca="false">B_share*J6/E6</f>
        <v>2.83892662208989</v>
      </c>
      <c r="L6" s="15" t="n">
        <f aca="false">D6*D0_gap^2*(1-EXP(-(2*A_close+Rho_a)*Tau_d))/(2*A_close+Rho_a)+J6*(EXP(-A_close*Tau_d)*D0_gap)^2</f>
        <v>8.35621340641142</v>
      </c>
    </row>
    <row r="7" customFormat="false" ht="15" hidden="false" customHeight="false" outlineLevel="0" collapsed="false">
      <c r="A7" s="2" t="s">
        <v>239</v>
      </c>
      <c r="B7" s="28" t="n">
        <v>1</v>
      </c>
      <c r="C7" s="28" t="n">
        <v>2</v>
      </c>
      <c r="D7" s="11" t="n">
        <f aca="false">Q_gap*B7</f>
        <v>0.0032</v>
      </c>
      <c r="E7" s="29" t="n">
        <f aca="false">R_prem*C7</f>
        <v>0.00025</v>
      </c>
      <c r="F7" s="18" t="n">
        <f aca="false">(-(2*A_close+Rho_a)+SQRT((2*A_close+Rho_a)^2+4*(B_share^2/E7)*(D7)))/(2*(B_share^2/E7))</f>
        <v>0.00120012899064556</v>
      </c>
      <c r="G7" s="15" t="n">
        <f aca="false">B_share*F7/E7</f>
        <v>2.88030957754934</v>
      </c>
      <c r="H7" s="15" t="n">
        <f aca="false">F7*D0_gap^2</f>
        <v>12.0012899064556</v>
      </c>
      <c r="I7" s="18" t="n">
        <f aca="false">D7*EXP(-Rho_a*Tau_d)</f>
        <v>0.00312465308696419</v>
      </c>
      <c r="J7" s="18" t="n">
        <f aca="false">(-(2*A_close+Rho_a)+SQRT((2*A_close+Rho_a)^2+4*(B_share^2/E7)*(I7)))/(2*(B_share^2/E7))</f>
        <v>0.00118288609253745</v>
      </c>
      <c r="K7" s="15" t="n">
        <f aca="false">B_share*J7/E7</f>
        <v>2.83892662208989</v>
      </c>
      <c r="L7" s="15" t="n">
        <f aca="false">D7*D0_gap^2*(1-EXP(-(2*A_close+Rho_a)*Tau_d))/(2*A_close+Rho_a)+J7*(EXP(-A_close*Tau_d)*D0_gap)^2</f>
        <v>16.7124268128228</v>
      </c>
    </row>
    <row r="8" customFormat="false" ht="15" hidden="false" customHeight="false" outlineLevel="0" collapsed="false">
      <c r="A8" s="2" t="s">
        <v>240</v>
      </c>
      <c r="B8" s="28" t="n">
        <v>1</v>
      </c>
      <c r="C8" s="28" t="n">
        <v>0.5</v>
      </c>
      <c r="D8" s="11" t="n">
        <f aca="false">Q_gap*B8</f>
        <v>0.0032</v>
      </c>
      <c r="E8" s="29" t="n">
        <f aca="false">R_prem*C8</f>
        <v>6.25E-005</v>
      </c>
      <c r="F8" s="18" t="n">
        <f aca="false">(-(2*A_close+Rho_a)+SQRT((2*A_close+Rho_a)^2+4*(B_share^2/E8)*(D8)))/(2*(B_share^2/E8))</f>
        <v>0.000668351564626267</v>
      </c>
      <c r="G8" s="15" t="n">
        <f aca="false">B_share*F8/E8</f>
        <v>6.41617502041216</v>
      </c>
      <c r="H8" s="15" t="n">
        <f aca="false">F8*D0_gap^2</f>
        <v>6.68351564626267</v>
      </c>
      <c r="I8" s="18" t="n">
        <f aca="false">D8*EXP(-Rho_a*Tau_d)</f>
        <v>0.00312465308696419</v>
      </c>
      <c r="J8" s="18" t="n">
        <f aca="false">(-(2*A_close+Rho_a)+SQRT((2*A_close+Rho_a)^2+4*(B_share^2/E8)*(I8)))/(2*(B_share^2/E8))</f>
        <v>0.000659577096617806</v>
      </c>
      <c r="K8" s="15" t="n">
        <f aca="false">B_share*J8/E8</f>
        <v>6.33194012753094</v>
      </c>
      <c r="L8" s="15" t="n">
        <f aca="false">D8*D0_gap^2*(1-EXP(-(2*A_close+Rho_a)*Tau_d))/(2*A_close+Rho_a)+J8*(EXP(-A_close*Tau_d)*D0_gap)^2</f>
        <v>12.4736239458737</v>
      </c>
    </row>
    <row r="10" customFormat="false" ht="15" hidden="false" customHeight="false" outlineLevel="0" collapsed="false">
      <c r="A10" s="4" t="s">
        <v>241</v>
      </c>
    </row>
    <row r="11" customFormat="false" ht="23.85" hidden="false" customHeight="false" outlineLevel="0" collapsed="false">
      <c r="A11" s="8" t="s">
        <v>142</v>
      </c>
      <c r="B11" s="8" t="s">
        <v>192</v>
      </c>
      <c r="C11" s="8" t="s">
        <v>191</v>
      </c>
    </row>
    <row r="12" customFormat="false" ht="15" hidden="false" customHeight="false" outlineLevel="0" collapsed="false">
      <c r="A12" s="2" t="s">
        <v>242</v>
      </c>
      <c r="B12" s="26" t="n">
        <v>19.9948935518936</v>
      </c>
      <c r="C12" s="25" t="n">
        <v>16.3476450145896</v>
      </c>
    </row>
    <row r="13" customFormat="false" ht="15" hidden="false" customHeight="false" outlineLevel="0" collapsed="false">
      <c r="A13" s="2" t="s">
        <v>198</v>
      </c>
      <c r="B13" s="26" t="n">
        <v>42.8504274630675</v>
      </c>
      <c r="C13" s="25" t="n">
        <v>64.2916564101419</v>
      </c>
    </row>
    <row r="14" customFormat="false" ht="15" hidden="false" customHeight="false" outlineLevel="0" collapsed="false">
      <c r="A14" s="2" t="s">
        <v>146</v>
      </c>
      <c r="B14" s="26" t="n">
        <v>19.5295293711038</v>
      </c>
      <c r="C14" s="25" t="n">
        <v>12.0708920217137</v>
      </c>
    </row>
    <row r="16" customFormat="false" ht="15" hidden="false" customHeight="false" outlineLevel="0" collapsed="false">
      <c r="A16" s="2" t="s">
        <v>243</v>
      </c>
      <c r="B16" s="18" t="n">
        <f aca="false">Q_gap*EXP(-Rho_a*0.5)</f>
        <v>0.0030510802855859</v>
      </c>
    </row>
    <row r="17" customFormat="false" ht="15" hidden="false" customHeight="false" outlineLevel="0" collapsed="false">
      <c r="A17" s="2" t="s">
        <v>181</v>
      </c>
      <c r="B17" s="18" t="n">
        <f aca="false">(-(Riccati!B5)+SQRT((Riccati!B5)^2+4*(Riccati!B4)*(B16)))/(2*(Riccati!B4))</f>
        <v>0.000879200174825628</v>
      </c>
    </row>
    <row r="18" customFormat="false" ht="15" hidden="false" customHeight="false" outlineLevel="0" collapsed="false">
      <c r="A18" s="2" t="s">
        <v>244</v>
      </c>
      <c r="B18" s="15" t="n">
        <f aca="false">B_share*B17/R_prem</f>
        <v>4.22016083916302</v>
      </c>
      <c r="C18" s="10" t="s">
        <v>245</v>
      </c>
    </row>
    <row r="19" customFormat="false" ht="15" hidden="false" customHeight="false" outlineLevel="0" collapsed="false">
      <c r="A19" s="2" t="s">
        <v>184</v>
      </c>
      <c r="B19" s="15" t="n">
        <f aca="false">Q_gap*D0_gap^2*(1-EXP(-(2*A_close+Rho_a)*0.5))/(2*A_close+Rho_a)+B17*(EXP(-A_close*0.5)*D0_gap)^2</f>
        <v>18.5396271640962</v>
      </c>
      <c r="C19" s="10" t="s">
        <v>246</v>
      </c>
    </row>
    <row r="20" customFormat="false" ht="15" hidden="false" customHeight="false" outlineLevel="0" collapsed="false">
      <c r="A20" s="2" t="s">
        <v>247</v>
      </c>
      <c r="B20" s="26" t="n">
        <v>18.5396270979523</v>
      </c>
      <c r="C20" s="10" t="s">
        <v>248</v>
      </c>
    </row>
    <row r="22" customFormat="false" ht="15" hidden="false" customHeight="false" outlineLevel="0" collapsed="false">
      <c r="A22" s="4" t="s">
        <v>249</v>
      </c>
    </row>
    <row r="23" customFormat="false" ht="15" hidden="false" customHeight="false" outlineLevel="0" collapsed="false">
      <c r="A23" s="2" t="s">
        <v>250</v>
      </c>
      <c r="B23" s="9" t="n">
        <v>0.3</v>
      </c>
      <c r="C23" s="10" t="s">
        <v>251</v>
      </c>
    </row>
    <row r="24" customFormat="false" ht="15" hidden="false" customHeight="false" outlineLevel="0" collapsed="false">
      <c r="A24" s="2" t="s">
        <v>252</v>
      </c>
      <c r="B24" s="26" t="n">
        <v>19.6108810009133</v>
      </c>
    </row>
    <row r="25" customFormat="false" ht="15" hidden="false" customHeight="false" outlineLevel="0" collapsed="false">
      <c r="A25" s="2" t="s">
        <v>253</v>
      </c>
      <c r="B25" s="18" t="n">
        <f aca="false">(-(2*A_close+Rho_a)+SQRT((2*A_close+Rho_a)^2+4*(B23^2/R_prem)*(Delay!B4)))/(2*(B23^2/R_prem))</f>
        <v>0.001531199074247</v>
      </c>
    </row>
    <row r="26" customFormat="false" ht="15" hidden="false" customHeight="false" outlineLevel="0" collapsed="false">
      <c r="A26" s="2" t="s">
        <v>254</v>
      </c>
      <c r="B26" s="15" t="n">
        <f aca="false">B23*B25/R_prem</f>
        <v>3.67487777819279</v>
      </c>
      <c r="C26" s="10" t="s">
        <v>255</v>
      </c>
    </row>
    <row r="27" customFormat="false" ht="15" hidden="false" customHeight="false" outlineLevel="0" collapsed="false">
      <c r="A27" s="2" t="s">
        <v>256</v>
      </c>
      <c r="B27" s="15" t="n">
        <f aca="false">Delay!B9+B25*Delay!B8^2</f>
        <v>19.5337619646701</v>
      </c>
    </row>
    <row r="28" customFormat="false" ht="15" hidden="false" customHeight="false" outlineLevel="0" collapsed="false">
      <c r="A28" s="2" t="s">
        <v>257</v>
      </c>
      <c r="B28" s="15" t="n">
        <f aca="false">B24-B27</f>
        <v>0.0771190362431895</v>
      </c>
      <c r="C28" s="10" t="s">
        <v>258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4"/>
    <col collapsed="false" customWidth="true" hidden="false" outlineLevel="0" max="4" min="3" style="0" width="22"/>
    <col collapsed="false" customWidth="true" hidden="false" outlineLevel="0" max="5" min="5" style="0" width="20"/>
    <col collapsed="false" customWidth="true" hidden="false" outlineLevel="0" max="6" min="6" style="0" width="18"/>
    <col collapsed="false" customWidth="true" hidden="false" outlineLevel="0" max="7" min="7" style="0" width="12"/>
    <col collapsed="false" customWidth="true" hidden="false" outlineLevel="0" max="8" min="8" style="0" width="14"/>
    <col collapsed="false" customWidth="true" hidden="false" outlineLevel="0" max="9" min="9" style="0" width="10"/>
  </cols>
  <sheetData>
    <row r="1" customFormat="false" ht="15" hidden="false" customHeight="false" outlineLevel="0" collapsed="false">
      <c r="A1" s="1" t="s">
        <v>259</v>
      </c>
    </row>
    <row r="3" customFormat="false" ht="15" hidden="false" customHeight="false" outlineLevel="0" collapsed="false">
      <c r="A3" s="8" t="s">
        <v>260</v>
      </c>
      <c r="B3" s="8" t="s">
        <v>261</v>
      </c>
      <c r="C3" s="8" t="s">
        <v>262</v>
      </c>
      <c r="D3" s="8" t="s">
        <v>263</v>
      </c>
      <c r="E3" s="8" t="s">
        <v>264</v>
      </c>
    </row>
    <row r="4" customFormat="false" ht="15" hidden="false" customHeight="false" outlineLevel="0" collapsed="false">
      <c r="A4" s="9" t="n">
        <v>45</v>
      </c>
      <c r="B4" s="15" t="n">
        <f aca="false">IF(A4&lt;Floor_F,MAX((-(Cost_k*Ubar_c+Delay_D)*(1-EXP(-Rho_a*LN((Top_c-A4)/(Top_c-Floor_F))/Delta_c))/Rho_a+EXP(-Rho_a*LN((Top_c-A4)/(Top_c-Floor_F))/Delta_c)*(-Cost_k*Delta_c*Floor_F/Rho_a)),(-Delay_D/Rho_a)),(EXP(-Rho_a*LN(A4/Floor_F)/Delta_c)*(-Cost_k*Delta_c*Floor_F/Rho_a)))</f>
        <v>-324.455155485324</v>
      </c>
      <c r="C4" s="17" t="n">
        <f aca="false">IF(A4&lt;Floor_F,EXP(-Rho_a*LN((Top_c-A4)/(Top_c-Floor_F))/Delta_c)*(Cost_k*Ubar_c+Delay_D+Rho_a*(-Cost_k*Delta_c*Floor_F/Rho_a))/(Ubar_c-Delta_c*A4),IF(A4=Floor_F,Cost_k,EXP(-Rho_a*LN(A4/Floor_F)/Delta_c)*(-Rho_a*(-Cost_k*Delta_c*Floor_F/Rho_a))/(Delta_c*A4)))</f>
        <v>7.46592954954533</v>
      </c>
      <c r="D4" s="15" t="n">
        <f aca="false">C4-Cost_k</f>
        <v>3.46592954954533</v>
      </c>
      <c r="E4" s="2" t="str">
        <f aca="false">IF(ABS(D4)&lt;0.000000001,"hold: pay the rent",IF(D4&gt;0,"hire at the cap","hire nothing"))</f>
        <v>hire at the cap</v>
      </c>
    </row>
    <row r="5" customFormat="false" ht="15" hidden="false" customHeight="false" outlineLevel="0" collapsed="false">
      <c r="A5" s="9" t="n">
        <v>53</v>
      </c>
      <c r="B5" s="15" t="n">
        <f aca="false">IF(A5&lt;Floor_F,MAX((-(Cost_k*Ubar_c+Delay_D)*(1-EXP(-Rho_a*LN((Top_c-A5)/(Top_c-Floor_F))/Delta_c))/Rho_a+EXP(-Rho_a*LN((Top_c-A5)/(Top_c-Floor_F))/Delta_c)*(-Cost_k*Delta_c*Floor_F/Rho_a)),(-Delay_D/Rho_a)),(EXP(-Rho_a*LN(A5/Floor_F)/Delta_c)*(-Cost_k*Delta_c*Floor_F/Rho_a)))</f>
        <v>-254.892119102206</v>
      </c>
      <c r="C5" s="17" t="n">
        <f aca="false">IF(A5&lt;Floor_F,EXP(-Rho_a*LN((Top_c-A5)/(Top_c-Floor_F))/Delta_c)*(Cost_k*Ubar_c+Delay_D+Rho_a*(-Cost_k*Delta_c*Floor_F/Rho_a))/(Ubar_c-Delta_c*A5),IF(A5=Floor_F,Cost_k,EXP(-Rho_a*LN(A5/Floor_F)/Delta_c)*(-Rho_a*(-Cost_k*Delta_c*Floor_F/Rho_a))/(Delta_c*A5)))</f>
        <v>10.129670746202</v>
      </c>
      <c r="D5" s="15" t="n">
        <f aca="false">C5-Cost_k</f>
        <v>6.12967074620201</v>
      </c>
      <c r="E5" s="2" t="str">
        <f aca="false">IF(ABS(D5)&lt;0.000000001,"hold: pay the rent",IF(D5&gt;0,"hire at the cap","hire nothing"))</f>
        <v>hire at the cap</v>
      </c>
    </row>
    <row r="6" customFormat="false" ht="15" hidden="false" customHeight="false" outlineLevel="0" collapsed="false">
      <c r="A6" s="9" t="n">
        <v>55</v>
      </c>
      <c r="B6" s="15" t="n">
        <f aca="false">IF(A6&lt;Floor_F,MAX((-(Cost_k*Ubar_c+Delay_D)*(1-EXP(-Rho_a*LN((Top_c-A6)/(Top_c-Floor_F))/Delta_c))/Rho_a+EXP(-Rho_a*LN((Top_c-A6)/(Top_c-Floor_F))/Delta_c)*(-Cost_k*Delta_c*Floor_F/Rho_a)),(-Delay_D/Rho_a)),(EXP(-Rho_a*LN(A6/Floor_F)/Delta_c)*(-Cost_k*Delta_c*Floor_F/Rho_a)))</f>
        <v>-233.75961593941</v>
      </c>
      <c r="C6" s="17" t="n">
        <f aca="false">IF(A6&lt;Floor_F,EXP(-Rho_a*LN((Top_c-A6)/(Top_c-Floor_F))/Delta_c)*(Cost_k*Ubar_c+Delay_D+Rho_a*(-Cost_k*Delta_c*Floor_F/Rho_a))/(Ubar_c-Delta_c*A6),IF(A6=Floor_F,Cost_k,EXP(-Rho_a*LN(A6/Floor_F)/Delta_c)*(-Rho_a*(-Cost_k*Delta_c*Floor_F/Rho_a))/(Delta_c*A6)))</f>
        <v>4</v>
      </c>
      <c r="D6" s="15" t="n">
        <f aca="false">C6-Cost_k</f>
        <v>0</v>
      </c>
      <c r="E6" s="2" t="str">
        <f aca="false">IF(ABS(D6)&lt;0.000000001,"hold: pay the rent",IF(D6&gt;0,"hire at the cap","hire nothing"))</f>
        <v>hold: pay the rent</v>
      </c>
    </row>
    <row r="7" customFormat="false" ht="15" hidden="false" customHeight="false" outlineLevel="0" collapsed="false">
      <c r="A7" s="9" t="n">
        <v>58</v>
      </c>
      <c r="B7" s="15" t="n">
        <f aca="false">IF(A7&lt;Floor_F,MAX((-(Cost_k*Ubar_c+Delay_D)*(1-EXP(-Rho_a*LN((Top_c-A7)/(Top_c-Floor_F))/Delta_c))/Rho_a+EXP(-Rho_a*LN((Top_c-A7)/(Top_c-Floor_F))/Delta_c)*(-Cost_k*Delta_c*Floor_F/Rho_a)),(-Delay_D/Rho_a)),(EXP(-Rho_a*LN(A7/Floor_F)/Delta_c)*(-Cost_k*Delta_c*Floor_F/Rho_a)))</f>
        <v>-222.36265793319</v>
      </c>
      <c r="C7" s="17" t="n">
        <f aca="false">IF(A7&lt;Floor_F,EXP(-Rho_a*LN((Top_c-A7)/(Top_c-Floor_F))/Delta_c)*(Cost_k*Ubar_c+Delay_D+Rho_a*(-Cost_k*Delta_c*Floor_F/Rho_a))/(Ubar_c-Delta_c*A7),IF(A7=Floor_F,Cost_k,EXP(-Rho_a*LN(A7/Floor_F)/Delta_c)*(-Rho_a*(-Cost_k*Delta_c*Floor_F/Rho_a))/(Delta_c*A7)))</f>
        <v>3.60817056096118</v>
      </c>
      <c r="D7" s="15" t="n">
        <f aca="false">C7-Cost_k</f>
        <v>-0.391829439038823</v>
      </c>
      <c r="E7" s="2" t="str">
        <f aca="false">IF(ABS(D7)&lt;0.000000001,"hold: pay the rent",IF(D7&gt;0,"hire at the cap","hire nothing"))</f>
        <v>hire nothing</v>
      </c>
    </row>
    <row r="9" customFormat="false" ht="15" hidden="false" customHeight="false" outlineLevel="0" collapsed="false">
      <c r="A9" s="8" t="s">
        <v>20</v>
      </c>
      <c r="B9" s="8" t="s">
        <v>21</v>
      </c>
      <c r="C9" s="8" t="s">
        <v>74</v>
      </c>
    </row>
    <row r="10" customFormat="false" ht="15" hidden="false" customHeight="false" outlineLevel="0" collapsed="false">
      <c r="A10" s="2" t="s">
        <v>265</v>
      </c>
      <c r="B10" s="15" t="n">
        <f aca="false">(-Cost_k*Delta_c*Floor_F/Rho_a)</f>
        <v>-233.75961593941</v>
      </c>
    </row>
    <row r="11" customFormat="false" ht="15" hidden="false" customHeight="false" outlineLevel="0" collapsed="false">
      <c r="A11" s="2" t="s">
        <v>266</v>
      </c>
      <c r="B11" s="15" t="n">
        <f aca="false">(-Delay_D/Rho_a)</f>
        <v>-335.745877992226</v>
      </c>
    </row>
    <row r="12" customFormat="false" ht="15" hidden="false" customHeight="false" outlineLevel="0" collapsed="false">
      <c r="A12" s="2" t="s">
        <v>267</v>
      </c>
      <c r="B12" s="11" t="n">
        <f aca="false">Cost_k*Ubar_c/(Cost_k*Ubar_c+Delay_D+Rho_a*(-Cost_k*Delta_c*Floor_F/Rho_a))</f>
        <v>0.806479056537323</v>
      </c>
      <c r="C12" s="10" t="s">
        <v>268</v>
      </c>
    </row>
    <row r="13" customFormat="false" ht="15" hidden="false" customHeight="false" outlineLevel="0" collapsed="false">
      <c r="A13" s="2" t="s">
        <v>269</v>
      </c>
      <c r="B13" s="17" t="n">
        <f aca="false">Top_c-(Top_c-Floor_F)*B12^(-Delta_c/Rho_a)</f>
        <v>43.4462465131249</v>
      </c>
      <c r="C13" s="10" t="s">
        <v>270</v>
      </c>
    </row>
    <row r="14" customFormat="false" ht="15" hidden="false" customHeight="false" outlineLevel="0" collapsed="false">
      <c r="A14" s="2" t="s">
        <v>271</v>
      </c>
      <c r="B14" s="15" t="n">
        <f aca="false">(-(Cost_k*Ubar_c+Delay_D)*(1-EXP(-Rho_a*LN((Top_c-B13)/(Top_c-Floor_F))/Delta_c))/Rho_a+EXP(-Rho_a*LN((Top_c-B13)/(Top_c-Floor_F))/Delta_c)*(-Cost_k*Delta_c*Floor_F/Rho_a))</f>
        <v>-335.745877992226</v>
      </c>
      <c r="C14" s="10" t="s">
        <v>272</v>
      </c>
    </row>
    <row r="15" customFormat="false" ht="15" hidden="false" customHeight="false" outlineLevel="0" collapsed="false">
      <c r="A15" s="2" t="s">
        <v>273</v>
      </c>
      <c r="B15" s="17" t="n">
        <f aca="false">IF(B13&lt;Floor_F,EXP(-Rho_a*LN((Top_c-B13)/(Top_c-Floor_F))/Delta_c)*(Cost_k*Ubar_c+Delay_D+Rho_a*(-Cost_k*Delta_c*Floor_F/Rho_a))/(Ubar_c-Delta_c*B13),IF(B13=Floor_F,Cost_k,EXP(-Rho_a*LN(B13/Floor_F)/Delta_c)*(-Rho_a*(-Cost_k*Delta_c*Floor_F/Rho_a))/(Delta_c*B13)))</f>
        <v>7.07291692129385</v>
      </c>
      <c r="C15" s="10" t="s">
        <v>274</v>
      </c>
    </row>
    <row r="16" customFormat="false" ht="15" hidden="false" customHeight="false" outlineLevel="0" collapsed="false">
      <c r="A16" s="2" t="s">
        <v>275</v>
      </c>
      <c r="B16" s="17" t="n">
        <f aca="false">Cost_k+Delay_D/(Ubar_c-Delta_c*Floor_F)</f>
        <v>11.0218471475924</v>
      </c>
      <c r="C16" s="10" t="s">
        <v>276</v>
      </c>
    </row>
    <row r="17" customFormat="false" ht="15" hidden="false" customHeight="false" outlineLevel="0" collapsed="false">
      <c r="A17" s="2" t="s">
        <v>277</v>
      </c>
      <c r="B17" s="15" t="n">
        <f aca="false">Cost_k*Delta_c*Floor_F</f>
        <v>22.2796710261751</v>
      </c>
    </row>
    <row r="18" customFormat="false" ht="15" hidden="false" customHeight="false" outlineLevel="0" collapsed="false">
      <c r="A18" s="2" t="s">
        <v>278</v>
      </c>
      <c r="B18" s="17" t="n">
        <f aca="false">B17/-B10</f>
        <v>0.0953101798043249</v>
      </c>
      <c r="C18" s="10" t="s">
        <v>279</v>
      </c>
    </row>
    <row r="19" customFormat="false" ht="15" hidden="false" customHeight="false" outlineLevel="0" collapsed="false">
      <c r="A19" s="2" t="s">
        <v>280</v>
      </c>
      <c r="B19" s="15" t="n">
        <f aca="false">Cost_k*Delta_c*B13+Delay_D</f>
        <v>49.5994196297187</v>
      </c>
      <c r="C19" s="10" t="s">
        <v>281</v>
      </c>
    </row>
    <row r="21" customFormat="false" ht="15" hidden="false" customHeight="false" outlineLevel="0" collapsed="false">
      <c r="A21" s="2" t="s">
        <v>282</v>
      </c>
      <c r="B21" s="15" t="n">
        <f aca="false">Rho_a*B7</f>
        <v>-21.19342490938</v>
      </c>
    </row>
    <row r="22" customFormat="false" ht="15" hidden="false" customHeight="false" outlineLevel="0" collapsed="false">
      <c r="A22" s="2" t="s">
        <v>283</v>
      </c>
      <c r="B22" s="17" t="n">
        <f aca="false">Delta_c*A7</f>
        <v>5.87373145235526</v>
      </c>
    </row>
    <row r="23" customFormat="false" ht="15" hidden="false" customHeight="false" outlineLevel="0" collapsed="false">
      <c r="A23" s="2" t="s">
        <v>284</v>
      </c>
      <c r="B23" s="17" t="n">
        <f aca="false">C7</f>
        <v>3.60817056096118</v>
      </c>
    </row>
    <row r="24" customFormat="false" ht="15" hidden="false" customHeight="false" outlineLevel="0" collapsed="false">
      <c r="A24" s="2" t="s">
        <v>285</v>
      </c>
      <c r="B24" s="15" t="n">
        <f aca="false">B22*B23</f>
        <v>21.19342490938</v>
      </c>
      <c r="C24" s="10" t="s">
        <v>286</v>
      </c>
    </row>
    <row r="25" customFormat="false" ht="15" hidden="false" customHeight="false" outlineLevel="0" collapsed="false">
      <c r="A25" s="2" t="s">
        <v>287</v>
      </c>
      <c r="B25" s="15" t="n">
        <f aca="false">B23-Cost_k</f>
        <v>-0.391829439038823</v>
      </c>
      <c r="C25" s="10" t="s">
        <v>288</v>
      </c>
    </row>
    <row r="27" customFormat="false" ht="15" hidden="false" customHeight="false" outlineLevel="0" collapsed="false">
      <c r="A27" s="4" t="s">
        <v>289</v>
      </c>
    </row>
    <row r="28" customFormat="false" ht="23.85" hidden="false" customHeight="false" outlineLevel="0" collapsed="false">
      <c r="A28" s="8" t="s">
        <v>290</v>
      </c>
      <c r="B28" s="8" t="s">
        <v>291</v>
      </c>
      <c r="C28" s="8" t="s">
        <v>292</v>
      </c>
      <c r="D28" s="8" t="s">
        <v>293</v>
      </c>
      <c r="E28" s="8" t="s">
        <v>294</v>
      </c>
      <c r="F28" s="8" t="s">
        <v>295</v>
      </c>
      <c r="G28" s="8" t="s">
        <v>292</v>
      </c>
      <c r="H28" s="8" t="s">
        <v>293</v>
      </c>
      <c r="I28" s="8" t="s">
        <v>294</v>
      </c>
    </row>
    <row r="29" customFormat="false" ht="15" hidden="false" customHeight="false" outlineLevel="0" collapsed="false">
      <c r="A29" s="13" t="n">
        <v>0</v>
      </c>
      <c r="B29" s="17" t="n">
        <f aca="false">$A$7*EXP(-Delta_c*A29)</f>
        <v>58</v>
      </c>
      <c r="C29" s="17" t="n">
        <f aca="false">$C$7*EXP((Rho_a+Delta_c)*A29)</f>
        <v>3.60817056096118</v>
      </c>
      <c r="D29" s="17" t="n">
        <f aca="false">IF(B29&lt;Floor_F,EXP(-Rho_a*LN((Top_c-B29)/(Top_c-Floor_F))/Delta_c)*(Cost_k*Ubar_c+Delay_D+Rho_a*(-Cost_k*Delta_c*Floor_F/Rho_a))/(Ubar_c-Delta_c*B29),IF(B29=Floor_F,Cost_k,EXP(-Rho_a*LN(B29/Floor_F)/Delta_c)*(-Rho_a*(-Cost_k*Delta_c*Floor_F/Rho_a))/(Delta_c*B29)))</f>
        <v>3.60817056096118</v>
      </c>
      <c r="E29" s="22" t="n">
        <f aca="false">ABS(C29-D29)</f>
        <v>0</v>
      </c>
      <c r="F29" s="17" t="n">
        <f aca="false">Top_c-(Top_c-$A$5)*EXP(-Delta_c*A29)</f>
        <v>53</v>
      </c>
      <c r="G29" s="17" t="n">
        <f aca="false">$C$5*EXP((Rho_a+Delta_c)*A29)</f>
        <v>10.129670746202</v>
      </c>
      <c r="H29" s="17" t="n">
        <f aca="false">IF(F29&lt;Floor_F,EXP(-Rho_a*LN((Top_c-F29)/(Top_c-Floor_F))/Delta_c)*(Cost_k*Ubar_c+Delay_D+Rho_a*(-Cost_k*Delta_c*Floor_F/Rho_a))/(Ubar_c-Delta_c*F29),IF(F29=Floor_F,Cost_k,EXP(-Rho_a*LN(F29/Floor_F)/Delta_c)*(-Rho_a*(-Cost_k*Delta_c*Floor_F/Rho_a))/(Delta_c*F29)))</f>
        <v>10.129670746202</v>
      </c>
      <c r="I29" s="22" t="n">
        <f aca="false">ABS(G29-H29)</f>
        <v>0</v>
      </c>
    </row>
    <row r="30" customFormat="false" ht="15" hidden="false" customHeight="false" outlineLevel="0" collapsed="false">
      <c r="A30" s="13" t="n">
        <v>0.04</v>
      </c>
      <c r="B30" s="17" t="n">
        <f aca="false">$A$7*EXP(-Delta_c*A30)</f>
        <v>57.7655259720103</v>
      </c>
      <c r="C30" s="17" t="n">
        <f aca="false">$C$7*EXP((Rho_a+Delta_c)*A30)</f>
        <v>3.63665437246123</v>
      </c>
      <c r="D30" s="17" t="n">
        <f aca="false">IF(B30&lt;Floor_F,EXP(-Rho_a*LN((Top_c-B30)/(Top_c-Floor_F))/Delta_c)*(Cost_k*Ubar_c+Delay_D+Rho_a*(-Cost_k*Delta_c*Floor_F/Rho_a))/(Ubar_c-Delta_c*B30),IF(B30=Floor_F,Cost_k,EXP(-Rho_a*LN(B30/Floor_F)/Delta_c)*(-Rho_a*(-Cost_k*Delta_c*Floor_F/Rho_a))/(Delta_c*B30)))</f>
        <v>3.63665437246123</v>
      </c>
      <c r="E30" s="22" t="n">
        <f aca="false">ABS(C30-D30)</f>
        <v>0</v>
      </c>
      <c r="F30" s="17" t="n">
        <f aca="false">Top_c-(Top_c-$A$5)*EXP(-Delta_c*A30)</f>
        <v>53.1900048157848</v>
      </c>
      <c r="G30" s="17" t="n">
        <f aca="false">$C$5*EXP((Rho_a+Delta_c)*A30)</f>
        <v>10.20963693051</v>
      </c>
      <c r="H30" s="17" t="n">
        <f aca="false">IF(F30&lt;Floor_F,EXP(-Rho_a*LN((Top_c-F30)/(Top_c-Floor_F))/Delta_c)*(Cost_k*Ubar_c+Delay_D+Rho_a*(-Cost_k*Delta_c*Floor_F/Rho_a))/(Ubar_c-Delta_c*F30),IF(F30=Floor_F,Cost_k,EXP(-Rho_a*LN(F30/Floor_F)/Delta_c)*(-Rho_a*(-Cost_k*Delta_c*Floor_F/Rho_a))/(Delta_c*F30)))</f>
        <v>10.20963693051</v>
      </c>
      <c r="I30" s="22" t="n">
        <f aca="false">ABS(G30-H30)</f>
        <v>0</v>
      </c>
    </row>
    <row r="31" customFormat="false" ht="15" hidden="false" customHeight="false" outlineLevel="0" collapsed="false">
      <c r="A31" s="13" t="n">
        <v>0.08</v>
      </c>
      <c r="B31" s="17" t="n">
        <f aca="false">$A$7*EXP(-Delta_c*A31)</f>
        <v>57.5319998417757</v>
      </c>
      <c r="C31" s="17" t="n">
        <f aca="false">$C$7*EXP((Rho_a+Delta_c)*A31)</f>
        <v>3.66536304237744</v>
      </c>
      <c r="D31" s="17" t="n">
        <f aca="false">IF(B31&lt;Floor_F,EXP(-Rho_a*LN((Top_c-B31)/(Top_c-Floor_F))/Delta_c)*(Cost_k*Ubar_c+Delay_D+Rho_a*(-Cost_k*Delta_c*Floor_F/Rho_a))/(Ubar_c-Delta_c*B31),IF(B31=Floor_F,Cost_k,EXP(-Rho_a*LN(B31/Floor_F)/Delta_c)*(-Rho_a*(-Cost_k*Delta_c*Floor_F/Rho_a))/(Delta_c*B31)))</f>
        <v>3.66536304237744</v>
      </c>
      <c r="E31" s="22" t="n">
        <f aca="false">ABS(C31-D31)</f>
        <v>0</v>
      </c>
      <c r="F31" s="17" t="n">
        <f aca="false">Top_c-(Top_c-$A$5)*EXP(-Delta_c*A31)</f>
        <v>53.3792415075266</v>
      </c>
      <c r="G31" s="17" t="n">
        <f aca="false">$C$5*EXP((Rho_a+Delta_c)*A31)</f>
        <v>10.2902343881133</v>
      </c>
      <c r="H31" s="17" t="n">
        <f aca="false">IF(F31&lt;Floor_F,EXP(-Rho_a*LN((Top_c-F31)/(Top_c-Floor_F))/Delta_c)*(Cost_k*Ubar_c+Delay_D+Rho_a*(-Cost_k*Delta_c*Floor_F/Rho_a))/(Ubar_c-Delta_c*F31),IF(F31=Floor_F,Cost_k,EXP(-Rho_a*LN(F31/Floor_F)/Delta_c)*(-Rho_a*(-Cost_k*Delta_c*Floor_F/Rho_a))/(Delta_c*F31)))</f>
        <v>10.2902343881133</v>
      </c>
      <c r="I31" s="22" t="n">
        <f aca="false">ABS(G31-H31)</f>
        <v>0</v>
      </c>
    </row>
    <row r="32" customFormat="false" ht="15" hidden="false" customHeight="false" outlineLevel="0" collapsed="false">
      <c r="A32" s="13" t="n">
        <v>0.12</v>
      </c>
      <c r="B32" s="17" t="n">
        <f aca="false">$A$7*EXP(-Delta_c*A32)</f>
        <v>57.2994177772722</v>
      </c>
      <c r="C32" s="17" t="n">
        <f aca="false">$C$7*EXP((Rho_a+Delta_c)*A32)</f>
        <v>3.69429834579904</v>
      </c>
      <c r="D32" s="17" t="n">
        <f aca="false">IF(B32&lt;Floor_F,EXP(-Rho_a*LN((Top_c-B32)/(Top_c-Floor_F))/Delta_c)*(Cost_k*Ubar_c+Delay_D+Rho_a*(-Cost_k*Delta_c*Floor_F/Rho_a))/(Ubar_c-Delta_c*B32),IF(B32=Floor_F,Cost_k,EXP(-Rho_a*LN(B32/Floor_F)/Delta_c)*(-Rho_a*(-Cost_k*Delta_c*Floor_F/Rho_a))/(Delta_c*B32)))</f>
        <v>3.69429834579904</v>
      </c>
      <c r="E32" s="22" t="n">
        <f aca="false">ABS(C32-D32)</f>
        <v>0</v>
      </c>
      <c r="F32" s="17" t="n">
        <f aca="false">Top_c-(Top_c-$A$5)*EXP(-Delta_c*A32)</f>
        <v>53.5677131804864</v>
      </c>
      <c r="G32" s="17" t="n">
        <f aca="false">$C$5*EXP((Rho_a+Delta_c)*A32)</f>
        <v>10.3714681024431</v>
      </c>
      <c r="H32" s="17" t="n">
        <f aca="false">IF(F32&lt;Floor_F,EXP(-Rho_a*LN((Top_c-F32)/(Top_c-Floor_F))/Delta_c)*(Cost_k*Ubar_c+Delay_D+Rho_a*(-Cost_k*Delta_c*Floor_F/Rho_a))/(Ubar_c-Delta_c*F32),IF(F32=Floor_F,Cost_k,EXP(-Rho_a*LN(F32/Floor_F)/Delta_c)*(-Rho_a*(-Cost_k*Delta_c*Floor_F/Rho_a))/(Delta_c*F32)))</f>
        <v>10.3714681024431</v>
      </c>
      <c r="I32" s="22" t="n">
        <f aca="false">ABS(G32-H32)</f>
        <v>0</v>
      </c>
    </row>
    <row r="33" customFormat="false" ht="15" hidden="false" customHeight="false" outlineLevel="0" collapsed="false">
      <c r="A33" s="13" t="n">
        <v>0.16</v>
      </c>
      <c r="B33" s="17" t="n">
        <f aca="false">$A$7*EXP(-Delta_c*A33)</f>
        <v>57.0677759619669</v>
      </c>
      <c r="C33" s="17" t="n">
        <f aca="false">$C$7*EXP((Rho_a+Delta_c)*A33)</f>
        <v>3.7234620718283</v>
      </c>
      <c r="D33" s="17" t="n">
        <f aca="false">IF(B33&lt;Floor_F,EXP(-Rho_a*LN((Top_c-B33)/(Top_c-Floor_F))/Delta_c)*(Cost_k*Ubar_c+Delay_D+Rho_a*(-Cost_k*Delta_c*Floor_F/Rho_a))/(Ubar_c-Delta_c*B33),IF(B33=Floor_F,Cost_k,EXP(-Rho_a*LN(B33/Floor_F)/Delta_c)*(-Rho_a*(-Cost_k*Delta_c*Floor_F/Rho_a))/(Delta_c*B33)))</f>
        <v>3.7234620718283</v>
      </c>
      <c r="E33" s="22" t="n">
        <f aca="false">ABS(C33-D33)</f>
        <v>0</v>
      </c>
      <c r="F33" s="17" t="n">
        <f aca="false">Top_c-(Top_c-$A$5)*EXP(-Delta_c*A33)</f>
        <v>53.7554229273717</v>
      </c>
      <c r="G33" s="17" t="n">
        <f aca="false">$C$5*EXP((Rho_a+Delta_c)*A33)</f>
        <v>10.453343096271</v>
      </c>
      <c r="H33" s="17" t="n">
        <f aca="false">IF(F33&lt;Floor_F,EXP(-Rho_a*LN((Top_c-F33)/(Top_c-Floor_F))/Delta_c)*(Cost_k*Ubar_c+Delay_D+Rho_a*(-Cost_k*Delta_c*Floor_F/Rho_a))/(Ubar_c-Delta_c*F33),IF(F33=Floor_F,Cost_k,EXP(-Rho_a*LN(F33/Floor_F)/Delta_c)*(-Rho_a*(-Cost_k*Delta_c*Floor_F/Rho_a))/(Delta_c*F33)))</f>
        <v>10.453343096271</v>
      </c>
      <c r="I33" s="22" t="n">
        <f aca="false">ABS(G33-H33)</f>
        <v>0</v>
      </c>
    </row>
    <row r="34" customFormat="false" ht="15" hidden="false" customHeight="false" outlineLevel="0" collapsed="false">
      <c r="A34" s="13" t="n">
        <v>0.2</v>
      </c>
      <c r="B34" s="17" t="n">
        <f aca="false">$A$7*EXP(-Delta_c*A34)</f>
        <v>56.8370705947562</v>
      </c>
      <c r="C34" s="17" t="n">
        <f aca="false">$C$7*EXP((Rho_a+Delta_c)*A34)</f>
        <v>3.75285602369106</v>
      </c>
      <c r="D34" s="17" t="n">
        <f aca="false">IF(B34&lt;Floor_F,EXP(-Rho_a*LN((Top_c-B34)/(Top_c-Floor_F))/Delta_c)*(Cost_k*Ubar_c+Delay_D+Rho_a*(-Cost_k*Delta_c*Floor_F/Rho_a))/(Ubar_c-Delta_c*B34),IF(B34=Floor_F,Cost_k,EXP(-Rho_a*LN(B34/Floor_F)/Delta_c)*(-Rho_a*(-Cost_k*Delta_c*Floor_F/Rho_a))/(Delta_c*B34)))</f>
        <v>3.75285602369106</v>
      </c>
      <c r="E34" s="22" t="n">
        <f aca="false">ABS(C34-D34)</f>
        <v>0</v>
      </c>
      <c r="F34" s="17" t="n">
        <f aca="false">Top_c-(Top_c-$A$5)*EXP(-Delta_c*A34)</f>
        <v>53.9423738283872</v>
      </c>
      <c r="G34" s="17" t="n">
        <f aca="false">$C$5*EXP((Rho_a+Delta_c)*A34)</f>
        <v>10.5358644320197</v>
      </c>
      <c r="H34" s="17" t="n">
        <f aca="false">IF(F34&lt;Floor_F,EXP(-Rho_a*LN((Top_c-F34)/(Top_c-Floor_F))/Delta_c)*(Cost_k*Ubar_c+Delay_D+Rho_a*(-Cost_k*Delta_c*Floor_F/Rho_a))/(Ubar_c-Delta_c*F34),IF(F34=Floor_F,Cost_k,EXP(-Rho_a*LN(F34/Floor_F)/Delta_c)*(-Rho_a*(-Cost_k*Delta_c*Floor_F/Rho_a))/(Delta_c*F34)))</f>
        <v>10.5358644320197</v>
      </c>
      <c r="I34" s="22" t="n">
        <f aca="false">ABS(G34-H34)</f>
        <v>0</v>
      </c>
    </row>
    <row r="35" customFormat="false" ht="15" hidden="false" customHeight="false" outlineLevel="0" collapsed="false">
      <c r="A35" s="13" t="n">
        <v>0.24</v>
      </c>
      <c r="B35" s="17" t="n">
        <f aca="false">$A$7*EXP(-Delta_c*A35)</f>
        <v>56.607297889903</v>
      </c>
      <c r="C35" s="17" t="n">
        <f aca="false">$C$7*EXP((Rho_a+Delta_c)*A35)</f>
        <v>3.78248201884833</v>
      </c>
      <c r="D35" s="17" t="n">
        <f aca="false">IF(B35&lt;Floor_F,EXP(-Rho_a*LN((Top_c-B35)/(Top_c-Floor_F))/Delta_c)*(Cost_k*Ubar_c+Delay_D+Rho_a*(-Cost_k*Delta_c*Floor_F/Rho_a))/(Ubar_c-Delta_c*B35),IF(B35=Floor_F,Cost_k,EXP(-Rho_a*LN(B35/Floor_F)/Delta_c)*(-Rho_a*(-Cost_k*Delta_c*Floor_F/Rho_a))/(Delta_c*B35)))</f>
        <v>3.78248201884833</v>
      </c>
      <c r="E35" s="22" t="n">
        <f aca="false">ABS(C35-D35)</f>
        <v>0</v>
      </c>
      <c r="F35" s="17" t="n">
        <f aca="false">Top_c-(Top_c-$A$5)*EXP(-Delta_c*A35)</f>
        <v>54.1285689512855</v>
      </c>
      <c r="G35" s="17" t="n">
        <f aca="false">$C$5*EXP((Rho_a+Delta_c)*A35)</f>
        <v>10.6190372120758</v>
      </c>
      <c r="H35" s="17" t="n">
        <f aca="false">IF(F35&lt;Floor_F,EXP(-Rho_a*LN((Top_c-F35)/(Top_c-Floor_F))/Delta_c)*(Cost_k*Ubar_c+Delay_D+Rho_a*(-Cost_k*Delta_c*Floor_F/Rho_a))/(Ubar_c-Delta_c*F35),IF(F35=Floor_F,Cost_k,EXP(-Rho_a*LN(F35/Floor_F)/Delta_c)*(-Rho_a*(-Cost_k*Delta_c*Floor_F/Rho_a))/(Delta_c*F35)))</f>
        <v>10.6190372120758</v>
      </c>
      <c r="I35" s="22" t="n">
        <f aca="false">ABS(G35-H35)</f>
        <v>0</v>
      </c>
    </row>
    <row r="36" customFormat="false" ht="15" hidden="false" customHeight="false" outlineLevel="0" collapsed="false">
      <c r="A36" s="13" t="n">
        <v>0.28</v>
      </c>
      <c r="B36" s="17" t="n">
        <f aca="false">$A$7*EXP(-Delta_c*A36)</f>
        <v>56.3784540769743</v>
      </c>
      <c r="C36" s="17" t="n">
        <f aca="false">$C$7*EXP((Rho_a+Delta_c)*A36)</f>
        <v>3.8123418891086</v>
      </c>
      <c r="D36" s="17" t="n">
        <f aca="false">IF(B36&lt;Floor_F,EXP(-Rho_a*LN((Top_c-B36)/(Top_c-Floor_F))/Delta_c)*(Cost_k*Ubar_c+Delay_D+Rho_a*(-Cost_k*Delta_c*Floor_F/Rho_a))/(Ubar_c-Delta_c*B36),IF(B36=Floor_F,Cost_k,EXP(-Rho_a*LN(B36/Floor_F)/Delta_c)*(-Rho_a*(-Cost_k*Delta_c*Floor_F/Rho_a))/(Delta_c*B36)))</f>
        <v>3.8123418891086</v>
      </c>
      <c r="E36" s="22" t="n">
        <f aca="false">ABS(C36-D36)</f>
        <v>0</v>
      </c>
      <c r="F36" s="17" t="n">
        <f aca="false">Top_c-(Top_c-$A$5)*EXP(-Delta_c*A36)</f>
        <v>54.3140113514174</v>
      </c>
      <c r="G36" s="17" t="n">
        <f aca="false">$C$5*EXP((Rho_a+Delta_c)*A36)</f>
        <v>10.7028665791055</v>
      </c>
      <c r="H36" s="17" t="n">
        <f aca="false">IF(F36&lt;Floor_F,EXP(-Rho_a*LN((Top_c-F36)/(Top_c-Floor_F))/Delta_c)*(Cost_k*Ubar_c+Delay_D+Rho_a*(-Cost_k*Delta_c*Floor_F/Rho_a))/(Ubar_c-Delta_c*F36),IF(F36=Floor_F,Cost_k,EXP(-Rho_a*LN(F36/Floor_F)/Delta_c)*(-Rho_a*(-Cost_k*Delta_c*Floor_F/Rho_a))/(Delta_c*F36)))</f>
        <v>10.7028665791055</v>
      </c>
      <c r="I36" s="22" t="n">
        <f aca="false">ABS(G36-H36)</f>
        <v>0</v>
      </c>
    </row>
    <row r="37" customFormat="false" ht="15" hidden="false" customHeight="false" outlineLevel="0" collapsed="false">
      <c r="A37" s="13" t="n">
        <v>0.32</v>
      </c>
      <c r="B37" s="17" t="n">
        <f aca="false">$A$7*EXP(-Delta_c*A37)</f>
        <v>56.1505354007801</v>
      </c>
      <c r="C37" s="17" t="n">
        <f aca="false">$C$7*EXP((Rho_a+Delta_c)*A37)</f>
        <v>3.8424374807411</v>
      </c>
      <c r="D37" s="17" t="n">
        <f aca="false">IF(B37&lt;Floor_F,EXP(-Rho_a*LN((Top_c-B37)/(Top_c-Floor_F))/Delta_c)*(Cost_k*Ubar_c+Delay_D+Rho_a*(-Cost_k*Delta_c*Floor_F/Rho_a))/(Ubar_c-Delta_c*B37),IF(B37=Floor_F,Cost_k,EXP(-Rho_a*LN(B37/Floor_F)/Delta_c)*(-Rho_a*(-Cost_k*Delta_c*Floor_F/Rho_a))/(Delta_c*B37)))</f>
        <v>3.8424374807411</v>
      </c>
      <c r="E37" s="22" t="n">
        <f aca="false">ABS(C37-D37)</f>
        <v>0</v>
      </c>
      <c r="F37" s="17" t="n">
        <f aca="false">Top_c-(Top_c-$A$5)*EXP(-Delta_c*A37)</f>
        <v>54.4987040717816</v>
      </c>
      <c r="G37" s="17" t="n">
        <f aca="false">$C$5*EXP((Rho_a+Delta_c)*A37)</f>
        <v>10.7873577163727</v>
      </c>
      <c r="H37" s="17" t="n">
        <f aca="false">IF(F37&lt;Floor_F,EXP(-Rho_a*LN((Top_c-F37)/(Top_c-Floor_F))/Delta_c)*(Cost_k*Ubar_c+Delay_D+Rho_a*(-Cost_k*Delta_c*Floor_F/Rho_a))/(Ubar_c-Delta_c*F37),IF(F37=Floor_F,Cost_k,EXP(-Rho_a*LN(F37/Floor_F)/Delta_c)*(-Rho_a*(-Cost_k*Delta_c*Floor_F/Rho_a))/(Delta_c*F37)))</f>
        <v>10.7873577163727</v>
      </c>
      <c r="I37" s="22" t="n">
        <f aca="false">ABS(G37-H37)</f>
        <v>0</v>
      </c>
    </row>
    <row r="38" customFormat="false" ht="15" hidden="false" customHeight="false" outlineLevel="0" collapsed="false">
      <c r="A38" s="13" t="n">
        <v>0.36</v>
      </c>
      <c r="B38" s="17" t="n">
        <f aca="false">$A$7*EXP(-Delta_c*A38)</f>
        <v>55.9235381213111</v>
      </c>
      <c r="C38" s="17" t="n">
        <f aca="false">$C$7*EXP((Rho_a+Delta_c)*A38)</f>
        <v>3.87277065459001</v>
      </c>
      <c r="D38" s="17" t="n">
        <f aca="false">IF(B38&lt;Floor_F,EXP(-Rho_a*LN((Top_c-B38)/(Top_c-Floor_F))/Delta_c)*(Cost_k*Ubar_c+Delay_D+Rho_a*(-Cost_k*Delta_c*Floor_F/Rho_a))/(Ubar_c-Delta_c*B38),IF(B38=Floor_F,Cost_k,EXP(-Rho_a*LN(B38/Floor_F)/Delta_c)*(-Rho_a*(-Cost_k*Delta_c*Floor_F/Rho_a))/(Delta_c*B38)))</f>
        <v>3.87277065459001</v>
      </c>
      <c r="E38" s="22" t="n">
        <f aca="false">ABS(C38-D38)</f>
        <v>0</v>
      </c>
      <c r="F38" s="17" t="n">
        <f aca="false">Top_c-(Top_c-$A$5)*EXP(-Delta_c*A38)</f>
        <v>54.6826501430755</v>
      </c>
      <c r="G38" s="17" t="n">
        <f aca="false">$C$5*EXP((Rho_a+Delta_c)*A38)</f>
        <v>10.8725158480589</v>
      </c>
      <c r="H38" s="17" t="n">
        <f aca="false">IF(F38&lt;Floor_F,EXP(-Rho_a*LN((Top_c-F38)/(Top_c-Floor_F))/Delta_c)*(Cost_k*Ubar_c+Delay_D+Rho_a*(-Cost_k*Delta_c*Floor_F/Rho_a))/(Ubar_c-Delta_c*F38),IF(F38=Floor_F,Cost_k,EXP(-Rho_a*LN(F38/Floor_F)/Delta_c)*(-Rho_a*(-Cost_k*Delta_c*Floor_F/Rho_a))/(Delta_c*F38)))</f>
        <v>10.8725158480589</v>
      </c>
      <c r="I38" s="22" t="n">
        <f aca="false">ABS(G38-H38)</f>
        <v>0</v>
      </c>
    </row>
    <row r="39" customFormat="false" ht="15" hidden="false" customHeight="false" outlineLevel="0" collapsed="false">
      <c r="A39" s="13" t="n">
        <v>0.4</v>
      </c>
      <c r="B39" s="17" t="n">
        <f aca="false">$A$7*EXP(-Delta_c*A39)</f>
        <v>55.6974585136777</v>
      </c>
      <c r="C39" s="17" t="n">
        <f aca="false">$C$7*EXP((Rho_a+Delta_c)*A39)</f>
        <v>3.90334328618947</v>
      </c>
      <c r="D39" s="17" t="n">
        <f aca="false">IF(B39&lt;Floor_F,EXP(-Rho_a*LN((Top_c-B39)/(Top_c-Floor_F))/Delta_c)*(Cost_k*Ubar_c+Delay_D+Rho_a*(-Cost_k*Delta_c*Floor_F/Rho_a))/(Ubar_c-Delta_c*B39),IF(B39=Floor_F,Cost_k,EXP(-Rho_a*LN(B39/Floor_F)/Delta_c)*(-Rho_a*(-Cost_k*Delta_c*Floor_F/Rho_a))/(Delta_c*B39)))</f>
        <v>3.90334328618947</v>
      </c>
      <c r="E39" s="22" t="n">
        <f aca="false">ABS(C39-D39)</f>
        <v>0</v>
      </c>
      <c r="F39" s="17" t="n">
        <f aca="false">Top_c-(Top_c-$A$5)*EXP(-Delta_c*A39)</f>
        <v>54.865852583744</v>
      </c>
      <c r="G39" s="17" t="n">
        <f aca="false">$C$5*EXP((Rho_a+Delta_c)*A39)</f>
        <v>10.958346239587</v>
      </c>
      <c r="H39" s="17" t="n">
        <f aca="false">IF(F39&lt;Floor_F,EXP(-Rho_a*LN((Top_c-F39)/(Top_c-Floor_F))/Delta_c)*(Cost_k*Ubar_c+Delay_D+Rho_a*(-Cost_k*Delta_c*Floor_F/Rho_a))/(Ubar_c-Delta_c*F39),IF(F39=Floor_F,Cost_k,EXP(-Rho_a*LN(F39/Floor_F)/Delta_c)*(-Rho_a*(-Cost_k*Delta_c*Floor_F/Rho_a))/(Delta_c*F39)))</f>
        <v>10.958346239587</v>
      </c>
      <c r="I39" s="22" t="n">
        <f aca="false">ABS(G39-H39)</f>
        <v>0</v>
      </c>
    </row>
    <row r="41" customFormat="false" ht="15" hidden="false" customHeight="false" outlineLevel="0" collapsed="false">
      <c r="A41" s="10" t="s">
        <v>296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8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9" topLeftCell="A2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2"/>
    <col collapsed="false" customWidth="true" hidden="false" outlineLevel="0" max="6" min="6" style="0" width="10"/>
    <col collapsed="false" customWidth="true" hidden="false" outlineLevel="0" max="7" min="7" style="0" width="3"/>
    <col collapsed="false" customWidth="true" hidden="false" outlineLevel="0" max="8" min="8" style="0" width="26"/>
    <col collapsed="false" customWidth="true" hidden="false" outlineLevel="0" max="12" min="9" style="0" width="12"/>
    <col collapsed="false" customWidth="true" hidden="false" outlineLevel="0" max="13" min="13" style="0" width="10"/>
    <col collapsed="false" customWidth="true" hidden="false" outlineLevel="0" max="14" min="14" style="0" width="3"/>
    <col collapsed="false" customWidth="true" hidden="false" outlineLevel="0" max="15" min="15" style="0" width="26"/>
    <col collapsed="false" customWidth="true" hidden="false" outlineLevel="0" max="19" min="16" style="0" width="12"/>
    <col collapsed="false" customWidth="true" hidden="false" outlineLevel="0" max="20" min="20" style="0" width="10"/>
    <col collapsed="false" customWidth="true" hidden="false" outlineLevel="0" max="21" min="21" style="0" width="3"/>
    <col collapsed="false" customWidth="true" hidden="false" outlineLevel="0" max="22" min="22" style="0" width="26"/>
    <col collapsed="false" customWidth="true" hidden="false" outlineLevel="0" max="26" min="23" style="0" width="12"/>
    <col collapsed="false" customWidth="true" hidden="false" outlineLevel="0" max="27" min="27" style="0" width="10"/>
    <col collapsed="false" customWidth="true" hidden="false" outlineLevel="0" max="28" min="28" style="0" width="3"/>
    <col collapsed="false" customWidth="true" hidden="false" outlineLevel="0" max="29" min="29" style="0" width="26"/>
    <col collapsed="false" customWidth="true" hidden="false" outlineLevel="0" max="33" min="30" style="0" width="12"/>
    <col collapsed="false" customWidth="true" hidden="false" outlineLevel="0" max="34" min="34" style="0" width="10"/>
    <col collapsed="false" customWidth="true" hidden="false" outlineLevel="0" max="35" min="35" style="0" width="3"/>
  </cols>
  <sheetData>
    <row r="1" customFormat="false" ht="15" hidden="false" customHeight="false" outlineLevel="0" collapsed="false">
      <c r="A1" s="1" t="s">
        <v>297</v>
      </c>
    </row>
    <row r="2" customFormat="false" ht="15" hidden="false" customHeight="false" outlineLevel="0" collapsed="false">
      <c r="A2" s="10" t="s">
        <v>298</v>
      </c>
    </row>
    <row r="4" customFormat="false" ht="15" hidden="false" customHeight="false" outlineLevel="0" collapsed="false">
      <c r="A4" s="4" t="s">
        <v>299</v>
      </c>
      <c r="H4" s="4" t="s">
        <v>300</v>
      </c>
      <c r="O4" s="4" t="s">
        <v>301</v>
      </c>
      <c r="V4" s="4" t="s">
        <v>302</v>
      </c>
      <c r="AC4" s="4" t="s">
        <v>303</v>
      </c>
    </row>
    <row r="5" customFormat="false" ht="15" hidden="false" customHeight="false" outlineLevel="0" collapsed="false">
      <c r="A5" s="2" t="s">
        <v>304</v>
      </c>
      <c r="B5" s="30" t="n">
        <v>1</v>
      </c>
      <c r="H5" s="2" t="s">
        <v>304</v>
      </c>
      <c r="I5" s="30" t="n">
        <v>0.5</v>
      </c>
      <c r="O5" s="2" t="s">
        <v>304</v>
      </c>
      <c r="P5" s="30" t="n">
        <v>0.25</v>
      </c>
      <c r="V5" s="2" t="s">
        <v>304</v>
      </c>
      <c r="W5" s="30" t="n">
        <v>0.125</v>
      </c>
      <c r="AC5" s="2" t="s">
        <v>304</v>
      </c>
      <c r="AD5" s="30" t="n">
        <v>0.0625</v>
      </c>
    </row>
    <row r="6" customFormat="false" ht="15" hidden="false" customHeight="false" outlineLevel="0" collapsed="false">
      <c r="A6" s="2" t="s">
        <v>305</v>
      </c>
      <c r="B6" s="19" t="n">
        <f aca="false">COUNT($A$20:$A$70)</f>
        <v>51</v>
      </c>
      <c r="H6" s="2" t="s">
        <v>305</v>
      </c>
      <c r="I6" s="19" t="n">
        <f aca="false">COUNT($H$20:$H$120)</f>
        <v>101</v>
      </c>
      <c r="O6" s="2" t="s">
        <v>305</v>
      </c>
      <c r="P6" s="19" t="n">
        <f aca="false">COUNT($O$20:$O$220)</f>
        <v>201</v>
      </c>
      <c r="V6" s="2" t="s">
        <v>305</v>
      </c>
      <c r="W6" s="19" t="n">
        <f aca="false">COUNT($V$20:$V$420)</f>
        <v>401</v>
      </c>
      <c r="AC6" s="2" t="s">
        <v>305</v>
      </c>
      <c r="AD6" s="19" t="n">
        <f aca="false">COUNT($AC$20:$AC$820)</f>
        <v>801</v>
      </c>
    </row>
    <row r="7" customFormat="false" ht="15" hidden="false" customHeight="false" outlineLevel="0" collapsed="false">
      <c r="A7" s="2" t="s">
        <v>306</v>
      </c>
      <c r="B7" s="31" t="n">
        <v>15</v>
      </c>
      <c r="H7" s="2" t="s">
        <v>306</v>
      </c>
      <c r="I7" s="31" t="n">
        <v>28</v>
      </c>
      <c r="O7" s="2" t="s">
        <v>306</v>
      </c>
      <c r="P7" s="31" t="n">
        <v>55</v>
      </c>
      <c r="V7" s="2" t="s">
        <v>306</v>
      </c>
      <c r="W7" s="31" t="n">
        <v>109</v>
      </c>
      <c r="AC7" s="2" t="s">
        <v>306</v>
      </c>
      <c r="AD7" s="31" t="n">
        <v>216</v>
      </c>
    </row>
    <row r="8" customFormat="false" ht="15" hidden="false" customHeight="false" outlineLevel="0" collapsed="false">
      <c r="A8" s="2" t="s">
        <v>307</v>
      </c>
      <c r="B8" s="15" t="n">
        <f aca="false">INDEX($D$20:$D$70,MATCH(45,$A$20:$A$70,0))</f>
        <v>-322.872689345593</v>
      </c>
      <c r="H8" s="2" t="s">
        <v>307</v>
      </c>
      <c r="I8" s="15" t="n">
        <f aca="false">INDEX($K$20:$K$120,MATCH(45,$H$20:$H$120,0))</f>
        <v>-323.657032126374</v>
      </c>
      <c r="O8" s="2" t="s">
        <v>307</v>
      </c>
      <c r="P8" s="15" t="n">
        <f aca="false">INDEX($R$20:$R$220,MATCH(45,$O$20:$O$220,0))</f>
        <v>-324.054348912037</v>
      </c>
      <c r="V8" s="2" t="s">
        <v>307</v>
      </c>
      <c r="W8" s="15" t="n">
        <f aca="false">INDEX($Y$20:$Y$420,MATCH(45,$V$20:$V$420,0))</f>
        <v>-324.254313143255</v>
      </c>
      <c r="AC8" s="2" t="s">
        <v>307</v>
      </c>
      <c r="AD8" s="15" t="n">
        <f aca="false">INDEX($AF$20:$AF$820,MATCH(45,$AC$20:$AC$820,0))</f>
        <v>-324.354624193783</v>
      </c>
    </row>
    <row r="9" customFormat="false" ht="15" hidden="false" customHeight="false" outlineLevel="0" collapsed="false">
      <c r="A9" s="2" t="s">
        <v>308</v>
      </c>
      <c r="B9" s="15" t="n">
        <f aca="false">INDEX($D$20:$D$70,MATCH(53,$A$20:$A$70,0))</f>
        <v>-254.463926101896</v>
      </c>
      <c r="H9" s="2" t="s">
        <v>308</v>
      </c>
      <c r="I9" s="15" t="n">
        <f aca="false">INDEX($K$20:$K$120,MATCH(53,$H$20:$H$120,0))</f>
        <v>-254.675853443812</v>
      </c>
      <c r="O9" s="2" t="s">
        <v>308</v>
      </c>
      <c r="P9" s="15" t="n">
        <f aca="false">INDEX($R$20:$R$220,MATCH(53,$O$20:$O$220,0))</f>
        <v>-254.783435789483</v>
      </c>
      <c r="V9" s="2" t="s">
        <v>308</v>
      </c>
      <c r="W9" s="15" t="n">
        <f aca="false">INDEX($Y$20:$Y$420,MATCH(53,$V$20:$V$420,0))</f>
        <v>-254.837638782785</v>
      </c>
      <c r="AC9" s="2" t="s">
        <v>308</v>
      </c>
      <c r="AD9" s="15" t="n">
        <f aca="false">INDEX($AF$20:$AF$820,MATCH(53,$AC$20:$AC$820,0))</f>
        <v>-254.864844145316</v>
      </c>
    </row>
    <row r="10" customFormat="false" ht="15" hidden="false" customHeight="false" outlineLevel="0" collapsed="false">
      <c r="A10" s="2" t="s">
        <v>309</v>
      </c>
      <c r="B10" s="15" t="n">
        <f aca="false">INDEX($D$20:$D$70,MATCH(55,$A$20:$A$70,0))</f>
        <v>-233.75961593941</v>
      </c>
      <c r="H10" s="2" t="s">
        <v>309</v>
      </c>
      <c r="I10" s="15" t="n">
        <f aca="false">INDEX($K$20:$K$120,MATCH(55,$H$20:$H$120,0))</f>
        <v>-233.75961593941</v>
      </c>
      <c r="O10" s="2" t="s">
        <v>309</v>
      </c>
      <c r="P10" s="15" t="n">
        <f aca="false">INDEX($R$20:$R$220,MATCH(55,$O$20:$O$220,0))</f>
        <v>-233.75961593941</v>
      </c>
      <c r="V10" s="2" t="s">
        <v>309</v>
      </c>
      <c r="W10" s="15" t="n">
        <f aca="false">INDEX($Y$20:$Y$420,MATCH(55,$V$20:$V$420,0))</f>
        <v>-233.75961593941</v>
      </c>
      <c r="AC10" s="2" t="s">
        <v>309</v>
      </c>
      <c r="AD10" s="15" t="n">
        <f aca="false">INDEX($AF$20:$AF$820,MATCH(55,$AC$20:$AC$820,0))</f>
        <v>-233.75961593941</v>
      </c>
    </row>
    <row r="11" customFormat="false" ht="15" hidden="false" customHeight="false" outlineLevel="0" collapsed="false">
      <c r="A11" s="2" t="s">
        <v>310</v>
      </c>
      <c r="B11" s="15" t="n">
        <f aca="false">INDEX($D$20:$D$70,MATCH(58,$A$20:$A$70,0))</f>
        <v>-222.550557657011</v>
      </c>
      <c r="H11" s="2" t="s">
        <v>310</v>
      </c>
      <c r="I11" s="15" t="n">
        <f aca="false">INDEX($K$20:$K$120,MATCH(58,$H$20:$H$120,0))</f>
        <v>-222.457380768326</v>
      </c>
      <c r="O11" s="2" t="s">
        <v>310</v>
      </c>
      <c r="P11" s="15" t="n">
        <f aca="false">INDEX($R$20:$R$220,MATCH(58,$O$20:$O$220,0))</f>
        <v>-222.410214962672</v>
      </c>
      <c r="V11" s="2" t="s">
        <v>310</v>
      </c>
      <c r="W11" s="15" t="n">
        <f aca="false">INDEX($Y$20:$Y$420,MATCH(58,$V$20:$V$420,0))</f>
        <v>-222.386485651189</v>
      </c>
      <c r="AC11" s="2" t="s">
        <v>310</v>
      </c>
      <c r="AD11" s="15" t="n">
        <f aca="false">INDEX($AF$20:$AF$820,MATCH(58,$AC$20:$AC$820,0))</f>
        <v>-222.374584130805</v>
      </c>
    </row>
    <row r="12" customFormat="false" ht="15" hidden="false" customHeight="false" outlineLevel="0" collapsed="false">
      <c r="A12" s="2" t="s">
        <v>311</v>
      </c>
      <c r="B12" s="17" t="n">
        <f aca="false">MAX(ABS(INDEX($D$20:$D$70,MATCH(45,$A$20:$A$70,0))-INDEX($E$20:$E$70,MATCH(45,$A$20:$A$70,0))),ABS(INDEX($D$20:$D$70,MATCH(53,$A$20:$A$70,0))-INDEX($E$20:$E$70,MATCH(53,$A$20:$A$70,0))),ABS(INDEX($D$20:$D$70,MATCH(55,$A$20:$A$70,0))-INDEX($E$20:$E$70,MATCH(55,$A$20:$A$70,0))),ABS(INDEX($D$20:$D$70,MATCH(58,$A$20:$A$70,0))-INDEX($E$20:$E$70,MATCH(58,$A$20:$A$70,0))))</f>
        <v>1.58246613973125</v>
      </c>
      <c r="H12" s="2" t="s">
        <v>311</v>
      </c>
      <c r="I12" s="17" t="n">
        <f aca="false">MAX(ABS(INDEX($K$20:$K$120,MATCH(45,$H$20:$H$120,0))-INDEX($L$20:$L$120,MATCH(45,$H$20:$H$120,0))),ABS(INDEX($K$20:$K$120,MATCH(53,$H$20:$H$120,0))-INDEX($L$20:$L$120,MATCH(53,$H$20:$H$120,0))),ABS(INDEX($K$20:$K$120,MATCH(55,$H$20:$H$120,0))-INDEX($L$20:$L$120,MATCH(55,$H$20:$H$120,0))),ABS(INDEX($K$20:$K$120,MATCH(58,$H$20:$H$120,0))-INDEX($L$20:$L$120,MATCH(58,$H$20:$H$120,0))))</f>
        <v>0.798123358949852</v>
      </c>
      <c r="O12" s="2" t="s">
        <v>311</v>
      </c>
      <c r="P12" s="17" t="n">
        <f aca="false">MAX(ABS(INDEX($R$20:$R$220,MATCH(45,$O$20:$O$220,0))-INDEX($S$20:$S$220,MATCH(45,$O$20:$O$220,0))),ABS(INDEX($R$20:$R$220,MATCH(53,$O$20:$O$220,0))-INDEX($S$20:$S$220,MATCH(53,$O$20:$O$220,0))),ABS(INDEX($R$20:$R$220,MATCH(55,$O$20:$O$220,0))-INDEX($S$20:$S$220,MATCH(55,$O$20:$O$220,0))),ABS(INDEX($R$20:$R$220,MATCH(58,$O$20:$O$220,0))-INDEX($S$20:$S$220,MATCH(58,$O$20:$O$220,0))))</f>
        <v>0.400806573286729</v>
      </c>
      <c r="V12" s="2" t="s">
        <v>311</v>
      </c>
      <c r="W12" s="17" t="n">
        <f aca="false">MAX(ABS(INDEX($Y$20:$Y$420,MATCH(45,$V$20:$V$420,0))-INDEX($Z$20:$Z$420,MATCH(45,$V$20:$V$420,0))),ABS(INDEX($Y$20:$Y$420,MATCH(53,$V$20:$V$420,0))-INDEX($Z$20:$Z$420,MATCH(53,$V$20:$V$420,0))),ABS(INDEX($Y$20:$Y$420,MATCH(55,$V$20:$V$420,0))-INDEX($Z$20:$Z$420,MATCH(55,$V$20:$V$420,0))),ABS(INDEX($Y$20:$Y$420,MATCH(58,$V$20:$V$420,0))-INDEX($Z$20:$Z$420,MATCH(58,$V$20:$V$420,0))))</f>
        <v>0.200842342069109</v>
      </c>
      <c r="AC12" s="2" t="s">
        <v>311</v>
      </c>
      <c r="AD12" s="17" t="n">
        <f aca="false">MAX(ABS(INDEX($AF$20:$AF$820,MATCH(45,$AC$20:$AC$820,0))-INDEX($AG$20:$AG$820,MATCH(45,$AC$20:$AC$820,0))),ABS(INDEX($AF$20:$AF$820,MATCH(53,$AC$20:$AC$820,0))-INDEX($AG$20:$AG$820,MATCH(53,$AC$20:$AC$820,0))),ABS(INDEX($AF$20:$AF$820,MATCH(55,$AC$20:$AC$820,0))-INDEX($AG$20:$AG$820,MATCH(55,$AC$20:$AC$820,0))),ABS(INDEX($AF$20:$AF$820,MATCH(58,$AC$20:$AC$820,0))-INDEX($AG$20:$AG$820,MATCH(58,$AC$20:$AC$820,0))))</f>
        <v>0.100531291541188</v>
      </c>
    </row>
    <row r="13" customFormat="false" ht="15" hidden="false" customHeight="false" outlineLevel="0" collapsed="false">
      <c r="A13" s="2" t="s">
        <v>312</v>
      </c>
      <c r="B13" s="17" t="n">
        <f aca="false">MAX($F$20:$F$70)</f>
        <v>1.68138419426822</v>
      </c>
      <c r="H13" s="2" t="s">
        <v>312</v>
      </c>
      <c r="I13" s="17" t="n">
        <f aca="false">MAX($M$20:$M$120)</f>
        <v>0.871327835762997</v>
      </c>
      <c r="O13" s="2" t="s">
        <v>312</v>
      </c>
      <c r="P13" s="17" t="n">
        <f aca="false">MAX($T$20:$T$220)</f>
        <v>0.437520002261749</v>
      </c>
      <c r="V13" s="2" t="s">
        <v>312</v>
      </c>
      <c r="W13" s="17" t="n">
        <f aca="false">MAX($AA$20:$AA$420)</f>
        <v>0.21922695650386</v>
      </c>
      <c r="AC13" s="2" t="s">
        <v>312</v>
      </c>
      <c r="AD13" s="17" t="n">
        <f aca="false">MAX($AH$20:$AH$820)</f>
        <v>0.109730586556793</v>
      </c>
    </row>
    <row r="14" customFormat="false" ht="15" hidden="false" customHeight="false" outlineLevel="0" collapsed="false">
      <c r="A14" s="2" t="s">
        <v>313</v>
      </c>
      <c r="B14" s="17" t="n">
        <f aca="false">INDEX($A$20:$A$70,MATCH(MAX($F$20:$F$70),$F$20:$F$70,0))</f>
        <v>44</v>
      </c>
      <c r="H14" s="2" t="s">
        <v>313</v>
      </c>
      <c r="I14" s="17" t="n">
        <f aca="false">INDEX($H$20:$H$120,MATCH(MAX($M$20:$M$120),$M$20:$M$120,0))</f>
        <v>43.5</v>
      </c>
      <c r="O14" s="2" t="s">
        <v>313</v>
      </c>
      <c r="P14" s="17" t="n">
        <f aca="false">INDEX($O$20:$O$220,MATCH(MAX($T$20:$T$220),$T$20:$T$220,0))</f>
        <v>43.5</v>
      </c>
      <c r="V14" s="2" t="s">
        <v>313</v>
      </c>
      <c r="W14" s="17" t="n">
        <f aca="false">INDEX($V$20:$V$420,MATCH(MAX($AA$20:$AA$420),$AA$20:$AA$420,0))</f>
        <v>43.5</v>
      </c>
      <c r="AC14" s="2" t="s">
        <v>313</v>
      </c>
      <c r="AD14" s="17" t="n">
        <f aca="false">INDEX($AC$20:$AC$820,MATCH(MAX($AH$20:$AH$820),$AH$20:$AH$820,0))</f>
        <v>43.5</v>
      </c>
    </row>
    <row r="15" customFormat="false" ht="15" hidden="false" customHeight="false" outlineLevel="0" collapsed="false">
      <c r="A15" s="2" t="s">
        <v>314</v>
      </c>
      <c r="B15" s="17" t="n">
        <f aca="false">_xlfn.MINIFS($A$20:$A$70,$C$20:$C$70,"&gt;="&amp;(-Delay_D/Rho_a),$A$20:$A$70,"&lt;"&amp;Floor_F)</f>
        <v>44</v>
      </c>
      <c r="H15" s="2" t="s">
        <v>314</v>
      </c>
      <c r="I15" s="17" t="n">
        <f aca="false">_xlfn.MINIFS($H$20:$H$120,$J$20:$J$120,"&gt;="&amp;(-Delay_D/Rho_a),$H$20:$H$120,"&lt;"&amp;Floor_F)</f>
        <v>43.5</v>
      </c>
      <c r="O15" s="2" t="s">
        <v>314</v>
      </c>
      <c r="P15" s="17" t="n">
        <f aca="false">_xlfn.MINIFS($O$20:$O$220,$Q$20:$Q$220,"&gt;="&amp;(-Delay_D/Rho_a),$O$20:$O$220,"&lt;"&amp;Floor_F)</f>
        <v>43.5</v>
      </c>
      <c r="V15" s="2" t="s">
        <v>314</v>
      </c>
      <c r="W15" s="17" t="n">
        <f aca="false">_xlfn.MINIFS($V$20:$V$420,$X$20:$X$420,"&gt;="&amp;(-Delay_D/Rho_a),$V$20:$V$420,"&lt;"&amp;Floor_F)</f>
        <v>43.5</v>
      </c>
      <c r="AC15" s="2" t="s">
        <v>314</v>
      </c>
      <c r="AD15" s="17" t="n">
        <f aca="false">_xlfn.MINIFS($AC$20:$AC$820,$AE$20:$AE$820,"&gt;="&amp;(-Delay_D/Rho_a),$AC$20:$AC$820,"&lt;"&amp;Floor_F)</f>
        <v>43.4375</v>
      </c>
    </row>
    <row r="16" customFormat="false" ht="15" hidden="false" customHeight="false" outlineLevel="0" collapsed="false">
      <c r="A16" s="2" t="s">
        <v>315</v>
      </c>
      <c r="B16" s="15" t="n">
        <f aca="false">(D45-D44)/B5</f>
        <v>10.5660651907788</v>
      </c>
      <c r="H16" s="2" t="s">
        <v>315</v>
      </c>
      <c r="I16" s="15" t="n">
        <f aca="false">(K70-K69)/I5</f>
        <v>10.7891447453457</v>
      </c>
      <c r="O16" s="2" t="s">
        <v>315</v>
      </c>
      <c r="P16" s="15" t="n">
        <f aca="false">(R120-R119)/P5</f>
        <v>10.9042545905446</v>
      </c>
      <c r="V16" s="2" t="s">
        <v>315</v>
      </c>
      <c r="W16" s="15" t="n">
        <f aca="false">(Y220-Y219)/W5</f>
        <v>10.9627355369214</v>
      </c>
      <c r="AC16" s="2" t="s">
        <v>315</v>
      </c>
      <c r="AD16" s="15" t="n">
        <f aca="false">(AF420-AF419)/AD5</f>
        <v>10.9922118733271</v>
      </c>
    </row>
    <row r="17" customFormat="false" ht="15" hidden="false" customHeight="false" outlineLevel="0" collapsed="false">
      <c r="A17" s="2" t="s">
        <v>316</v>
      </c>
      <c r="B17" s="15" t="n">
        <f aca="false">(D46-D45)/B5</f>
        <v>3.86363899065648</v>
      </c>
      <c r="H17" s="2" t="s">
        <v>316</v>
      </c>
      <c r="I17" s="15" t="n">
        <f aca="false">(K71-K70)/I5</f>
        <v>3.93063719761022</v>
      </c>
      <c r="O17" s="2" t="s">
        <v>316</v>
      </c>
      <c r="P17" s="15" t="n">
        <f aca="false">(R121-R120)/P5</f>
        <v>3.96501526893155</v>
      </c>
      <c r="V17" s="2" t="s">
        <v>316</v>
      </c>
      <c r="W17" s="15" t="n">
        <f aca="false">(Y221-Y220)/W5</f>
        <v>3.98243080276075</v>
      </c>
      <c r="AC17" s="2" t="s">
        <v>316</v>
      </c>
      <c r="AD17" s="15" t="n">
        <f aca="false">(AF421-AF420)/AD5</f>
        <v>3.99119606662543</v>
      </c>
    </row>
    <row r="19" customFormat="false" ht="15" hidden="false" customHeight="false" outlineLevel="0" collapsed="false">
      <c r="A19" s="8" t="s">
        <v>317</v>
      </c>
      <c r="B19" s="8" t="s">
        <v>318</v>
      </c>
      <c r="C19" s="8" t="s">
        <v>319</v>
      </c>
      <c r="D19" s="8" t="s">
        <v>320</v>
      </c>
      <c r="E19" s="8" t="s">
        <v>321</v>
      </c>
      <c r="F19" s="8" t="s">
        <v>322</v>
      </c>
      <c r="H19" s="8" t="s">
        <v>317</v>
      </c>
      <c r="I19" s="8" t="s">
        <v>318</v>
      </c>
      <c r="J19" s="8" t="s">
        <v>319</v>
      </c>
      <c r="K19" s="8" t="s">
        <v>320</v>
      </c>
      <c r="L19" s="8" t="s">
        <v>321</v>
      </c>
      <c r="M19" s="8" t="s">
        <v>322</v>
      </c>
      <c r="O19" s="8" t="s">
        <v>317</v>
      </c>
      <c r="P19" s="8" t="s">
        <v>318</v>
      </c>
      <c r="Q19" s="8" t="s">
        <v>319</v>
      </c>
      <c r="R19" s="8" t="s">
        <v>320</v>
      </c>
      <c r="S19" s="8" t="s">
        <v>321</v>
      </c>
      <c r="T19" s="8" t="s">
        <v>322</v>
      </c>
      <c r="V19" s="8" t="s">
        <v>317</v>
      </c>
      <c r="W19" s="8" t="s">
        <v>318</v>
      </c>
      <c r="X19" s="8" t="s">
        <v>319</v>
      </c>
      <c r="Y19" s="8" t="s">
        <v>320</v>
      </c>
      <c r="Z19" s="8" t="s">
        <v>321</v>
      </c>
      <c r="AA19" s="8" t="s">
        <v>322</v>
      </c>
      <c r="AC19" s="8" t="s">
        <v>317</v>
      </c>
      <c r="AD19" s="8" t="s">
        <v>318</v>
      </c>
      <c r="AE19" s="8" t="s">
        <v>319</v>
      </c>
      <c r="AF19" s="8" t="s">
        <v>320</v>
      </c>
      <c r="AG19" s="8" t="s">
        <v>321</v>
      </c>
      <c r="AH19" s="8" t="s">
        <v>322</v>
      </c>
    </row>
    <row r="20" customFormat="false" ht="15" hidden="false" customHeight="false" outlineLevel="0" collapsed="false">
      <c r="A20" s="17" t="n">
        <f aca="false">30+0*$B$5</f>
        <v>30</v>
      </c>
      <c r="B20" s="17" t="n">
        <f aca="false">Ubar_c-Delta_c*A20</f>
        <v>7.08898623560117</v>
      </c>
      <c r="C20" s="11" t="n">
        <f aca="false">(-(Cost_k*Ubar_c+Delay_D)+B20/$B$5*C21)/(Rho_a+B20/$B$5)</f>
        <v>-410.56254540525</v>
      </c>
      <c r="D20" s="11" t="n">
        <f aca="false">MAX(C20,-Delay_D/Rho_a)</f>
        <v>-335.745877992226</v>
      </c>
      <c r="E20" s="11" t="n">
        <f aca="false">IF(A20&lt;Floor_F,MAX((-(Cost_k*Ubar_c+Delay_D)*(1-EXP(-Rho_a*LN((Top_c-A20)/(Top_c-Floor_F))/Delta_c))/Rho_a+EXP(-Rho_a*LN((Top_c-A20)/(Top_c-Floor_F))/Delta_c)*(-Cost_k*Delta_c*Floor_F/Rho_a)),(-Delay_D/Rho_a)),(EXP(-Rho_a*LN(A20/Floor_F)/Delta_c)*(-Cost_k*Delta_c*Floor_F/Rho_a)))</f>
        <v>-335.745877992226</v>
      </c>
      <c r="F20" s="22" t="n">
        <f aca="false">ABS(D20-E20)</f>
        <v>0</v>
      </c>
      <c r="H20" s="17" t="n">
        <f aca="false">30+0*$I$5</f>
        <v>30</v>
      </c>
      <c r="I20" s="17" t="n">
        <f aca="false">Ubar_c-Delta_c*H20</f>
        <v>7.08898623560117</v>
      </c>
      <c r="J20" s="11" t="n">
        <f aca="false">(-(Cost_k*Ubar_c+Delay_D)+I20/$I$5*J21)/(Rho_a+I20/$I$5)</f>
        <v>-411.797038320976</v>
      </c>
      <c r="K20" s="11" t="n">
        <f aca="false">MAX(J20,-Delay_D/Rho_a)</f>
        <v>-335.745877992226</v>
      </c>
      <c r="L20" s="11" t="n">
        <f aca="false">IF(H20&lt;Floor_F,MAX((-(Cost_k*Ubar_c+Delay_D)*(1-EXP(-Rho_a*LN((Top_c-H20)/(Top_c-Floor_F))/Delta_c))/Rho_a+EXP(-Rho_a*LN((Top_c-H20)/(Top_c-Floor_F))/Delta_c)*(-Cost_k*Delta_c*Floor_F/Rho_a)),(-Delay_D/Rho_a)),(EXP(-Rho_a*LN(H20/Floor_F)/Delta_c)*(-Cost_k*Delta_c*Floor_F/Rho_a)))</f>
        <v>-335.745877992226</v>
      </c>
      <c r="M20" s="22" t="n">
        <f aca="false">ABS(K20-L20)</f>
        <v>0</v>
      </c>
      <c r="O20" s="17" t="n">
        <f aca="false">30+0*$P$5</f>
        <v>30</v>
      </c>
      <c r="P20" s="17" t="n">
        <f aca="false">Ubar_c-Delta_c*O20</f>
        <v>7.08898623560117</v>
      </c>
      <c r="Q20" s="11" t="n">
        <f aca="false">(-(Cost_k*Ubar_c+Delay_D)+P20/$P$5*Q21)/(Rho_a+P20/$P$5)</f>
        <v>-412.420705436373</v>
      </c>
      <c r="R20" s="11" t="n">
        <f aca="false">MAX(Q20,-Delay_D/Rho_a)</f>
        <v>-335.745877992226</v>
      </c>
      <c r="S20" s="11" t="n">
        <f aca="false">IF(O20&lt;Floor_F,MAX((-(Cost_k*Ubar_c+Delay_D)*(1-EXP(-Rho_a*LN((Top_c-O20)/(Top_c-Floor_F))/Delta_c))/Rho_a+EXP(-Rho_a*LN((Top_c-O20)/(Top_c-Floor_F))/Delta_c)*(-Cost_k*Delta_c*Floor_F/Rho_a)),(-Delay_D/Rho_a)),(EXP(-Rho_a*LN(O20/Floor_F)/Delta_c)*(-Cost_k*Delta_c*Floor_F/Rho_a)))</f>
        <v>-335.745877992226</v>
      </c>
      <c r="T20" s="22" t="n">
        <f aca="false">ABS(R20-S20)</f>
        <v>0</v>
      </c>
      <c r="V20" s="17" t="n">
        <f aca="false">30+0*$W$5</f>
        <v>30</v>
      </c>
      <c r="W20" s="17" t="n">
        <f aca="false">Ubar_c-Delta_c*V20</f>
        <v>7.08898623560117</v>
      </c>
      <c r="X20" s="11" t="n">
        <f aca="false">(-(Cost_k*Ubar_c+Delay_D)+W20/$W$5*X21)/(Rho_a+W20/$W$5)</f>
        <v>-412.734163392889</v>
      </c>
      <c r="Y20" s="11" t="n">
        <f aca="false">MAX(X20,-Delay_D/Rho_a)</f>
        <v>-335.745877992226</v>
      </c>
      <c r="Z20" s="11" t="n">
        <f aca="false">IF(V20&lt;Floor_F,MAX((-(Cost_k*Ubar_c+Delay_D)*(1-EXP(-Rho_a*LN((Top_c-V20)/(Top_c-Floor_F))/Delta_c))/Rho_a+EXP(-Rho_a*LN((Top_c-V20)/(Top_c-Floor_F))/Delta_c)*(-Cost_k*Delta_c*Floor_F/Rho_a)),(-Delay_D/Rho_a)),(EXP(-Rho_a*LN(V20/Floor_F)/Delta_c)*(-Cost_k*Delta_c*Floor_F/Rho_a)))</f>
        <v>-335.745877992226</v>
      </c>
      <c r="AA20" s="22" t="n">
        <f aca="false">ABS(Y20-Z20)</f>
        <v>0</v>
      </c>
      <c r="AC20" s="17" t="n">
        <f aca="false">30+0*$AD$5</f>
        <v>30</v>
      </c>
      <c r="AD20" s="17" t="n">
        <f aca="false">Ubar_c-Delta_c*AC20</f>
        <v>7.08898623560117</v>
      </c>
      <c r="AE20" s="11" t="n">
        <f aca="false">(-(Cost_k*Ubar_c+Delay_D)+AD20/$AD$5*AE21)/(Rho_a+AD20/$AD$5)</f>
        <v>-412.891300905522</v>
      </c>
      <c r="AF20" s="11" t="n">
        <f aca="false">MAX(AE20,-Delay_D/Rho_a)</f>
        <v>-335.745877992226</v>
      </c>
      <c r="AG20" s="11" t="n">
        <f aca="false">IF(AC20&lt;Floor_F,MAX((-(Cost_k*Ubar_c+Delay_D)*(1-EXP(-Rho_a*LN((Top_c-AC20)/(Top_c-Floor_F))/Delta_c))/Rho_a+EXP(-Rho_a*LN((Top_c-AC20)/(Top_c-Floor_F))/Delta_c)*(-Cost_k*Delta_c*Floor_F/Rho_a)),(-Delay_D/Rho_a)),(EXP(-Rho_a*LN(AC20/Floor_F)/Delta_c)*(-Cost_k*Delta_c*Floor_F/Rho_a)))</f>
        <v>-335.745877992226</v>
      </c>
      <c r="AH20" s="22" t="n">
        <f aca="false">ABS(AF20-AG20)</f>
        <v>0</v>
      </c>
    </row>
    <row r="21" customFormat="false" ht="15" hidden="false" customHeight="false" outlineLevel="0" collapsed="false">
      <c r="A21" s="17" t="n">
        <f aca="false">30+1*$B$5</f>
        <v>31</v>
      </c>
      <c r="B21" s="17" t="n">
        <f aca="false">Ubar_c-Delta_c*A21</f>
        <v>6.98771500366401</v>
      </c>
      <c r="C21" s="11" t="n">
        <f aca="false">(-(Cost_k*Ubar_c+Delay_D)+B21/$B$5*C22)/(Rho_a+B21/$B$5)</f>
        <v>-405.854156696051</v>
      </c>
      <c r="D21" s="11" t="n">
        <f aca="false">MAX(C21,-Delay_D/Rho_a)</f>
        <v>-335.745877992226</v>
      </c>
      <c r="E21" s="11" t="n">
        <f aca="false">IF(A21&lt;Floor_F,MAX((-(Cost_k*Ubar_c+Delay_D)*(1-EXP(-Rho_a*LN((Top_c-A21)/(Top_c-Floor_F))/Delta_c))/Rho_a+EXP(-Rho_a*LN((Top_c-A21)/(Top_c-Floor_F))/Delta_c)*(-Cost_k*Delta_c*Floor_F/Rho_a)),(-Delay_D/Rho_a)),(EXP(-Rho_a*LN(A21/Floor_F)/Delta_c)*(-Cost_k*Delta_c*Floor_F/Rho_a)))</f>
        <v>-335.745877992226</v>
      </c>
      <c r="F21" s="22" t="n">
        <f aca="false">ABS(D21-E21)</f>
        <v>0</v>
      </c>
      <c r="H21" s="17" t="n">
        <f aca="false">30+1*$I$5</f>
        <v>30.5</v>
      </c>
      <c r="I21" s="17" t="n">
        <f aca="false">Ubar_c-Delta_c*H21</f>
        <v>7.03835061963259</v>
      </c>
      <c r="J21" s="11" t="n">
        <f aca="false">(-(Cost_k*Ubar_c+Delay_D)+I21/$I$5*J22)/(Rho_a+I21/$I$5)</f>
        <v>-409.451142737022</v>
      </c>
      <c r="K21" s="11" t="n">
        <f aca="false">MAX(J21,-Delay_D/Rho_a)</f>
        <v>-335.745877992226</v>
      </c>
      <c r="L21" s="11" t="n">
        <f aca="false">IF(H21&lt;Floor_F,MAX((-(Cost_k*Ubar_c+Delay_D)*(1-EXP(-Rho_a*LN((Top_c-H21)/(Top_c-Floor_F))/Delta_c))/Rho_a+EXP(-Rho_a*LN((Top_c-H21)/(Top_c-Floor_F))/Delta_c)*(-Cost_k*Delta_c*Floor_F/Rho_a)),(-Delay_D/Rho_a)),(EXP(-Rho_a*LN(H21/Floor_F)/Delta_c)*(-Cost_k*Delta_c*Floor_F/Rho_a)))</f>
        <v>-335.745877992226</v>
      </c>
      <c r="M21" s="22" t="n">
        <f aca="false">ABS(K21-L21)</f>
        <v>0</v>
      </c>
      <c r="O21" s="17" t="n">
        <f aca="false">30+1*$P$5</f>
        <v>30.25</v>
      </c>
      <c r="P21" s="17" t="n">
        <f aca="false">Ubar_c-Delta_c*O21</f>
        <v>7.06366842761688</v>
      </c>
      <c r="Q21" s="11" t="n">
        <f aca="false">(-(Cost_k*Ubar_c+Delay_D)+P21/$P$5*Q22)/(Rho_a+P21/$P$5)</f>
        <v>-411.249853918213</v>
      </c>
      <c r="R21" s="11" t="n">
        <f aca="false">MAX(Q21,-Delay_D/Rho_a)</f>
        <v>-335.745877992226</v>
      </c>
      <c r="S21" s="11" t="n">
        <f aca="false">IF(O21&lt;Floor_F,MAX((-(Cost_k*Ubar_c+Delay_D)*(1-EXP(-Rho_a*LN((Top_c-O21)/(Top_c-Floor_F))/Delta_c))/Rho_a+EXP(-Rho_a*LN((Top_c-O21)/(Top_c-Floor_F))/Delta_c)*(-Cost_k*Delta_c*Floor_F/Rho_a)),(-Delay_D/Rho_a)),(EXP(-Rho_a*LN(O21/Floor_F)/Delta_c)*(-Cost_k*Delta_c*Floor_F/Rho_a)))</f>
        <v>-335.745877992226</v>
      </c>
      <c r="T21" s="22" t="n">
        <f aca="false">ABS(R21-S21)</f>
        <v>0</v>
      </c>
      <c r="V21" s="17" t="n">
        <f aca="false">30+1*$W$5</f>
        <v>30.125</v>
      </c>
      <c r="W21" s="17" t="n">
        <f aca="false">Ubar_c-Delta_c*V21</f>
        <v>7.07632733160903</v>
      </c>
      <c r="X21" s="11" t="n">
        <f aca="false">(-(Cost_k*Ubar_c+Delay_D)+W21/$W$5*X22)/(Rho_a+W21/$W$5)</f>
        <v>-412.149264432233</v>
      </c>
      <c r="Y21" s="11" t="n">
        <f aca="false">MAX(X21,-Delay_D/Rho_a)</f>
        <v>-335.745877992226</v>
      </c>
      <c r="Z21" s="11" t="n">
        <f aca="false">IF(V21&lt;Floor_F,MAX((-(Cost_k*Ubar_c+Delay_D)*(1-EXP(-Rho_a*LN((Top_c-V21)/(Top_c-Floor_F))/Delta_c))/Rho_a+EXP(-Rho_a*LN((Top_c-V21)/(Top_c-Floor_F))/Delta_c)*(-Cost_k*Delta_c*Floor_F/Rho_a)),(-Delay_D/Rho_a)),(EXP(-Rho_a*LN(V21/Floor_F)/Delta_c)*(-Cost_k*Delta_c*Floor_F/Rho_a)))</f>
        <v>-335.745877992226</v>
      </c>
      <c r="AA21" s="22" t="n">
        <f aca="false">ABS(Y21-Z21)</f>
        <v>0</v>
      </c>
      <c r="AC21" s="17" t="n">
        <f aca="false">30+1*$AD$5</f>
        <v>30.0625</v>
      </c>
      <c r="AD21" s="17" t="n">
        <f aca="false">Ubar_c-Delta_c*AC21</f>
        <v>7.0826567836051</v>
      </c>
      <c r="AE21" s="11" t="n">
        <f aca="false">(-(Cost_k*Ubar_c+Delay_D)+AD21/$AD$5*AE22)/(Rho_a+AD21/$AD$5)</f>
        <v>-412.598983468092</v>
      </c>
      <c r="AF21" s="11" t="n">
        <f aca="false">MAX(AE21,-Delay_D/Rho_a)</f>
        <v>-335.745877992226</v>
      </c>
      <c r="AG21" s="11" t="n">
        <f aca="false">IF(AC21&lt;Floor_F,MAX((-(Cost_k*Ubar_c+Delay_D)*(1-EXP(-Rho_a*LN((Top_c-AC21)/(Top_c-Floor_F))/Delta_c))/Rho_a+EXP(-Rho_a*LN((Top_c-AC21)/(Top_c-Floor_F))/Delta_c)*(-Cost_k*Delta_c*Floor_F/Rho_a)),(-Delay_D/Rho_a)),(EXP(-Rho_a*LN(AC21/Floor_F)/Delta_c)*(-Cost_k*Delta_c*Floor_F/Rho_a)))</f>
        <v>-335.745877992226</v>
      </c>
      <c r="AH21" s="22" t="n">
        <f aca="false">ABS(AF21-AG21)</f>
        <v>0</v>
      </c>
    </row>
    <row r="22" customFormat="false" ht="15" hidden="false" customHeight="false" outlineLevel="0" collapsed="false">
      <c r="A22" s="17" t="n">
        <f aca="false">30+2*$B$5</f>
        <v>32</v>
      </c>
      <c r="B22" s="17" t="n">
        <f aca="false">Ubar_c-Delta_c*A22</f>
        <v>6.88644377172685</v>
      </c>
      <c r="C22" s="11" t="n">
        <f aca="false">(-(Cost_k*Ubar_c+Delay_D)+B22/$B$5*C23)/(Rho_a+B22/$B$5)</f>
        <v>-401.013309565324</v>
      </c>
      <c r="D22" s="11" t="n">
        <f aca="false">MAX(C22,-Delay_D/Rho_a)</f>
        <v>-335.745877992226</v>
      </c>
      <c r="E22" s="11" t="n">
        <f aca="false">IF(A22&lt;Floor_F,MAX((-(Cost_k*Ubar_c+Delay_D)*(1-EXP(-Rho_a*LN((Top_c-A22)/(Top_c-Floor_F))/Delta_c))/Rho_a+EXP(-Rho_a*LN((Top_c-A22)/(Top_c-Floor_F))/Delta_c)*(-Cost_k*Delta_c*Floor_F/Rho_a)),(-Delay_D/Rho_a)),(EXP(-Rho_a*LN(A22/Floor_F)/Delta_c)*(-Cost_k*Delta_c*Floor_F/Rho_a)))</f>
        <v>-335.745877992226</v>
      </c>
      <c r="F22" s="22" t="n">
        <f aca="false">ABS(D22-E22)</f>
        <v>0</v>
      </c>
      <c r="H22" s="17" t="n">
        <f aca="false">30+2*$I$5</f>
        <v>31</v>
      </c>
      <c r="I22" s="17" t="n">
        <f aca="false">Ubar_c-Delta_c*H22</f>
        <v>6.98771500366401</v>
      </c>
      <c r="J22" s="11" t="n">
        <f aca="false">(-(Cost_k*Ubar_c+Delay_D)+I22/$I$5*J23)/(Rho_a+I22/$I$5)</f>
        <v>-407.072486674754</v>
      </c>
      <c r="K22" s="11" t="n">
        <f aca="false">MAX(J22,-Delay_D/Rho_a)</f>
        <v>-335.745877992226</v>
      </c>
      <c r="L22" s="11" t="n">
        <f aca="false">IF(H22&lt;Floor_F,MAX((-(Cost_k*Ubar_c+Delay_D)*(1-EXP(-Rho_a*LN((Top_c-H22)/(Top_c-Floor_F))/Delta_c))/Rho_a+EXP(-Rho_a*LN((Top_c-H22)/(Top_c-Floor_F))/Delta_c)*(-Cost_k*Delta_c*Floor_F/Rho_a)),(-Delay_D/Rho_a)),(EXP(-Rho_a*LN(H22/Floor_F)/Delta_c)*(-Cost_k*Delta_c*Floor_F/Rho_a)))</f>
        <v>-335.745877992226</v>
      </c>
      <c r="M22" s="22" t="n">
        <f aca="false">ABS(K22-L22)</f>
        <v>0</v>
      </c>
      <c r="O22" s="17" t="n">
        <f aca="false">30+2*$P$5</f>
        <v>30.5</v>
      </c>
      <c r="P22" s="17" t="n">
        <f aca="false">Ubar_c-Delta_c*O22</f>
        <v>7.03835061963259</v>
      </c>
      <c r="Q22" s="11" t="n">
        <f aca="false">(-(Cost_k*Ubar_c+Delay_D)+P22/$P$5*Q23)/(Rho_a+P22/$P$5)</f>
        <v>-410.07085622053</v>
      </c>
      <c r="R22" s="11" t="n">
        <f aca="false">MAX(Q22,-Delay_D/Rho_a)</f>
        <v>-335.745877992226</v>
      </c>
      <c r="S22" s="11" t="n">
        <f aca="false">IF(O22&lt;Floor_F,MAX((-(Cost_k*Ubar_c+Delay_D)*(1-EXP(-Rho_a*LN((Top_c-O22)/(Top_c-Floor_F))/Delta_c))/Rho_a+EXP(-Rho_a*LN((Top_c-O22)/(Top_c-Floor_F))/Delta_c)*(-Cost_k*Delta_c*Floor_F/Rho_a)),(-Delay_D/Rho_a)),(EXP(-Rho_a*LN(O22/Floor_F)/Delta_c)*(-Cost_k*Delta_c*Floor_F/Rho_a)))</f>
        <v>-335.745877992226</v>
      </c>
      <c r="T22" s="22" t="n">
        <f aca="false">ABS(R22-S22)</f>
        <v>0</v>
      </c>
      <c r="V22" s="17" t="n">
        <f aca="false">30+2*$W$5</f>
        <v>30.25</v>
      </c>
      <c r="W22" s="17" t="n">
        <f aca="false">Ubar_c-Delta_c*V22</f>
        <v>7.06366842761688</v>
      </c>
      <c r="X22" s="11" t="n">
        <f aca="false">(-(Cost_k*Ubar_c+Delay_D)+W22/$W$5*X23)/(Rho_a+W22/$W$5)</f>
        <v>-411.562334399205</v>
      </c>
      <c r="Y22" s="11" t="n">
        <f aca="false">MAX(X22,-Delay_D/Rho_a)</f>
        <v>-335.745877992226</v>
      </c>
      <c r="Z22" s="11" t="n">
        <f aca="false">IF(V22&lt;Floor_F,MAX((-(Cost_k*Ubar_c+Delay_D)*(1-EXP(-Rho_a*LN((Top_c-V22)/(Top_c-Floor_F))/Delta_c))/Rho_a+EXP(-Rho_a*LN((Top_c-V22)/(Top_c-Floor_F))/Delta_c)*(-Cost_k*Delta_c*Floor_F/Rho_a)),(-Delay_D/Rho_a)),(EXP(-Rho_a*LN(V22/Floor_F)/Delta_c)*(-Cost_k*Delta_c*Floor_F/Rho_a)))</f>
        <v>-335.745877992226</v>
      </c>
      <c r="AA22" s="22" t="n">
        <f aca="false">ABS(Y22-Z22)</f>
        <v>0</v>
      </c>
      <c r="AC22" s="17" t="n">
        <f aca="false">30+2*$AD$5</f>
        <v>30.125</v>
      </c>
      <c r="AD22" s="17" t="n">
        <f aca="false">Ubar_c-Delta_c*AC22</f>
        <v>7.07632733160903</v>
      </c>
      <c r="AE22" s="11" t="n">
        <f aca="false">(-(Cost_k*Ubar_c+Delay_D)+AD22/$AD$5*AE23)/(Rho_a+AD22/$AD$5)</f>
        <v>-412.306158945394</v>
      </c>
      <c r="AF22" s="11" t="n">
        <f aca="false">MAX(AE22,-Delay_D/Rho_a)</f>
        <v>-335.745877992226</v>
      </c>
      <c r="AG22" s="11" t="n">
        <f aca="false">IF(AC22&lt;Floor_F,MAX((-(Cost_k*Ubar_c+Delay_D)*(1-EXP(-Rho_a*LN((Top_c-AC22)/(Top_c-Floor_F))/Delta_c))/Rho_a+EXP(-Rho_a*LN((Top_c-AC22)/(Top_c-Floor_F))/Delta_c)*(-Cost_k*Delta_c*Floor_F/Rho_a)),(-Delay_D/Rho_a)),(EXP(-Rho_a*LN(AC22/Floor_F)/Delta_c)*(-Cost_k*Delta_c*Floor_F/Rho_a)))</f>
        <v>-335.745877992226</v>
      </c>
      <c r="AH22" s="22" t="n">
        <f aca="false">ABS(AF22-AG22)</f>
        <v>0</v>
      </c>
    </row>
    <row r="23" customFormat="false" ht="15" hidden="false" customHeight="false" outlineLevel="0" collapsed="false">
      <c r="A23" s="17" t="n">
        <f aca="false">30+3*$B$5</f>
        <v>33</v>
      </c>
      <c r="B23" s="17" t="n">
        <f aca="false">Ubar_c-Delta_c*A23</f>
        <v>6.78517253978969</v>
      </c>
      <c r="C23" s="11" t="n">
        <f aca="false">(-(Cost_k*Ubar_c+Delay_D)+B23/$B$5*C24)/(Rho_a+B23/$B$5)</f>
        <v>-396.034274918001</v>
      </c>
      <c r="D23" s="11" t="n">
        <f aca="false">MAX(C23,-Delay_D/Rho_a)</f>
        <v>-335.745877992226</v>
      </c>
      <c r="E23" s="11" t="n">
        <f aca="false">IF(A23&lt;Floor_F,MAX((-(Cost_k*Ubar_c+Delay_D)*(1-EXP(-Rho_a*LN((Top_c-A23)/(Top_c-Floor_F))/Delta_c))/Rho_a+EXP(-Rho_a*LN((Top_c-A23)/(Top_c-Floor_F))/Delta_c)*(-Cost_k*Delta_c*Floor_F/Rho_a)),(-Delay_D/Rho_a)),(EXP(-Rho_a*LN(A23/Floor_F)/Delta_c)*(-Cost_k*Delta_c*Floor_F/Rho_a)))</f>
        <v>-335.745877992226</v>
      </c>
      <c r="F23" s="22" t="n">
        <f aca="false">ABS(D23-E23)</f>
        <v>0</v>
      </c>
      <c r="H23" s="17" t="n">
        <f aca="false">30+3*$I$5</f>
        <v>31.5</v>
      </c>
      <c r="I23" s="17" t="n">
        <f aca="false">Ubar_c-Delta_c*H23</f>
        <v>6.93707938769543</v>
      </c>
      <c r="J23" s="11" t="n">
        <f aca="false">(-(Cost_k*Ubar_c+Delay_D)+I23/$I$5*J24)/(Rho_a+I23/$I$5)</f>
        <v>-404.66037192345</v>
      </c>
      <c r="K23" s="11" t="n">
        <f aca="false">MAX(J23,-Delay_D/Rho_a)</f>
        <v>-335.745877992226</v>
      </c>
      <c r="L23" s="11" t="n">
        <f aca="false">IF(H23&lt;Floor_F,MAX((-(Cost_k*Ubar_c+Delay_D)*(1-EXP(-Rho_a*LN((Top_c-H23)/(Top_c-Floor_F))/Delta_c))/Rho_a+EXP(-Rho_a*LN((Top_c-H23)/(Top_c-Floor_F))/Delta_c)*(-Cost_k*Delta_c*Floor_F/Rho_a)),(-Delay_D/Rho_a)),(EXP(-Rho_a*LN(H23/Floor_F)/Delta_c)*(-Cost_k*Delta_c*Floor_F/Rho_a)))</f>
        <v>-335.745877992226</v>
      </c>
      <c r="M23" s="22" t="n">
        <f aca="false">ABS(K23-L23)</f>
        <v>0</v>
      </c>
      <c r="O23" s="17" t="n">
        <f aca="false">30+3*$P$5</f>
        <v>30.75</v>
      </c>
      <c r="P23" s="17" t="n">
        <f aca="false">Ubar_c-Delta_c*O23</f>
        <v>7.0130328116483</v>
      </c>
      <c r="Q23" s="11" t="n">
        <f aca="false">(-(Cost_k*Ubar_c+Delay_D)+P23/$P$5*Q24)/(Rho_a+P23/$P$5)</f>
        <v>-408.883626159742</v>
      </c>
      <c r="R23" s="11" t="n">
        <f aca="false">MAX(Q23,-Delay_D/Rho_a)</f>
        <v>-335.745877992226</v>
      </c>
      <c r="S23" s="11" t="n">
        <f aca="false">IF(O23&lt;Floor_F,MAX((-(Cost_k*Ubar_c+Delay_D)*(1-EXP(-Rho_a*LN((Top_c-O23)/(Top_c-Floor_F))/Delta_c))/Rho_a+EXP(-Rho_a*LN((Top_c-O23)/(Top_c-Floor_F))/Delta_c)*(-Cost_k*Delta_c*Floor_F/Rho_a)),(-Delay_D/Rho_a)),(EXP(-Rho_a*LN(O23/Floor_F)/Delta_c)*(-Cost_k*Delta_c*Floor_F/Rho_a)))</f>
        <v>-335.745877992226</v>
      </c>
      <c r="T23" s="22" t="n">
        <f aca="false">ABS(R23-S23)</f>
        <v>0</v>
      </c>
      <c r="V23" s="17" t="n">
        <f aca="false">30+3*$W$5</f>
        <v>30.375</v>
      </c>
      <c r="W23" s="17" t="n">
        <f aca="false">Ubar_c-Delta_c*V23</f>
        <v>7.05100952362474</v>
      </c>
      <c r="X23" s="11" t="n">
        <f aca="false">(-(Cost_k*Ubar_c+Delay_D)+W23/$W$5*X24)/(Rho_a+W23/$W$5)</f>
        <v>-410.973362588318</v>
      </c>
      <c r="Y23" s="11" t="n">
        <f aca="false">MAX(X23,-Delay_D/Rho_a)</f>
        <v>-335.745877992226</v>
      </c>
      <c r="Z23" s="11" t="n">
        <f aca="false">IF(V23&lt;Floor_F,MAX((-(Cost_k*Ubar_c+Delay_D)*(1-EXP(-Rho_a*LN((Top_c-V23)/(Top_c-Floor_F))/Delta_c))/Rho_a+EXP(-Rho_a*LN((Top_c-V23)/(Top_c-Floor_F))/Delta_c)*(-Cost_k*Delta_c*Floor_F/Rho_a)),(-Delay_D/Rho_a)),(EXP(-Rho_a*LN(V23/Floor_F)/Delta_c)*(-Cost_k*Delta_c*Floor_F/Rho_a)))</f>
        <v>-335.745877992226</v>
      </c>
      <c r="AA23" s="22" t="n">
        <f aca="false">ABS(Y23-Z23)</f>
        <v>0</v>
      </c>
      <c r="AC23" s="17" t="n">
        <f aca="false">30+3*$AD$5</f>
        <v>30.1875</v>
      </c>
      <c r="AD23" s="17" t="n">
        <f aca="false">Ubar_c-Delta_c*AC23</f>
        <v>7.06999787961296</v>
      </c>
      <c r="AE23" s="11" t="n">
        <f aca="false">(-(Cost_k*Ubar_c+Delay_D)+AD23/$AD$5*AE24)/(Rho_a+AD23/$AD$5)</f>
        <v>-412.012826003433</v>
      </c>
      <c r="AF23" s="11" t="n">
        <f aca="false">MAX(AE23,-Delay_D/Rho_a)</f>
        <v>-335.745877992226</v>
      </c>
      <c r="AG23" s="11" t="n">
        <f aca="false">IF(AC23&lt;Floor_F,MAX((-(Cost_k*Ubar_c+Delay_D)*(1-EXP(-Rho_a*LN((Top_c-AC23)/(Top_c-Floor_F))/Delta_c))/Rho_a+EXP(-Rho_a*LN((Top_c-AC23)/(Top_c-Floor_F))/Delta_c)*(-Cost_k*Delta_c*Floor_F/Rho_a)),(-Delay_D/Rho_a)),(EXP(-Rho_a*LN(AC23/Floor_F)/Delta_c)*(-Cost_k*Delta_c*Floor_F/Rho_a)))</f>
        <v>-335.745877992226</v>
      </c>
      <c r="AH23" s="22" t="n">
        <f aca="false">ABS(AF23-AG23)</f>
        <v>0</v>
      </c>
    </row>
    <row r="24" customFormat="false" ht="15" hidden="false" customHeight="false" outlineLevel="0" collapsed="false">
      <c r="A24" s="17" t="n">
        <f aca="false">30+4*$B$5</f>
        <v>34</v>
      </c>
      <c r="B24" s="17" t="n">
        <f aca="false">Ubar_c-Delta_c*A24</f>
        <v>6.68390130785253</v>
      </c>
      <c r="C24" s="11" t="n">
        <f aca="false">(-(Cost_k*Ubar_c+Delay_D)+B24/$B$5*C25)/(Rho_a+B24/$B$5)</f>
        <v>-390.910986656737</v>
      </c>
      <c r="D24" s="11" t="n">
        <f aca="false">MAX(C24,-Delay_D/Rho_a)</f>
        <v>-335.745877992226</v>
      </c>
      <c r="E24" s="11" t="n">
        <f aca="false">IF(A24&lt;Floor_F,MAX((-(Cost_k*Ubar_c+Delay_D)*(1-EXP(-Rho_a*LN((Top_c-A24)/(Top_c-Floor_F))/Delta_c))/Rho_a+EXP(-Rho_a*LN((Top_c-A24)/(Top_c-Floor_F))/Delta_c)*(-Cost_k*Delta_c*Floor_F/Rho_a)),(-Delay_D/Rho_a)),(EXP(-Rho_a*LN(A24/Floor_F)/Delta_c)*(-Cost_k*Delta_c*Floor_F/Rho_a)))</f>
        <v>-335.745877992226</v>
      </c>
      <c r="F24" s="22" t="n">
        <f aca="false">ABS(D24-E24)</f>
        <v>0</v>
      </c>
      <c r="H24" s="17" t="n">
        <f aca="false">30+4*$I$5</f>
        <v>32</v>
      </c>
      <c r="I24" s="17" t="n">
        <f aca="false">Ubar_c-Delta_c*H24</f>
        <v>6.88644377172685</v>
      </c>
      <c r="J24" s="11" t="n">
        <f aca="false">(-(Cost_k*Ubar_c+Delay_D)+I24/$I$5*J25)/(Rho_a+I24/$I$5)</f>
        <v>-402.21408018666</v>
      </c>
      <c r="K24" s="11" t="n">
        <f aca="false">MAX(J24,-Delay_D/Rho_a)</f>
        <v>-335.745877992226</v>
      </c>
      <c r="L24" s="11" t="n">
        <f aca="false">IF(H24&lt;Floor_F,MAX((-(Cost_k*Ubar_c+Delay_D)*(1-EXP(-Rho_a*LN((Top_c-H24)/(Top_c-Floor_F))/Delta_c))/Rho_a+EXP(-Rho_a*LN((Top_c-H24)/(Top_c-Floor_F))/Delta_c)*(-Cost_k*Delta_c*Floor_F/Rho_a)),(-Delay_D/Rho_a)),(EXP(-Rho_a*LN(H24/Floor_F)/Delta_c)*(-Cost_k*Delta_c*Floor_F/Rho_a)))</f>
        <v>-335.745877992226</v>
      </c>
      <c r="M24" s="22" t="n">
        <f aca="false">ABS(K24-L24)</f>
        <v>0</v>
      </c>
      <c r="O24" s="17" t="n">
        <f aca="false">30+4*$P$5</f>
        <v>31</v>
      </c>
      <c r="P24" s="17" t="n">
        <f aca="false">Ubar_c-Delta_c*O24</f>
        <v>6.98771500366401</v>
      </c>
      <c r="Q24" s="11" t="n">
        <f aca="false">(-(Cost_k*Ubar_c+Delay_D)+P24/$P$5*Q25)/(Rho_a+P24/$P$5)</f>
        <v>-407.688076326051</v>
      </c>
      <c r="R24" s="11" t="n">
        <f aca="false">MAX(Q24,-Delay_D/Rho_a)</f>
        <v>-335.745877992226</v>
      </c>
      <c r="S24" s="11" t="n">
        <f aca="false">IF(O24&lt;Floor_F,MAX((-(Cost_k*Ubar_c+Delay_D)*(1-EXP(-Rho_a*LN((Top_c-O24)/(Top_c-Floor_F))/Delta_c))/Rho_a+EXP(-Rho_a*LN((Top_c-O24)/(Top_c-Floor_F))/Delta_c)*(-Cost_k*Delta_c*Floor_F/Rho_a)),(-Delay_D/Rho_a)),(EXP(-Rho_a*LN(O24/Floor_F)/Delta_c)*(-Cost_k*Delta_c*Floor_F/Rho_a)))</f>
        <v>-335.745877992226</v>
      </c>
      <c r="T24" s="22" t="n">
        <f aca="false">ABS(R24-S24)</f>
        <v>0</v>
      </c>
      <c r="V24" s="17" t="n">
        <f aca="false">30+4*$W$5</f>
        <v>30.5</v>
      </c>
      <c r="W24" s="17" t="n">
        <f aca="false">Ubar_c-Delta_c*V24</f>
        <v>7.03835061963259</v>
      </c>
      <c r="X24" s="11" t="n">
        <f aca="false">(-(Cost_k*Ubar_c+Delay_D)+W24/$W$5*X25)/(Rho_a+W24/$W$5)</f>
        <v>-410.382338218331</v>
      </c>
      <c r="Y24" s="11" t="n">
        <f aca="false">MAX(X24,-Delay_D/Rho_a)</f>
        <v>-335.745877992226</v>
      </c>
      <c r="Z24" s="11" t="n">
        <f aca="false">IF(V24&lt;Floor_F,MAX((-(Cost_k*Ubar_c+Delay_D)*(1-EXP(-Rho_a*LN((Top_c-V24)/(Top_c-Floor_F))/Delta_c))/Rho_a+EXP(-Rho_a*LN((Top_c-V24)/(Top_c-Floor_F))/Delta_c)*(-Cost_k*Delta_c*Floor_F/Rho_a)),(-Delay_D/Rho_a)),(EXP(-Rho_a*LN(V24/Floor_F)/Delta_c)*(-Cost_k*Delta_c*Floor_F/Rho_a)))</f>
        <v>-335.745877992226</v>
      </c>
      <c r="AA24" s="22" t="n">
        <f aca="false">ABS(Y24-Z24)</f>
        <v>0</v>
      </c>
      <c r="AC24" s="17" t="n">
        <f aca="false">30+4*$AD$5</f>
        <v>30.25</v>
      </c>
      <c r="AD24" s="17" t="n">
        <f aca="false">Ubar_c-Delta_c*AC24</f>
        <v>7.06366842761688</v>
      </c>
      <c r="AE24" s="11" t="n">
        <f aca="false">(-(Cost_k*Ubar_c+Delay_D)+AD24/$AD$5*AE25)/(Rho_a+AD24/$AD$5)</f>
        <v>-411.718983303506</v>
      </c>
      <c r="AF24" s="11" t="n">
        <f aca="false">MAX(AE24,-Delay_D/Rho_a)</f>
        <v>-335.745877992226</v>
      </c>
      <c r="AG24" s="11" t="n">
        <f aca="false">IF(AC24&lt;Floor_F,MAX((-(Cost_k*Ubar_c+Delay_D)*(1-EXP(-Rho_a*LN((Top_c-AC24)/(Top_c-Floor_F))/Delta_c))/Rho_a+EXP(-Rho_a*LN((Top_c-AC24)/(Top_c-Floor_F))/Delta_c)*(-Cost_k*Delta_c*Floor_F/Rho_a)),(-Delay_D/Rho_a)),(EXP(-Rho_a*LN(AC24/Floor_F)/Delta_c)*(-Cost_k*Delta_c*Floor_F/Rho_a)))</f>
        <v>-335.745877992226</v>
      </c>
      <c r="AH24" s="22" t="n">
        <f aca="false">ABS(AF24-AG24)</f>
        <v>0</v>
      </c>
    </row>
    <row r="25" customFormat="false" ht="15" hidden="false" customHeight="false" outlineLevel="0" collapsed="false">
      <c r="A25" s="17" t="n">
        <f aca="false">30+5*$B$5</f>
        <v>35</v>
      </c>
      <c r="B25" s="17" t="n">
        <f aca="false">Ubar_c-Delta_c*A25</f>
        <v>6.58263007591537</v>
      </c>
      <c r="C25" s="11" t="n">
        <f aca="false">(-(Cost_k*Ubar_c+Delay_D)+B25/$B$5*C26)/(Rho_a+B25/$B$5)</f>
        <v>-385.637016451984</v>
      </c>
      <c r="D25" s="11" t="n">
        <f aca="false">MAX(C25,-Delay_D/Rho_a)</f>
        <v>-335.745877992226</v>
      </c>
      <c r="E25" s="11" t="n">
        <f aca="false">IF(A25&lt;Floor_F,MAX((-(Cost_k*Ubar_c+Delay_D)*(1-EXP(-Rho_a*LN((Top_c-A25)/(Top_c-Floor_F))/Delta_c))/Rho_a+EXP(-Rho_a*LN((Top_c-A25)/(Top_c-Floor_F))/Delta_c)*(-Cost_k*Delta_c*Floor_F/Rho_a)),(-Delay_D/Rho_a)),(EXP(-Rho_a*LN(A25/Floor_F)/Delta_c)*(-Cost_k*Delta_c*Floor_F/Rho_a)))</f>
        <v>-335.745877992226</v>
      </c>
      <c r="F25" s="22" t="n">
        <f aca="false">ABS(D25-E25)</f>
        <v>0</v>
      </c>
      <c r="H25" s="17" t="n">
        <f aca="false">30+5*$I$5</f>
        <v>32.5</v>
      </c>
      <c r="I25" s="17" t="n">
        <f aca="false">Ubar_c-Delta_c*H25</f>
        <v>6.83580815575827</v>
      </c>
      <c r="J25" s="11" t="n">
        <f aca="false">(-(Cost_k*Ubar_c+Delay_D)+I25/$I$5*J26)/(Rho_a+I25/$I$5)</f>
        <v>-399.732872352455</v>
      </c>
      <c r="K25" s="11" t="n">
        <f aca="false">MAX(J25,-Delay_D/Rho_a)</f>
        <v>-335.745877992226</v>
      </c>
      <c r="L25" s="11" t="n">
        <f aca="false">IF(H25&lt;Floor_F,MAX((-(Cost_k*Ubar_c+Delay_D)*(1-EXP(-Rho_a*LN((Top_c-H25)/(Top_c-Floor_F))/Delta_c))/Rho_a+EXP(-Rho_a*LN((Top_c-H25)/(Top_c-Floor_F))/Delta_c)*(-Cost_k*Delta_c*Floor_F/Rho_a)),(-Delay_D/Rho_a)),(EXP(-Rho_a*LN(H25/Floor_F)/Delta_c)*(-Cost_k*Delta_c*Floor_F/Rho_a)))</f>
        <v>-335.745877992226</v>
      </c>
      <c r="M25" s="22" t="n">
        <f aca="false">ABS(K25-L25)</f>
        <v>0</v>
      </c>
      <c r="O25" s="17" t="n">
        <f aca="false">30+5*$P$5</f>
        <v>31.25</v>
      </c>
      <c r="P25" s="17" t="n">
        <f aca="false">Ubar_c-Delta_c*O25</f>
        <v>6.96239719567972</v>
      </c>
      <c r="Q25" s="11" t="n">
        <f aca="false">(-(Cost_k*Ubar_c+Delay_D)+P25/$P$5*Q26)/(Rho_a+P25/$P$5)</f>
        <v>-406.484118061493</v>
      </c>
      <c r="R25" s="11" t="n">
        <f aca="false">MAX(Q25,-Delay_D/Rho_a)</f>
        <v>-335.745877992226</v>
      </c>
      <c r="S25" s="11" t="n">
        <f aca="false">IF(O25&lt;Floor_F,MAX((-(Cost_k*Ubar_c+Delay_D)*(1-EXP(-Rho_a*LN((Top_c-O25)/(Top_c-Floor_F))/Delta_c))/Rho_a+EXP(-Rho_a*LN((Top_c-O25)/(Top_c-Floor_F))/Delta_c)*(-Cost_k*Delta_c*Floor_F/Rho_a)),(-Delay_D/Rho_a)),(EXP(-Rho_a*LN(O25/Floor_F)/Delta_c)*(-Cost_k*Delta_c*Floor_F/Rho_a)))</f>
        <v>-335.745877992226</v>
      </c>
      <c r="T25" s="22" t="n">
        <f aca="false">ABS(R25-S25)</f>
        <v>0</v>
      </c>
      <c r="V25" s="17" t="n">
        <f aca="false">30+5*$W$5</f>
        <v>30.625</v>
      </c>
      <c r="W25" s="17" t="n">
        <f aca="false">Ubar_c-Delta_c*V25</f>
        <v>7.02569171564045</v>
      </c>
      <c r="X25" s="11" t="n">
        <f aca="false">(-(Cost_k*Ubar_c+Delay_D)+W25/$W$5*X26)/(Rho_a+W25/$W$5)</f>
        <v>-409.789250431584</v>
      </c>
      <c r="Y25" s="11" t="n">
        <f aca="false">MAX(X25,-Delay_D/Rho_a)</f>
        <v>-335.745877992226</v>
      </c>
      <c r="Z25" s="11" t="n">
        <f aca="false">IF(V25&lt;Floor_F,MAX((-(Cost_k*Ubar_c+Delay_D)*(1-EXP(-Rho_a*LN((Top_c-V25)/(Top_c-Floor_F))/Delta_c))/Rho_a+EXP(-Rho_a*LN((Top_c-V25)/(Top_c-Floor_F))/Delta_c)*(-Cost_k*Delta_c*Floor_F/Rho_a)),(-Delay_D/Rho_a)),(EXP(-Rho_a*LN(V25/Floor_F)/Delta_c)*(-Cost_k*Delta_c*Floor_F/Rho_a)))</f>
        <v>-335.745877992226</v>
      </c>
      <c r="AA25" s="22" t="n">
        <f aca="false">ABS(Y25-Z25)</f>
        <v>0</v>
      </c>
      <c r="AC25" s="17" t="n">
        <f aca="false">30+5*$AD$5</f>
        <v>30.3125</v>
      </c>
      <c r="AD25" s="17" t="n">
        <f aca="false">Ubar_c-Delta_c*AC25</f>
        <v>7.05733897562081</v>
      </c>
      <c r="AE25" s="11" t="n">
        <f aca="false">(-(Cost_k*Ubar_c+Delay_D)+AD25/$AD$5*AE26)/(Rho_a+AD25/$AD$5)</f>
        <v>-411.424629502183</v>
      </c>
      <c r="AF25" s="11" t="n">
        <f aca="false">MAX(AE25,-Delay_D/Rho_a)</f>
        <v>-335.745877992226</v>
      </c>
      <c r="AG25" s="11" t="n">
        <f aca="false">IF(AC25&lt;Floor_F,MAX((-(Cost_k*Ubar_c+Delay_D)*(1-EXP(-Rho_a*LN((Top_c-AC25)/(Top_c-Floor_F))/Delta_c))/Rho_a+EXP(-Rho_a*LN((Top_c-AC25)/(Top_c-Floor_F))/Delta_c)*(-Cost_k*Delta_c*Floor_F/Rho_a)),(-Delay_D/Rho_a)),(EXP(-Rho_a*LN(AC25/Floor_F)/Delta_c)*(-Cost_k*Delta_c*Floor_F/Rho_a)))</f>
        <v>-335.745877992226</v>
      </c>
      <c r="AH25" s="22" t="n">
        <f aca="false">ABS(AF25-AG25)</f>
        <v>0</v>
      </c>
    </row>
    <row r="26" customFormat="false" ht="15" hidden="false" customHeight="false" outlineLevel="0" collapsed="false">
      <c r="A26" s="17" t="n">
        <f aca="false">30+6*$B$5</f>
        <v>36</v>
      </c>
      <c r="B26" s="17" t="n">
        <f aca="false">Ubar_c-Delta_c*A26</f>
        <v>6.48135884397822</v>
      </c>
      <c r="C26" s="11" t="n">
        <f aca="false">(-(Cost_k*Ubar_c+Delay_D)+B26/$B$5*C27)/(Rho_a+B26/$B$5)</f>
        <v>-380.205546206005</v>
      </c>
      <c r="D26" s="11" t="n">
        <f aca="false">MAX(C26,-Delay_D/Rho_a)</f>
        <v>-335.745877992226</v>
      </c>
      <c r="E26" s="11" t="n">
        <f aca="false">IF(A26&lt;Floor_F,MAX((-(Cost_k*Ubar_c+Delay_D)*(1-EXP(-Rho_a*LN((Top_c-A26)/(Top_c-Floor_F))/Delta_c))/Rho_a+EXP(-Rho_a*LN((Top_c-A26)/(Top_c-Floor_F))/Delta_c)*(-Cost_k*Delta_c*Floor_F/Rho_a)),(-Delay_D/Rho_a)),(EXP(-Rho_a*LN(A26/Floor_F)/Delta_c)*(-Cost_k*Delta_c*Floor_F/Rho_a)))</f>
        <v>-335.745877992226</v>
      </c>
      <c r="F26" s="22" t="n">
        <f aca="false">ABS(D26-E26)</f>
        <v>0</v>
      </c>
      <c r="H26" s="17" t="n">
        <f aca="false">30+6*$I$5</f>
        <v>33</v>
      </c>
      <c r="I26" s="17" t="n">
        <f aca="false">Ubar_c-Delta_c*H26</f>
        <v>6.78517253978969</v>
      </c>
      <c r="J26" s="11" t="n">
        <f aca="false">(-(Cost_k*Ubar_c+Delay_D)+I26/$I$5*J27)/(Rho_a+I26/$I$5)</f>
        <v>-397.215987731558</v>
      </c>
      <c r="K26" s="11" t="n">
        <f aca="false">MAX(J26,-Delay_D/Rho_a)</f>
        <v>-335.745877992226</v>
      </c>
      <c r="L26" s="11" t="n">
        <f aca="false">IF(H26&lt;Floor_F,MAX((-(Cost_k*Ubar_c+Delay_D)*(1-EXP(-Rho_a*LN((Top_c-H26)/(Top_c-Floor_F))/Delta_c))/Rho_a+EXP(-Rho_a*LN((Top_c-H26)/(Top_c-Floor_F))/Delta_c)*(-Cost_k*Delta_c*Floor_F/Rho_a)),(-Delay_D/Rho_a)),(EXP(-Rho_a*LN(H26/Floor_F)/Delta_c)*(-Cost_k*Delta_c*Floor_F/Rho_a)))</f>
        <v>-335.745877992226</v>
      </c>
      <c r="M26" s="22" t="n">
        <f aca="false">ABS(K26-L26)</f>
        <v>0</v>
      </c>
      <c r="O26" s="17" t="n">
        <f aca="false">30+6*$P$5</f>
        <v>31.5</v>
      </c>
      <c r="P26" s="17" t="n">
        <f aca="false">Ubar_c-Delta_c*O26</f>
        <v>6.93707938769543</v>
      </c>
      <c r="Q26" s="11" t="n">
        <f aca="false">(-(Cost_k*Ubar_c+Delay_D)+P26/$P$5*Q27)/(Rho_a+P26/$P$5)</f>
        <v>-405.27166143751</v>
      </c>
      <c r="R26" s="11" t="n">
        <f aca="false">MAX(Q26,-Delay_D/Rho_a)</f>
        <v>-335.745877992226</v>
      </c>
      <c r="S26" s="11" t="n">
        <f aca="false">IF(O26&lt;Floor_F,MAX((-(Cost_k*Ubar_c+Delay_D)*(1-EXP(-Rho_a*LN((Top_c-O26)/(Top_c-Floor_F))/Delta_c))/Rho_a+EXP(-Rho_a*LN((Top_c-O26)/(Top_c-Floor_F))/Delta_c)*(-Cost_k*Delta_c*Floor_F/Rho_a)),(-Delay_D/Rho_a)),(EXP(-Rho_a*LN(O26/Floor_F)/Delta_c)*(-Cost_k*Delta_c*Floor_F/Rho_a)))</f>
        <v>-335.745877992226</v>
      </c>
      <c r="T26" s="22" t="n">
        <f aca="false">ABS(R26-S26)</f>
        <v>0</v>
      </c>
      <c r="V26" s="17" t="n">
        <f aca="false">30+6*$W$5</f>
        <v>30.75</v>
      </c>
      <c r="W26" s="17" t="n">
        <f aca="false">Ubar_c-Delta_c*V26</f>
        <v>7.0130328116483</v>
      </c>
      <c r="X26" s="11" t="n">
        <f aca="false">(-(Cost_k*Ubar_c+Delay_D)+W26/$W$5*X27)/(Rho_a+W26/$W$5)</f>
        <v>-409.194088293316</v>
      </c>
      <c r="Y26" s="11" t="n">
        <f aca="false">MAX(X26,-Delay_D/Rho_a)</f>
        <v>-335.745877992226</v>
      </c>
      <c r="Z26" s="11" t="n">
        <f aca="false">IF(V26&lt;Floor_F,MAX((-(Cost_k*Ubar_c+Delay_D)*(1-EXP(-Rho_a*LN((Top_c-V26)/(Top_c-Floor_F))/Delta_c))/Rho_a+EXP(-Rho_a*LN((Top_c-V26)/(Top_c-Floor_F))/Delta_c)*(-Cost_k*Delta_c*Floor_F/Rho_a)),(-Delay_D/Rho_a)),(EXP(-Rho_a*LN(V26/Floor_F)/Delta_c)*(-Cost_k*Delta_c*Floor_F/Rho_a)))</f>
        <v>-335.745877992226</v>
      </c>
      <c r="AA26" s="22" t="n">
        <f aca="false">ABS(Y26-Z26)</f>
        <v>0</v>
      </c>
      <c r="AC26" s="17" t="n">
        <f aca="false">30+6*$AD$5</f>
        <v>30.375</v>
      </c>
      <c r="AD26" s="17" t="n">
        <f aca="false">Ubar_c-Delta_c*AC26</f>
        <v>7.05100952362474</v>
      </c>
      <c r="AE26" s="11" t="n">
        <f aca="false">(-(Cost_k*Ubar_c+Delay_D)+AD26/$AD$5*AE27)/(Rho_a+AD26/$AD$5)</f>
        <v>-411.129763251283</v>
      </c>
      <c r="AF26" s="11" t="n">
        <f aca="false">MAX(AE26,-Delay_D/Rho_a)</f>
        <v>-335.745877992226</v>
      </c>
      <c r="AG26" s="11" t="n">
        <f aca="false">IF(AC26&lt;Floor_F,MAX((-(Cost_k*Ubar_c+Delay_D)*(1-EXP(-Rho_a*LN((Top_c-AC26)/(Top_c-Floor_F))/Delta_c))/Rho_a+EXP(-Rho_a*LN((Top_c-AC26)/(Top_c-Floor_F))/Delta_c)*(-Cost_k*Delta_c*Floor_F/Rho_a)),(-Delay_D/Rho_a)),(EXP(-Rho_a*LN(AC26/Floor_F)/Delta_c)*(-Cost_k*Delta_c*Floor_F/Rho_a)))</f>
        <v>-335.745877992226</v>
      </c>
      <c r="AH26" s="22" t="n">
        <f aca="false">ABS(AF26-AG26)</f>
        <v>0</v>
      </c>
    </row>
    <row r="27" customFormat="false" ht="15" hidden="false" customHeight="false" outlineLevel="0" collapsed="false">
      <c r="A27" s="17" t="n">
        <f aca="false">30+7*$B$5</f>
        <v>37</v>
      </c>
      <c r="B27" s="17" t="n">
        <f aca="false">Ubar_c-Delta_c*A27</f>
        <v>6.38008761204106</v>
      </c>
      <c r="C27" s="11" t="n">
        <f aca="false">(-(Cost_k*Ubar_c+Delay_D)+B27/$B$5*C28)/(Rho_a+B27/$B$5)</f>
        <v>-374.609337960713</v>
      </c>
      <c r="D27" s="11" t="n">
        <f aca="false">MAX(C27,-Delay_D/Rho_a)</f>
        <v>-335.745877992226</v>
      </c>
      <c r="E27" s="11" t="n">
        <f aca="false">IF(A27&lt;Floor_F,MAX((-(Cost_k*Ubar_c+Delay_D)*(1-EXP(-Rho_a*LN((Top_c-A27)/(Top_c-Floor_F))/Delta_c))/Rho_a+EXP(-Rho_a*LN((Top_c-A27)/(Top_c-Floor_F))/Delta_c)*(-Cost_k*Delta_c*Floor_F/Rho_a)),(-Delay_D/Rho_a)),(EXP(-Rho_a*LN(A27/Floor_F)/Delta_c)*(-Cost_k*Delta_c*Floor_F/Rho_a)))</f>
        <v>-335.745877992226</v>
      </c>
      <c r="F27" s="22" t="n">
        <f aca="false">ABS(D27-E27)</f>
        <v>0</v>
      </c>
      <c r="H27" s="17" t="n">
        <f aca="false">30+7*$I$5</f>
        <v>33.5</v>
      </c>
      <c r="I27" s="17" t="n">
        <f aca="false">Ubar_c-Delta_c*H27</f>
        <v>6.73453692382111</v>
      </c>
      <c r="J27" s="11" t="n">
        <f aca="false">(-(Cost_k*Ubar_c+Delay_D)+I27/$I$5*J28)/(Rho_a+I27/$I$5)</f>
        <v>-394.6626432617</v>
      </c>
      <c r="K27" s="11" t="n">
        <f aca="false">MAX(J27,-Delay_D/Rho_a)</f>
        <v>-335.745877992226</v>
      </c>
      <c r="L27" s="11" t="n">
        <f aca="false">IF(H27&lt;Floor_F,MAX((-(Cost_k*Ubar_c+Delay_D)*(1-EXP(-Rho_a*LN((Top_c-H27)/(Top_c-Floor_F))/Delta_c))/Rho_a+EXP(-Rho_a*LN((Top_c-H27)/(Top_c-Floor_F))/Delta_c)*(-Cost_k*Delta_c*Floor_F/Rho_a)),(-Delay_D/Rho_a)),(EXP(-Rho_a*LN(H27/Floor_F)/Delta_c)*(-Cost_k*Delta_c*Floor_F/Rho_a)))</f>
        <v>-335.745877992226</v>
      </c>
      <c r="M27" s="22" t="n">
        <f aca="false">ABS(K27-L27)</f>
        <v>0</v>
      </c>
      <c r="O27" s="17" t="n">
        <f aca="false">30+7*$P$5</f>
        <v>31.75</v>
      </c>
      <c r="P27" s="17" t="n">
        <f aca="false">Ubar_c-Delta_c*O27</f>
        <v>6.91176157971114</v>
      </c>
      <c r="Q27" s="11" t="n">
        <f aca="false">(-(Cost_k*Ubar_c+Delay_D)+P27/$P$5*Q28)/(Rho_a+P27/$P$5)</f>
        <v>-404.050615232037</v>
      </c>
      <c r="R27" s="11" t="n">
        <f aca="false">MAX(Q27,-Delay_D/Rho_a)</f>
        <v>-335.745877992226</v>
      </c>
      <c r="S27" s="11" t="n">
        <f aca="false">IF(O27&lt;Floor_F,MAX((-(Cost_k*Ubar_c+Delay_D)*(1-EXP(-Rho_a*LN((Top_c-O27)/(Top_c-Floor_F))/Delta_c))/Rho_a+EXP(-Rho_a*LN((Top_c-O27)/(Top_c-Floor_F))/Delta_c)*(-Cost_k*Delta_c*Floor_F/Rho_a)),(-Delay_D/Rho_a)),(EXP(-Rho_a*LN(O27/Floor_F)/Delta_c)*(-Cost_k*Delta_c*Floor_F/Rho_a)))</f>
        <v>-335.745877992226</v>
      </c>
      <c r="T27" s="22" t="n">
        <f aca="false">ABS(R27-S27)</f>
        <v>0</v>
      </c>
      <c r="V27" s="17" t="n">
        <f aca="false">30+7*$W$5</f>
        <v>30.875</v>
      </c>
      <c r="W27" s="17" t="n">
        <f aca="false">Ubar_c-Delta_c*V27</f>
        <v>7.00037390765616</v>
      </c>
      <c r="X27" s="11" t="n">
        <f aca="false">(-(Cost_k*Ubar_c+Delay_D)+W27/$W$5*X28)/(Rho_a+W27/$W$5)</f>
        <v>-408.596840790974</v>
      </c>
      <c r="Y27" s="11" t="n">
        <f aca="false">MAX(X27,-Delay_D/Rho_a)</f>
        <v>-335.745877992226</v>
      </c>
      <c r="Z27" s="11" t="n">
        <f aca="false">IF(V27&lt;Floor_F,MAX((-(Cost_k*Ubar_c+Delay_D)*(1-EXP(-Rho_a*LN((Top_c-V27)/(Top_c-Floor_F))/Delta_c))/Rho_a+EXP(-Rho_a*LN((Top_c-V27)/(Top_c-Floor_F))/Delta_c)*(-Cost_k*Delta_c*Floor_F/Rho_a)),(-Delay_D/Rho_a)),(EXP(-Rho_a*LN(V27/Floor_F)/Delta_c)*(-Cost_k*Delta_c*Floor_F/Rho_a)))</f>
        <v>-335.745877992226</v>
      </c>
      <c r="AA27" s="22" t="n">
        <f aca="false">ABS(Y27-Z27)</f>
        <v>0</v>
      </c>
      <c r="AC27" s="17" t="n">
        <f aca="false">30+7*$AD$5</f>
        <v>30.4375</v>
      </c>
      <c r="AD27" s="17" t="n">
        <f aca="false">Ubar_c-Delta_c*AC27</f>
        <v>7.04468007162867</v>
      </c>
      <c r="AE27" s="11" t="n">
        <f aca="false">(-(Cost_k*Ubar_c+Delay_D)+AD27/$AD$5*AE28)/(Rho_a+AD27/$AD$5)</f>
        <v>-410.834383197859</v>
      </c>
      <c r="AF27" s="11" t="n">
        <f aca="false">MAX(AE27,-Delay_D/Rho_a)</f>
        <v>-335.745877992226</v>
      </c>
      <c r="AG27" s="11" t="n">
        <f aca="false">IF(AC27&lt;Floor_F,MAX((-(Cost_k*Ubar_c+Delay_D)*(1-EXP(-Rho_a*LN((Top_c-AC27)/(Top_c-Floor_F))/Delta_c))/Rho_a+EXP(-Rho_a*LN((Top_c-AC27)/(Top_c-Floor_F))/Delta_c)*(-Cost_k*Delta_c*Floor_F/Rho_a)),(-Delay_D/Rho_a)),(EXP(-Rho_a*LN(AC27/Floor_F)/Delta_c)*(-Cost_k*Delta_c*Floor_F/Rho_a)))</f>
        <v>-335.745877992226</v>
      </c>
      <c r="AH27" s="22" t="n">
        <f aca="false">ABS(AF27-AG27)</f>
        <v>0</v>
      </c>
    </row>
    <row r="28" customFormat="false" ht="15" hidden="false" customHeight="false" outlineLevel="0" collapsed="false">
      <c r="A28" s="17" t="n">
        <f aca="false">30+8*$B$5</f>
        <v>38</v>
      </c>
      <c r="B28" s="17" t="n">
        <f aca="false">Ubar_c-Delta_c*A28</f>
        <v>6.2788163801039</v>
      </c>
      <c r="C28" s="11" t="n">
        <f aca="false">(-(Cost_k*Ubar_c+Delay_D)+B28/$B$5*C29)/(Rho_a+B28/$B$5)</f>
        <v>-368.840700967705</v>
      </c>
      <c r="D28" s="11" t="n">
        <f aca="false">MAX(C28,-Delay_D/Rho_a)</f>
        <v>-335.745877992226</v>
      </c>
      <c r="E28" s="11" t="n">
        <f aca="false">IF(A28&lt;Floor_F,MAX((-(Cost_k*Ubar_c+Delay_D)*(1-EXP(-Rho_a*LN((Top_c-A28)/(Top_c-Floor_F))/Delta_c))/Rho_a+EXP(-Rho_a*LN((Top_c-A28)/(Top_c-Floor_F))/Delta_c)*(-Cost_k*Delta_c*Floor_F/Rho_a)),(-Delay_D/Rho_a)),(EXP(-Rho_a*LN(A28/Floor_F)/Delta_c)*(-Cost_k*Delta_c*Floor_F/Rho_a)))</f>
        <v>-335.745877992226</v>
      </c>
      <c r="F28" s="22" t="n">
        <f aca="false">ABS(D28-E28)</f>
        <v>0</v>
      </c>
      <c r="H28" s="17" t="n">
        <f aca="false">30+8*$I$5</f>
        <v>34</v>
      </c>
      <c r="I28" s="17" t="n">
        <f aca="false">Ubar_c-Delta_c*H28</f>
        <v>6.68390130785253</v>
      </c>
      <c r="J28" s="11" t="n">
        <f aca="false">(-(Cost_k*Ubar_c+Delay_D)+I28/$I$5*J29)/(Rho_a+I28/$I$5)</f>
        <v>-392.072032676426</v>
      </c>
      <c r="K28" s="11" t="n">
        <f aca="false">MAX(J28,-Delay_D/Rho_a)</f>
        <v>-335.745877992226</v>
      </c>
      <c r="L28" s="11" t="n">
        <f aca="false">IF(H28&lt;Floor_F,MAX((-(Cost_k*Ubar_c+Delay_D)*(1-EXP(-Rho_a*LN((Top_c-H28)/(Top_c-Floor_F))/Delta_c))/Rho_a+EXP(-Rho_a*LN((Top_c-H28)/(Top_c-Floor_F))/Delta_c)*(-Cost_k*Delta_c*Floor_F/Rho_a)),(-Delay_D/Rho_a)),(EXP(-Rho_a*LN(H28/Floor_F)/Delta_c)*(-Cost_k*Delta_c*Floor_F/Rho_a)))</f>
        <v>-335.745877992226</v>
      </c>
      <c r="M28" s="22" t="n">
        <f aca="false">ABS(K28-L28)</f>
        <v>0</v>
      </c>
      <c r="O28" s="17" t="n">
        <f aca="false">30+8*$P$5</f>
        <v>32</v>
      </c>
      <c r="P28" s="17" t="n">
        <f aca="false">Ubar_c-Delta_c*O28</f>
        <v>6.88644377172685</v>
      </c>
      <c r="Q28" s="11" t="n">
        <f aca="false">(-(Cost_k*Ubar_c+Delay_D)+P28/$P$5*Q29)/(Rho_a+P28/$P$5)</f>
        <v>-402.82088690609</v>
      </c>
      <c r="R28" s="11" t="n">
        <f aca="false">MAX(Q28,-Delay_D/Rho_a)</f>
        <v>-335.745877992226</v>
      </c>
      <c r="S28" s="11" t="n">
        <f aca="false">IF(O28&lt;Floor_F,MAX((-(Cost_k*Ubar_c+Delay_D)*(1-EXP(-Rho_a*LN((Top_c-O28)/(Top_c-Floor_F))/Delta_c))/Rho_a+EXP(-Rho_a*LN((Top_c-O28)/(Top_c-Floor_F))/Delta_c)*(-Cost_k*Delta_c*Floor_F/Rho_a)),(-Delay_D/Rho_a)),(EXP(-Rho_a*LN(O28/Floor_F)/Delta_c)*(-Cost_k*Delta_c*Floor_F/Rho_a)))</f>
        <v>-335.745877992226</v>
      </c>
      <c r="T28" s="22" t="n">
        <f aca="false">ABS(R28-S28)</f>
        <v>0</v>
      </c>
      <c r="V28" s="17" t="n">
        <f aca="false">30+8*$W$5</f>
        <v>31</v>
      </c>
      <c r="W28" s="17" t="n">
        <f aca="false">Ubar_c-Delta_c*V28</f>
        <v>6.98771500366401</v>
      </c>
      <c r="X28" s="11" t="n">
        <f aca="false">(-(Cost_k*Ubar_c+Delay_D)+W28/$W$5*X29)/(Rho_a+W28/$W$5)</f>
        <v>-407.997496833524</v>
      </c>
      <c r="Y28" s="11" t="n">
        <f aca="false">MAX(X28,-Delay_D/Rho_a)</f>
        <v>-335.745877992226</v>
      </c>
      <c r="Z28" s="11" t="n">
        <f aca="false">IF(V28&lt;Floor_F,MAX((-(Cost_k*Ubar_c+Delay_D)*(1-EXP(-Rho_a*LN((Top_c-V28)/(Top_c-Floor_F))/Delta_c))/Rho_a+EXP(-Rho_a*LN((Top_c-V28)/(Top_c-Floor_F))/Delta_c)*(-Cost_k*Delta_c*Floor_F/Rho_a)),(-Delay_D/Rho_a)),(EXP(-Rho_a*LN(V28/Floor_F)/Delta_c)*(-Cost_k*Delta_c*Floor_F/Rho_a)))</f>
        <v>-335.745877992226</v>
      </c>
      <c r="AA28" s="22" t="n">
        <f aca="false">ABS(Y28-Z28)</f>
        <v>0</v>
      </c>
      <c r="AC28" s="17" t="n">
        <f aca="false">30+8*$AD$5</f>
        <v>30.5</v>
      </c>
      <c r="AD28" s="17" t="n">
        <f aca="false">Ubar_c-Delta_c*AC28</f>
        <v>7.03835061963259</v>
      </c>
      <c r="AE28" s="11" t="n">
        <f aca="false">(-(Cost_k*Ubar_c+Delay_D)+AD28/$AD$5*AE29)/(Rho_a+AD28/$AD$5)</f>
        <v>-410.538487984172</v>
      </c>
      <c r="AF28" s="11" t="n">
        <f aca="false">MAX(AE28,-Delay_D/Rho_a)</f>
        <v>-335.745877992226</v>
      </c>
      <c r="AG28" s="11" t="n">
        <f aca="false">IF(AC28&lt;Floor_F,MAX((-(Cost_k*Ubar_c+Delay_D)*(1-EXP(-Rho_a*LN((Top_c-AC28)/(Top_c-Floor_F))/Delta_c))/Rho_a+EXP(-Rho_a*LN((Top_c-AC28)/(Top_c-Floor_F))/Delta_c)*(-Cost_k*Delta_c*Floor_F/Rho_a)),(-Delay_D/Rho_a)),(EXP(-Rho_a*LN(AC28/Floor_F)/Delta_c)*(-Cost_k*Delta_c*Floor_F/Rho_a)))</f>
        <v>-335.745877992226</v>
      </c>
      <c r="AH28" s="22" t="n">
        <f aca="false">ABS(AF28-AG28)</f>
        <v>0</v>
      </c>
    </row>
    <row r="29" customFormat="false" ht="15" hidden="false" customHeight="false" outlineLevel="0" collapsed="false">
      <c r="A29" s="17" t="n">
        <f aca="false">30+9*$B$5</f>
        <v>39</v>
      </c>
      <c r="B29" s="17" t="n">
        <f aca="false">Ubar_c-Delta_c*A29</f>
        <v>6.17754514816674</v>
      </c>
      <c r="C29" s="11" t="n">
        <f aca="false">(-(Cost_k*Ubar_c+Delay_D)+B29/$B$5*C30)/(Rho_a+B29/$B$5)</f>
        <v>-362.891455602791</v>
      </c>
      <c r="D29" s="11" t="n">
        <f aca="false">MAX(C29,-Delay_D/Rho_a)</f>
        <v>-335.745877992226</v>
      </c>
      <c r="E29" s="11" t="n">
        <f aca="false">IF(A29&lt;Floor_F,MAX((-(Cost_k*Ubar_c+Delay_D)*(1-EXP(-Rho_a*LN((Top_c-A29)/(Top_c-Floor_F))/Delta_c))/Rho_a+EXP(-Rho_a*LN((Top_c-A29)/(Top_c-Floor_F))/Delta_c)*(-Cost_k*Delta_c*Floor_F/Rho_a)),(-Delay_D/Rho_a)),(EXP(-Rho_a*LN(A29/Floor_F)/Delta_c)*(-Cost_k*Delta_c*Floor_F/Rho_a)))</f>
        <v>-335.745877992226</v>
      </c>
      <c r="F29" s="22" t="n">
        <f aca="false">ABS(D29-E29)</f>
        <v>0</v>
      </c>
      <c r="H29" s="17" t="n">
        <f aca="false">30+9*$I$5</f>
        <v>34.5</v>
      </c>
      <c r="I29" s="17" t="n">
        <f aca="false">Ubar_c-Delta_c*H29</f>
        <v>6.63326569188395</v>
      </c>
      <c r="J29" s="11" t="n">
        <f aca="false">(-(Cost_k*Ubar_c+Delay_D)+I29/$I$5*J30)/(Rho_a+I29/$I$5)</f>
        <v>-389.443325636501</v>
      </c>
      <c r="K29" s="11" t="n">
        <f aca="false">MAX(J29,-Delay_D/Rho_a)</f>
        <v>-335.745877992226</v>
      </c>
      <c r="L29" s="11" t="n">
        <f aca="false">IF(H29&lt;Floor_F,MAX((-(Cost_k*Ubar_c+Delay_D)*(1-EXP(-Rho_a*LN((Top_c-H29)/(Top_c-Floor_F))/Delta_c))/Rho_a+EXP(-Rho_a*LN((Top_c-H29)/(Top_c-Floor_F))/Delta_c)*(-Cost_k*Delta_c*Floor_F/Rho_a)),(-Delay_D/Rho_a)),(EXP(-Rho_a*LN(H29/Floor_F)/Delta_c)*(-Cost_k*Delta_c*Floor_F/Rho_a)))</f>
        <v>-335.745877992226</v>
      </c>
      <c r="M29" s="22" t="n">
        <f aca="false">ABS(K29-L29)</f>
        <v>0</v>
      </c>
      <c r="O29" s="17" t="n">
        <f aca="false">30+9*$P$5</f>
        <v>32.25</v>
      </c>
      <c r="P29" s="17" t="n">
        <f aca="false">Ubar_c-Delta_c*O29</f>
        <v>6.86112596374256</v>
      </c>
      <c r="Q29" s="11" t="n">
        <f aca="false">(-(Cost_k*Ubar_c+Delay_D)+P29/$P$5*Q30)/(Rho_a+P29/$P$5)</f>
        <v>-401.582382579845</v>
      </c>
      <c r="R29" s="11" t="n">
        <f aca="false">MAX(Q29,-Delay_D/Rho_a)</f>
        <v>-335.745877992226</v>
      </c>
      <c r="S29" s="11" t="n">
        <f aca="false">IF(O29&lt;Floor_F,MAX((-(Cost_k*Ubar_c+Delay_D)*(1-EXP(-Rho_a*LN((Top_c-O29)/(Top_c-Floor_F))/Delta_c))/Rho_a+EXP(-Rho_a*LN((Top_c-O29)/(Top_c-Floor_F))/Delta_c)*(-Cost_k*Delta_c*Floor_F/Rho_a)),(-Delay_D/Rho_a)),(EXP(-Rho_a*LN(O29/Floor_F)/Delta_c)*(-Cost_k*Delta_c*Floor_F/Rho_a)))</f>
        <v>-335.745877992226</v>
      </c>
      <c r="T29" s="22" t="n">
        <f aca="false">ABS(R29-S29)</f>
        <v>0</v>
      </c>
      <c r="V29" s="17" t="n">
        <f aca="false">30+9*$W$5</f>
        <v>31.125</v>
      </c>
      <c r="W29" s="17" t="n">
        <f aca="false">Ubar_c-Delta_c*V29</f>
        <v>6.97505609967187</v>
      </c>
      <c r="X29" s="11" t="n">
        <f aca="false">(-(Cost_k*Ubar_c+Delay_D)+W29/$W$5*X30)/(Rho_a+W29/$W$5)</f>
        <v>-407.39604525074</v>
      </c>
      <c r="Y29" s="11" t="n">
        <f aca="false">MAX(X29,-Delay_D/Rho_a)</f>
        <v>-335.745877992226</v>
      </c>
      <c r="Z29" s="11" t="n">
        <f aca="false">IF(V29&lt;Floor_F,MAX((-(Cost_k*Ubar_c+Delay_D)*(1-EXP(-Rho_a*LN((Top_c-V29)/(Top_c-Floor_F))/Delta_c))/Rho_a+EXP(-Rho_a*LN((Top_c-V29)/(Top_c-Floor_F))/Delta_c)*(-Cost_k*Delta_c*Floor_F/Rho_a)),(-Delay_D/Rho_a)),(EXP(-Rho_a*LN(V29/Floor_F)/Delta_c)*(-Cost_k*Delta_c*Floor_F/Rho_a)))</f>
        <v>-335.745877992226</v>
      </c>
      <c r="AA29" s="22" t="n">
        <f aca="false">ABS(Y29-Z29)</f>
        <v>0</v>
      </c>
      <c r="AC29" s="17" t="n">
        <f aca="false">30+9*$AD$5</f>
        <v>30.5625</v>
      </c>
      <c r="AD29" s="17" t="n">
        <f aca="false">Ubar_c-Delta_c*AC29</f>
        <v>7.03202116763652</v>
      </c>
      <c r="AE29" s="11" t="n">
        <f aca="false">(-(Cost_k*Ubar_c+Delay_D)+AD29/$AD$5*AE30)/(Rho_a+AD29/$AD$5)</f>
        <v>-410.242076247669</v>
      </c>
      <c r="AF29" s="11" t="n">
        <f aca="false">MAX(AE29,-Delay_D/Rho_a)</f>
        <v>-335.745877992226</v>
      </c>
      <c r="AG29" s="11" t="n">
        <f aca="false">IF(AC29&lt;Floor_F,MAX((-(Cost_k*Ubar_c+Delay_D)*(1-EXP(-Rho_a*LN((Top_c-AC29)/(Top_c-Floor_F))/Delta_c))/Rho_a+EXP(-Rho_a*LN((Top_c-AC29)/(Top_c-Floor_F))/Delta_c)*(-Cost_k*Delta_c*Floor_F/Rho_a)),(-Delay_D/Rho_a)),(EXP(-Rho_a*LN(AC29/Floor_F)/Delta_c)*(-Cost_k*Delta_c*Floor_F/Rho_a)))</f>
        <v>-335.745877992226</v>
      </c>
      <c r="AH29" s="22" t="n">
        <f aca="false">ABS(AF29-AG29)</f>
        <v>0</v>
      </c>
    </row>
    <row r="30" customFormat="false" ht="15" hidden="false" customHeight="false" outlineLevel="0" collapsed="false">
      <c r="A30" s="17" t="n">
        <f aca="false">30+10*$B$5</f>
        <v>40</v>
      </c>
      <c r="B30" s="17" t="n">
        <f aca="false">Ubar_c-Delta_c*A30</f>
        <v>6.07627391622958</v>
      </c>
      <c r="C30" s="11" t="n">
        <f aca="false">(-(Cost_k*Ubar_c+Delay_D)+B30/$B$5*C31)/(Rho_a+B30/$B$5)</f>
        <v>-356.752893765949</v>
      </c>
      <c r="D30" s="11" t="n">
        <f aca="false">MAX(C30,-Delay_D/Rho_a)</f>
        <v>-335.745877992226</v>
      </c>
      <c r="E30" s="11" t="n">
        <f aca="false">IF(A30&lt;Floor_F,MAX((-(Cost_k*Ubar_c+Delay_D)*(1-EXP(-Rho_a*LN((Top_c-A30)/(Top_c-Floor_F))/Delta_c))/Rho_a+EXP(-Rho_a*LN((Top_c-A30)/(Top_c-Floor_F))/Delta_c)*(-Cost_k*Delta_c*Floor_F/Rho_a)),(-Delay_D/Rho_a)),(EXP(-Rho_a*LN(A30/Floor_F)/Delta_c)*(-Cost_k*Delta_c*Floor_F/Rho_a)))</f>
        <v>-335.745877992226</v>
      </c>
      <c r="F30" s="22" t="n">
        <f aca="false">ABS(D30-E30)</f>
        <v>0</v>
      </c>
      <c r="H30" s="17" t="n">
        <f aca="false">30+10*$I$5</f>
        <v>35</v>
      </c>
      <c r="I30" s="17" t="n">
        <f aca="false">Ubar_c-Delta_c*H30</f>
        <v>6.58263007591537</v>
      </c>
      <c r="J30" s="11" t="n">
        <f aca="false">(-(Cost_k*Ubar_c+Delay_D)+I30/$I$5*J31)/(Rho_a+I30/$I$5)</f>
        <v>-386.775666821918</v>
      </c>
      <c r="K30" s="11" t="n">
        <f aca="false">MAX(J30,-Delay_D/Rho_a)</f>
        <v>-335.745877992226</v>
      </c>
      <c r="L30" s="11" t="n">
        <f aca="false">IF(H30&lt;Floor_F,MAX((-(Cost_k*Ubar_c+Delay_D)*(1-EXP(-Rho_a*LN((Top_c-H30)/(Top_c-Floor_F))/Delta_c))/Rho_a+EXP(-Rho_a*LN((Top_c-H30)/(Top_c-Floor_F))/Delta_c)*(-Cost_k*Delta_c*Floor_F/Rho_a)),(-Delay_D/Rho_a)),(EXP(-Rho_a*LN(H30/Floor_F)/Delta_c)*(-Cost_k*Delta_c*Floor_F/Rho_a)))</f>
        <v>-335.745877992226</v>
      </c>
      <c r="M30" s="22" t="n">
        <f aca="false">ABS(K30-L30)</f>
        <v>0</v>
      </c>
      <c r="O30" s="17" t="n">
        <f aca="false">30+10*$P$5</f>
        <v>32.5</v>
      </c>
      <c r="P30" s="17" t="n">
        <f aca="false">Ubar_c-Delta_c*O30</f>
        <v>6.83580815575827</v>
      </c>
      <c r="Q30" s="11" t="n">
        <f aca="false">(-(Cost_k*Ubar_c+Delay_D)+P30/$P$5*Q31)/(Rho_a+P30/$P$5)</f>
        <v>-400.335007008188</v>
      </c>
      <c r="R30" s="11" t="n">
        <f aca="false">MAX(Q30,-Delay_D/Rho_a)</f>
        <v>-335.745877992226</v>
      </c>
      <c r="S30" s="11" t="n">
        <f aca="false">IF(O30&lt;Floor_F,MAX((-(Cost_k*Ubar_c+Delay_D)*(1-EXP(-Rho_a*LN((Top_c-O30)/(Top_c-Floor_F))/Delta_c))/Rho_a+EXP(-Rho_a*LN((Top_c-O30)/(Top_c-Floor_F))/Delta_c)*(-Cost_k*Delta_c*Floor_F/Rho_a)),(-Delay_D/Rho_a)),(EXP(-Rho_a*LN(O30/Floor_F)/Delta_c)*(-Cost_k*Delta_c*Floor_F/Rho_a)))</f>
        <v>-335.745877992226</v>
      </c>
      <c r="T30" s="22" t="n">
        <f aca="false">ABS(R30-S30)</f>
        <v>0</v>
      </c>
      <c r="V30" s="17" t="n">
        <f aca="false">30+10*$W$5</f>
        <v>31.25</v>
      </c>
      <c r="W30" s="17" t="n">
        <f aca="false">Ubar_c-Delta_c*V30</f>
        <v>6.96239719567972</v>
      </c>
      <c r="X30" s="11" t="n">
        <f aca="false">(-(Cost_k*Ubar_c+Delay_D)+W30/$W$5*X31)/(Rho_a+W30/$W$5)</f>
        <v>-406.792474792503</v>
      </c>
      <c r="Y30" s="11" t="n">
        <f aca="false">MAX(X30,-Delay_D/Rho_a)</f>
        <v>-335.745877992226</v>
      </c>
      <c r="Z30" s="11" t="n">
        <f aca="false">IF(V30&lt;Floor_F,MAX((-(Cost_k*Ubar_c+Delay_D)*(1-EXP(-Rho_a*LN((Top_c-V30)/(Top_c-Floor_F))/Delta_c))/Rho_a+EXP(-Rho_a*LN((Top_c-V30)/(Top_c-Floor_F))/Delta_c)*(-Cost_k*Delta_c*Floor_F/Rho_a)),(-Delay_D/Rho_a)),(EXP(-Rho_a*LN(V30/Floor_F)/Delta_c)*(-Cost_k*Delta_c*Floor_F/Rho_a)))</f>
        <v>-335.745877992226</v>
      </c>
      <c r="AA30" s="22" t="n">
        <f aca="false">ABS(Y30-Z30)</f>
        <v>0</v>
      </c>
      <c r="AC30" s="17" t="n">
        <f aca="false">30+10*$AD$5</f>
        <v>30.625</v>
      </c>
      <c r="AD30" s="17" t="n">
        <f aca="false">Ubar_c-Delta_c*AC30</f>
        <v>7.02569171564045</v>
      </c>
      <c r="AE30" s="11" t="n">
        <f aca="false">(-(Cost_k*Ubar_c+Delay_D)+AD30/$AD$5*AE31)/(Rho_a+AD30/$AD$5)</f>
        <v>-409.945146620966</v>
      </c>
      <c r="AF30" s="11" t="n">
        <f aca="false">MAX(AE30,-Delay_D/Rho_a)</f>
        <v>-335.745877992226</v>
      </c>
      <c r="AG30" s="11" t="n">
        <f aca="false">IF(AC30&lt;Floor_F,MAX((-(Cost_k*Ubar_c+Delay_D)*(1-EXP(-Rho_a*LN((Top_c-AC30)/(Top_c-Floor_F))/Delta_c))/Rho_a+EXP(-Rho_a*LN((Top_c-AC30)/(Top_c-Floor_F))/Delta_c)*(-Cost_k*Delta_c*Floor_F/Rho_a)),(-Delay_D/Rho_a)),(EXP(-Rho_a*LN(AC30/Floor_F)/Delta_c)*(-Cost_k*Delta_c*Floor_F/Rho_a)))</f>
        <v>-335.745877992226</v>
      </c>
      <c r="AH30" s="22" t="n">
        <f aca="false">ABS(AF30-AG30)</f>
        <v>0</v>
      </c>
    </row>
    <row r="31" customFormat="false" ht="15" hidden="false" customHeight="false" outlineLevel="0" collapsed="false">
      <c r="A31" s="17" t="n">
        <f aca="false">30+11*$B$5</f>
        <v>41</v>
      </c>
      <c r="B31" s="17" t="n">
        <f aca="false">Ubar_c-Delta_c*A31</f>
        <v>5.97500268429242</v>
      </c>
      <c r="C31" s="11" t="n">
        <f aca="false">(-(Cost_k*Ubar_c+Delay_D)+B31/$B$5*C32)/(Rho_a+B31/$B$5)</f>
        <v>-350.415735360126</v>
      </c>
      <c r="D31" s="11" t="n">
        <f aca="false">MAX(C31,-Delay_D/Rho_a)</f>
        <v>-335.745877992226</v>
      </c>
      <c r="E31" s="11" t="n">
        <f aca="false">IF(A31&lt;Floor_F,MAX((-(Cost_k*Ubar_c+Delay_D)*(1-EXP(-Rho_a*LN((Top_c-A31)/(Top_c-Floor_F))/Delta_c))/Rho_a+EXP(-Rho_a*LN((Top_c-A31)/(Top_c-Floor_F))/Delta_c)*(-Cost_k*Delta_c*Floor_F/Rho_a)),(-Delay_D/Rho_a)),(EXP(-Rho_a*LN(A31/Floor_F)/Delta_c)*(-Cost_k*Delta_c*Floor_F/Rho_a)))</f>
        <v>-335.745877992226</v>
      </c>
      <c r="F31" s="22" t="n">
        <f aca="false">ABS(D31-E31)</f>
        <v>0</v>
      </c>
      <c r="H31" s="17" t="n">
        <f aca="false">30+11*$I$5</f>
        <v>35.5</v>
      </c>
      <c r="I31" s="17" t="n">
        <f aca="false">Ubar_c-Delta_c*H31</f>
        <v>6.53199445994679</v>
      </c>
      <c r="J31" s="11" t="n">
        <f aca="false">(-(Cost_k*Ubar_c+Delay_D)+I31/$I$5*J32)/(Rho_a+I31/$I$5)</f>
        <v>-384.068174982406</v>
      </c>
      <c r="K31" s="11" t="n">
        <f aca="false">MAX(J31,-Delay_D/Rho_a)</f>
        <v>-335.745877992226</v>
      </c>
      <c r="L31" s="11" t="n">
        <f aca="false">IF(H31&lt;Floor_F,MAX((-(Cost_k*Ubar_c+Delay_D)*(1-EXP(-Rho_a*LN((Top_c-H31)/(Top_c-Floor_F))/Delta_c))/Rho_a+EXP(-Rho_a*LN((Top_c-H31)/(Top_c-Floor_F))/Delta_c)*(-Cost_k*Delta_c*Floor_F/Rho_a)),(-Delay_D/Rho_a)),(EXP(-Rho_a*LN(H31/Floor_F)/Delta_c)*(-Cost_k*Delta_c*Floor_F/Rho_a)))</f>
        <v>-335.745877992226</v>
      </c>
      <c r="M31" s="22" t="n">
        <f aca="false">ABS(K31-L31)</f>
        <v>0</v>
      </c>
      <c r="O31" s="17" t="n">
        <f aca="false">30+11*$P$5</f>
        <v>32.75</v>
      </c>
      <c r="P31" s="17" t="n">
        <f aca="false">Ubar_c-Delta_c*O31</f>
        <v>6.81049034777398</v>
      </c>
      <c r="Q31" s="11" t="n">
        <f aca="false">(-(Cost_k*Ubar_c+Delay_D)+P31/$P$5*Q32)/(Rho_a+P31/$P$5)</f>
        <v>-399.078663555731</v>
      </c>
      <c r="R31" s="11" t="n">
        <f aca="false">MAX(Q31,-Delay_D/Rho_a)</f>
        <v>-335.745877992226</v>
      </c>
      <c r="S31" s="11" t="n">
        <f aca="false">IF(O31&lt;Floor_F,MAX((-(Cost_k*Ubar_c+Delay_D)*(1-EXP(-Rho_a*LN((Top_c-O31)/(Top_c-Floor_F))/Delta_c))/Rho_a+EXP(-Rho_a*LN((Top_c-O31)/(Top_c-Floor_F))/Delta_c)*(-Cost_k*Delta_c*Floor_F/Rho_a)),(-Delay_D/Rho_a)),(EXP(-Rho_a*LN(O31/Floor_F)/Delta_c)*(-Cost_k*Delta_c*Floor_F/Rho_a)))</f>
        <v>-335.745877992226</v>
      </c>
      <c r="T31" s="22" t="n">
        <f aca="false">ABS(R31-S31)</f>
        <v>0</v>
      </c>
      <c r="V31" s="17" t="n">
        <f aca="false">30+11*$W$5</f>
        <v>31.375</v>
      </c>
      <c r="W31" s="17" t="n">
        <f aca="false">Ubar_c-Delta_c*V31</f>
        <v>6.94973829168758</v>
      </c>
      <c r="X31" s="11" t="n">
        <f aca="false">(-(Cost_k*Ubar_c+Delay_D)+W31/$W$5*X32)/(Rho_a+W31/$W$5)</f>
        <v>-406.186774128078</v>
      </c>
      <c r="Y31" s="11" t="n">
        <f aca="false">MAX(X31,-Delay_D/Rho_a)</f>
        <v>-335.745877992226</v>
      </c>
      <c r="Z31" s="11" t="n">
        <f aca="false">IF(V31&lt;Floor_F,MAX((-(Cost_k*Ubar_c+Delay_D)*(1-EXP(-Rho_a*LN((Top_c-V31)/(Top_c-Floor_F))/Delta_c))/Rho_a+EXP(-Rho_a*LN((Top_c-V31)/(Top_c-Floor_F))/Delta_c)*(-Cost_k*Delta_c*Floor_F/Rho_a)),(-Delay_D/Rho_a)),(EXP(-Rho_a*LN(V31/Floor_F)/Delta_c)*(-Cost_k*Delta_c*Floor_F/Rho_a)))</f>
        <v>-335.745877992226</v>
      </c>
      <c r="AA31" s="22" t="n">
        <f aca="false">ABS(Y31-Z31)</f>
        <v>0</v>
      </c>
      <c r="AC31" s="17" t="n">
        <f aca="false">30+11*$AD$5</f>
        <v>30.6875</v>
      </c>
      <c r="AD31" s="17" t="n">
        <f aca="false">Ubar_c-Delta_c*AC31</f>
        <v>7.01936226364438</v>
      </c>
      <c r="AE31" s="11" t="n">
        <f aca="false">(-(Cost_k*Ubar_c+Delay_D)+AD31/$AD$5*AE32)/(Rho_a+AD31/$AD$5)</f>
        <v>-409.647697731823</v>
      </c>
      <c r="AF31" s="11" t="n">
        <f aca="false">MAX(AE31,-Delay_D/Rho_a)</f>
        <v>-335.745877992226</v>
      </c>
      <c r="AG31" s="11" t="n">
        <f aca="false">IF(AC31&lt;Floor_F,MAX((-(Cost_k*Ubar_c+Delay_D)*(1-EXP(-Rho_a*LN((Top_c-AC31)/(Top_c-Floor_F))/Delta_c))/Rho_a+EXP(-Rho_a*LN((Top_c-AC31)/(Top_c-Floor_F))/Delta_c)*(-Cost_k*Delta_c*Floor_F/Rho_a)),(-Delay_D/Rho_a)),(EXP(-Rho_a*LN(AC31/Floor_F)/Delta_c)*(-Cost_k*Delta_c*Floor_F/Rho_a)))</f>
        <v>-335.745877992226</v>
      </c>
      <c r="AH31" s="22" t="n">
        <f aca="false">ABS(AF31-AG31)</f>
        <v>0</v>
      </c>
    </row>
    <row r="32" customFormat="false" ht="15" hidden="false" customHeight="false" outlineLevel="0" collapsed="false">
      <c r="A32" s="17" t="n">
        <f aca="false">30+12*$B$5</f>
        <v>42</v>
      </c>
      <c r="B32" s="17" t="n">
        <f aca="false">Ubar_c-Delta_c*A32</f>
        <v>5.87373145235526</v>
      </c>
      <c r="C32" s="11" t="n">
        <f aca="false">(-(Cost_k*Ubar_c+Delay_D)+B32/$B$5*C33)/(Rho_a+B32/$B$5)</f>
        <v>-343.870080387578</v>
      </c>
      <c r="D32" s="11" t="n">
        <f aca="false">MAX(C32,-Delay_D/Rho_a)</f>
        <v>-335.745877992226</v>
      </c>
      <c r="E32" s="11" t="n">
        <f aca="false">IF(A32&lt;Floor_F,MAX((-(Cost_k*Ubar_c+Delay_D)*(1-EXP(-Rho_a*LN((Top_c-A32)/(Top_c-Floor_F))/Delta_c))/Rho_a+EXP(-Rho_a*LN((Top_c-A32)/(Top_c-Floor_F))/Delta_c)*(-Cost_k*Delta_c*Floor_F/Rho_a)),(-Delay_D/Rho_a)),(EXP(-Rho_a*LN(A32/Floor_F)/Delta_c)*(-Cost_k*Delta_c*Floor_F/Rho_a)))</f>
        <v>-335.745877992226</v>
      </c>
      <c r="F32" s="22" t="n">
        <f aca="false">ABS(D32-E32)</f>
        <v>0</v>
      </c>
      <c r="H32" s="17" t="n">
        <f aca="false">30+12*$I$5</f>
        <v>36</v>
      </c>
      <c r="I32" s="17" t="n">
        <f aca="false">Ubar_c-Delta_c*H32</f>
        <v>6.48135884397822</v>
      </c>
      <c r="J32" s="11" t="n">
        <f aca="false">(-(Cost_k*Ubar_c+Delay_D)+I32/$I$5*J33)/(Rho_a+I32/$I$5)</f>
        <v>-381.319941944218</v>
      </c>
      <c r="K32" s="11" t="n">
        <f aca="false">MAX(J32,-Delay_D/Rho_a)</f>
        <v>-335.745877992226</v>
      </c>
      <c r="L32" s="11" t="n">
        <f aca="false">IF(H32&lt;Floor_F,MAX((-(Cost_k*Ubar_c+Delay_D)*(1-EXP(-Rho_a*LN((Top_c-H32)/(Top_c-Floor_F))/Delta_c))/Rho_a+EXP(-Rho_a*LN((Top_c-H32)/(Top_c-Floor_F))/Delta_c)*(-Cost_k*Delta_c*Floor_F/Rho_a)),(-Delay_D/Rho_a)),(EXP(-Rho_a*LN(H32/Floor_F)/Delta_c)*(-Cost_k*Delta_c*Floor_F/Rho_a)))</f>
        <v>-335.745877992226</v>
      </c>
      <c r="M32" s="22" t="n">
        <f aca="false">ABS(K32-L32)</f>
        <v>0</v>
      </c>
      <c r="O32" s="17" t="n">
        <f aca="false">30+12*$P$5</f>
        <v>33</v>
      </c>
      <c r="P32" s="17" t="n">
        <f aca="false">Ubar_c-Delta_c*O32</f>
        <v>6.78517253978969</v>
      </c>
      <c r="Q32" s="11" t="n">
        <f aca="false">(-(Cost_k*Ubar_c+Delay_D)+P32/$P$5*Q33)/(Rho_a+P32/$P$5)</f>
        <v>-397.813254171275</v>
      </c>
      <c r="R32" s="11" t="n">
        <f aca="false">MAX(Q32,-Delay_D/Rho_a)</f>
        <v>-335.745877992226</v>
      </c>
      <c r="S32" s="11" t="n">
        <f aca="false">IF(O32&lt;Floor_F,MAX((-(Cost_k*Ubar_c+Delay_D)*(1-EXP(-Rho_a*LN((Top_c-O32)/(Top_c-Floor_F))/Delta_c))/Rho_a+EXP(-Rho_a*LN((Top_c-O32)/(Top_c-Floor_F))/Delta_c)*(-Cost_k*Delta_c*Floor_F/Rho_a)),(-Delay_D/Rho_a)),(EXP(-Rho_a*LN(O32/Floor_F)/Delta_c)*(-Cost_k*Delta_c*Floor_F/Rho_a)))</f>
        <v>-335.745877992226</v>
      </c>
      <c r="T32" s="22" t="n">
        <f aca="false">ABS(R32-S32)</f>
        <v>0</v>
      </c>
      <c r="V32" s="17" t="n">
        <f aca="false">30+12*$W$5</f>
        <v>31.5</v>
      </c>
      <c r="W32" s="17" t="n">
        <f aca="false">Ubar_c-Delta_c*V32</f>
        <v>6.93707938769543</v>
      </c>
      <c r="X32" s="11" t="n">
        <f aca="false">(-(Cost_k*Ubar_c+Delay_D)+W32/$W$5*X33)/(Rho_a+W32/$W$5)</f>
        <v>-405.578931845387</v>
      </c>
      <c r="Y32" s="11" t="n">
        <f aca="false">MAX(X32,-Delay_D/Rho_a)</f>
        <v>-335.745877992226</v>
      </c>
      <c r="Z32" s="11" t="n">
        <f aca="false">IF(V32&lt;Floor_F,MAX((-(Cost_k*Ubar_c+Delay_D)*(1-EXP(-Rho_a*LN((Top_c-V32)/(Top_c-Floor_F))/Delta_c))/Rho_a+EXP(-Rho_a*LN((Top_c-V32)/(Top_c-Floor_F))/Delta_c)*(-Cost_k*Delta_c*Floor_F/Rho_a)),(-Delay_D/Rho_a)),(EXP(-Rho_a*LN(V32/Floor_F)/Delta_c)*(-Cost_k*Delta_c*Floor_F/Rho_a)))</f>
        <v>-335.745877992226</v>
      </c>
      <c r="AA32" s="22" t="n">
        <f aca="false">ABS(Y32-Z32)</f>
        <v>0</v>
      </c>
      <c r="AC32" s="17" t="n">
        <f aca="false">30+12*$AD$5</f>
        <v>30.75</v>
      </c>
      <c r="AD32" s="17" t="n">
        <f aca="false">Ubar_c-Delta_c*AC32</f>
        <v>7.0130328116483</v>
      </c>
      <c r="AE32" s="11" t="n">
        <f aca="false">(-(Cost_k*Ubar_c+Delay_D)+AD32/$AD$5*AE33)/(Rho_a+AD32/$AD$5)</f>
        <v>-409.349728203122</v>
      </c>
      <c r="AF32" s="11" t="n">
        <f aca="false">MAX(AE32,-Delay_D/Rho_a)</f>
        <v>-335.745877992226</v>
      </c>
      <c r="AG32" s="11" t="n">
        <f aca="false">IF(AC32&lt;Floor_F,MAX((-(Cost_k*Ubar_c+Delay_D)*(1-EXP(-Rho_a*LN((Top_c-AC32)/(Top_c-Floor_F))/Delta_c))/Rho_a+EXP(-Rho_a*LN((Top_c-AC32)/(Top_c-Floor_F))/Delta_c)*(-Cost_k*Delta_c*Floor_F/Rho_a)),(-Delay_D/Rho_a)),(EXP(-Rho_a*LN(AC32/Floor_F)/Delta_c)*(-Cost_k*Delta_c*Floor_F/Rho_a)))</f>
        <v>-335.745877992226</v>
      </c>
      <c r="AH32" s="22" t="n">
        <f aca="false">ABS(AF32-AG32)</f>
        <v>0</v>
      </c>
    </row>
    <row r="33" customFormat="false" ht="15" hidden="false" customHeight="false" outlineLevel="0" collapsed="false">
      <c r="A33" s="17" t="n">
        <f aca="false">30+13*$B$5</f>
        <v>43</v>
      </c>
      <c r="B33" s="17" t="n">
        <f aca="false">Ubar_c-Delta_c*A33</f>
        <v>5.7724602204181</v>
      </c>
      <c r="C33" s="11" t="n">
        <f aca="false">(-(Cost_k*Ubar_c+Delay_D)+B33/$B$5*C34)/(Rho_a+B33/$B$5)</f>
        <v>-337.10535613927</v>
      </c>
      <c r="D33" s="11" t="n">
        <f aca="false">MAX(C33,-Delay_D/Rho_a)</f>
        <v>-335.745877992226</v>
      </c>
      <c r="E33" s="11" t="n">
        <f aca="false">IF(A33&lt;Floor_F,MAX((-(Cost_k*Ubar_c+Delay_D)*(1-EXP(-Rho_a*LN((Top_c-A33)/(Top_c-Floor_F))/Delta_c))/Rho_a+EXP(-Rho_a*LN((Top_c-A33)/(Top_c-Floor_F))/Delta_c)*(-Cost_k*Delta_c*Floor_F/Rho_a)),(-Delay_D/Rho_a)),(EXP(-Rho_a*LN(A33/Floor_F)/Delta_c)*(-Cost_k*Delta_c*Floor_F/Rho_a)))</f>
        <v>-335.745877992226</v>
      </c>
      <c r="F33" s="22" t="n">
        <f aca="false">ABS(D33-E33)</f>
        <v>0</v>
      </c>
      <c r="H33" s="17" t="n">
        <f aca="false">30+13*$I$5</f>
        <v>36.5</v>
      </c>
      <c r="I33" s="17" t="n">
        <f aca="false">Ubar_c-Delta_c*H33</f>
        <v>6.43072322800964</v>
      </c>
      <c r="J33" s="11" t="n">
        <f aca="false">(-(Cost_k*Ubar_c+Delay_D)+I33/$I$5*J34)/(Rho_a+I33/$I$5)</f>
        <v>-378.530031570811</v>
      </c>
      <c r="K33" s="11" t="n">
        <f aca="false">MAX(J33,-Delay_D/Rho_a)</f>
        <v>-335.745877992226</v>
      </c>
      <c r="L33" s="11" t="n">
        <f aca="false">IF(H33&lt;Floor_F,MAX((-(Cost_k*Ubar_c+Delay_D)*(1-EXP(-Rho_a*LN((Top_c-H33)/(Top_c-Floor_F))/Delta_c))/Rho_a+EXP(-Rho_a*LN((Top_c-H33)/(Top_c-Floor_F))/Delta_c)*(-Cost_k*Delta_c*Floor_F/Rho_a)),(-Delay_D/Rho_a)),(EXP(-Rho_a*LN(H33/Floor_F)/Delta_c)*(-Cost_k*Delta_c*Floor_F/Rho_a)))</f>
        <v>-335.745877992226</v>
      </c>
      <c r="M33" s="22" t="n">
        <f aca="false">ABS(K33-L33)</f>
        <v>0</v>
      </c>
      <c r="O33" s="17" t="n">
        <f aca="false">30+13*$P$5</f>
        <v>33.25</v>
      </c>
      <c r="P33" s="17" t="n">
        <f aca="false">Ubar_c-Delta_c*O33</f>
        <v>6.7598547318054</v>
      </c>
      <c r="Q33" s="11" t="n">
        <f aca="false">(-(Cost_k*Ubar_c+Delay_D)+P33/$P$5*Q34)/(Rho_a+P33/$P$5)</f>
        <v>-396.538679361703</v>
      </c>
      <c r="R33" s="11" t="n">
        <f aca="false">MAX(Q33,-Delay_D/Rho_a)</f>
        <v>-335.745877992226</v>
      </c>
      <c r="S33" s="11" t="n">
        <f aca="false">IF(O33&lt;Floor_F,MAX((-(Cost_k*Ubar_c+Delay_D)*(1-EXP(-Rho_a*LN((Top_c-O33)/(Top_c-Floor_F))/Delta_c))/Rho_a+EXP(-Rho_a*LN((Top_c-O33)/(Top_c-Floor_F))/Delta_c)*(-Cost_k*Delta_c*Floor_F/Rho_a)),(-Delay_D/Rho_a)),(EXP(-Rho_a*LN(O33/Floor_F)/Delta_c)*(-Cost_k*Delta_c*Floor_F/Rho_a)))</f>
        <v>-335.745877992226</v>
      </c>
      <c r="T33" s="22" t="n">
        <f aca="false">ABS(R33-S33)</f>
        <v>0</v>
      </c>
      <c r="V33" s="17" t="n">
        <f aca="false">30+13*$W$5</f>
        <v>31.625</v>
      </c>
      <c r="W33" s="17" t="n">
        <f aca="false">Ubar_c-Delta_c*V33</f>
        <v>6.92442048370329</v>
      </c>
      <c r="X33" s="11" t="n">
        <f aca="false">(-(Cost_k*Ubar_c+Delay_D)+W33/$W$5*X34)/(Rho_a+W33/$W$5)</f>
        <v>-404.968936450281</v>
      </c>
      <c r="Y33" s="11" t="n">
        <f aca="false">MAX(X33,-Delay_D/Rho_a)</f>
        <v>-335.745877992226</v>
      </c>
      <c r="Z33" s="11" t="n">
        <f aca="false">IF(V33&lt;Floor_F,MAX((-(Cost_k*Ubar_c+Delay_D)*(1-EXP(-Rho_a*LN((Top_c-V33)/(Top_c-Floor_F))/Delta_c))/Rho_a+EXP(-Rho_a*LN((Top_c-V33)/(Top_c-Floor_F))/Delta_c)*(-Cost_k*Delta_c*Floor_F/Rho_a)),(-Delay_D/Rho_a)),(EXP(-Rho_a*LN(V33/Floor_F)/Delta_c)*(-Cost_k*Delta_c*Floor_F/Rho_a)))</f>
        <v>-335.745877992226</v>
      </c>
      <c r="AA33" s="22" t="n">
        <f aca="false">ABS(Y33-Z33)</f>
        <v>0</v>
      </c>
      <c r="AC33" s="17" t="n">
        <f aca="false">30+13*$AD$5</f>
        <v>30.8125</v>
      </c>
      <c r="AD33" s="17" t="n">
        <f aca="false">Ubar_c-Delta_c*AC33</f>
        <v>7.00670335965223</v>
      </c>
      <c r="AE33" s="11" t="n">
        <f aca="false">(-(Cost_k*Ubar_c+Delay_D)+AD33/$AD$5*AE34)/(Rho_a+AD33/$AD$5)</f>
        <v>-409.05123665285</v>
      </c>
      <c r="AF33" s="11" t="n">
        <f aca="false">MAX(AE33,-Delay_D/Rho_a)</f>
        <v>-335.745877992226</v>
      </c>
      <c r="AG33" s="11" t="n">
        <f aca="false">IF(AC33&lt;Floor_F,MAX((-(Cost_k*Ubar_c+Delay_D)*(1-EXP(-Rho_a*LN((Top_c-AC33)/(Top_c-Floor_F))/Delta_c))/Rho_a+EXP(-Rho_a*LN((Top_c-AC33)/(Top_c-Floor_F))/Delta_c)*(-Cost_k*Delta_c*Floor_F/Rho_a)),(-Delay_D/Rho_a)),(EXP(-Rho_a*LN(AC33/Floor_F)/Delta_c)*(-Cost_k*Delta_c*Floor_F/Rho_a)))</f>
        <v>-335.745877992226</v>
      </c>
      <c r="AH33" s="22" t="n">
        <f aca="false">ABS(AF33-AG33)</f>
        <v>0</v>
      </c>
    </row>
    <row r="34" customFormat="false" ht="15" hidden="false" customHeight="false" outlineLevel="0" collapsed="false">
      <c r="A34" s="17" t="n">
        <f aca="false">30+14*$B$5</f>
        <v>44</v>
      </c>
      <c r="B34" s="17" t="n">
        <f aca="false">Ubar_c-Delta_c*A34</f>
        <v>5.67118898848094</v>
      </c>
      <c r="C34" s="11" t="n">
        <f aca="false">(-(Cost_k*Ubar_c+Delay_D)+B34/$B$5*C35)/(Rho_a+B34/$B$5)</f>
        <v>-330.110258879803</v>
      </c>
      <c r="D34" s="11" t="n">
        <f aca="false">MAX(C34,-Delay_D/Rho_a)</f>
        <v>-330.110258879803</v>
      </c>
      <c r="E34" s="11" t="n">
        <f aca="false">IF(A34&lt;Floor_F,MAX((-(Cost_k*Ubar_c+Delay_D)*(1-EXP(-Rho_a*LN((Top_c-A34)/(Top_c-Floor_F))/Delta_c))/Rho_a+EXP(-Rho_a*LN((Top_c-A34)/(Top_c-Floor_F))/Delta_c)*(-Cost_k*Delta_c*Floor_F/Rho_a)),(-Delay_D/Rho_a)),(EXP(-Rho_a*LN(A34/Floor_F)/Delta_c)*(-Cost_k*Delta_c*Floor_F/Rho_a)))</f>
        <v>-331.791643074071</v>
      </c>
      <c r="F34" s="22" t="n">
        <f aca="false">ABS(D34-E34)</f>
        <v>1.68138419426822</v>
      </c>
      <c r="H34" s="17" t="n">
        <f aca="false">30+14*$I$5</f>
        <v>37</v>
      </c>
      <c r="I34" s="17" t="n">
        <f aca="false">Ubar_c-Delta_c*H34</f>
        <v>6.38008761204106</v>
      </c>
      <c r="J34" s="11" t="n">
        <f aca="false">(-(Cost_k*Ubar_c+Delay_D)+I34/$I$5*J35)/(Rho_a+I34/$I$5)</f>
        <v>-375.697478674907</v>
      </c>
      <c r="K34" s="11" t="n">
        <f aca="false">MAX(J34,-Delay_D/Rho_a)</f>
        <v>-335.745877992226</v>
      </c>
      <c r="L34" s="11" t="n">
        <f aca="false">IF(H34&lt;Floor_F,MAX((-(Cost_k*Ubar_c+Delay_D)*(1-EXP(-Rho_a*LN((Top_c-H34)/(Top_c-Floor_F))/Delta_c))/Rho_a+EXP(-Rho_a*LN((Top_c-H34)/(Top_c-Floor_F))/Delta_c)*(-Cost_k*Delta_c*Floor_F/Rho_a)),(-Delay_D/Rho_a)),(EXP(-Rho_a*LN(H34/Floor_F)/Delta_c)*(-Cost_k*Delta_c*Floor_F/Rho_a)))</f>
        <v>-335.745877992226</v>
      </c>
      <c r="M34" s="22" t="n">
        <f aca="false">ABS(K34-L34)</f>
        <v>0</v>
      </c>
      <c r="O34" s="17" t="n">
        <f aca="false">30+14*$P$5</f>
        <v>33.5</v>
      </c>
      <c r="P34" s="17" t="n">
        <f aca="false">Ubar_c-Delta_c*O34</f>
        <v>6.73453692382111</v>
      </c>
      <c r="Q34" s="11" t="n">
        <f aca="false">(-(Cost_k*Ubar_c+Delay_D)+P34/$P$5*Q35)/(Rho_a+P34/$P$5)</f>
        <v>-395.254838165301</v>
      </c>
      <c r="R34" s="11" t="n">
        <f aca="false">MAX(Q34,-Delay_D/Rho_a)</f>
        <v>-335.745877992226</v>
      </c>
      <c r="S34" s="11" t="n">
        <f aca="false">IF(O34&lt;Floor_F,MAX((-(Cost_k*Ubar_c+Delay_D)*(1-EXP(-Rho_a*LN((Top_c-O34)/(Top_c-Floor_F))/Delta_c))/Rho_a+EXP(-Rho_a*LN((Top_c-O34)/(Top_c-Floor_F))/Delta_c)*(-Cost_k*Delta_c*Floor_F/Rho_a)),(-Delay_D/Rho_a)),(EXP(-Rho_a*LN(O34/Floor_F)/Delta_c)*(-Cost_k*Delta_c*Floor_F/Rho_a)))</f>
        <v>-335.745877992226</v>
      </c>
      <c r="T34" s="22" t="n">
        <f aca="false">ABS(R34-S34)</f>
        <v>0</v>
      </c>
      <c r="V34" s="17" t="n">
        <f aca="false">30+14*$W$5</f>
        <v>31.75</v>
      </c>
      <c r="W34" s="17" t="n">
        <f aca="false">Ubar_c-Delta_c*V34</f>
        <v>6.91176157971114</v>
      </c>
      <c r="X34" s="11" t="n">
        <f aca="false">(-(Cost_k*Ubar_c+Delay_D)+W34/$W$5*X35)/(Rho_a+W34/$W$5)</f>
        <v>-404.356776365794</v>
      </c>
      <c r="Y34" s="11" t="n">
        <f aca="false">MAX(X34,-Delay_D/Rho_a)</f>
        <v>-335.745877992226</v>
      </c>
      <c r="Z34" s="11" t="n">
        <f aca="false">IF(V34&lt;Floor_F,MAX((-(Cost_k*Ubar_c+Delay_D)*(1-EXP(-Rho_a*LN((Top_c-V34)/(Top_c-Floor_F))/Delta_c))/Rho_a+EXP(-Rho_a*LN((Top_c-V34)/(Top_c-Floor_F))/Delta_c)*(-Cost_k*Delta_c*Floor_F/Rho_a)),(-Delay_D/Rho_a)),(EXP(-Rho_a*LN(V34/Floor_F)/Delta_c)*(-Cost_k*Delta_c*Floor_F/Rho_a)))</f>
        <v>-335.745877992226</v>
      </c>
      <c r="AA34" s="22" t="n">
        <f aca="false">ABS(Y34-Z34)</f>
        <v>0</v>
      </c>
      <c r="AC34" s="17" t="n">
        <f aca="false">30+14*$AD$5</f>
        <v>30.875</v>
      </c>
      <c r="AD34" s="17" t="n">
        <f aca="false">Ubar_c-Delta_c*AC34</f>
        <v>7.00037390765616</v>
      </c>
      <c r="AE34" s="11" t="n">
        <f aca="false">(-(Cost_k*Ubar_c+Delay_D)+AD34/$AD$5*AE35)/(Rho_a+AD34/$AD$5)</f>
        <v>-408.75222169407</v>
      </c>
      <c r="AF34" s="11" t="n">
        <f aca="false">MAX(AE34,-Delay_D/Rho_a)</f>
        <v>-335.745877992226</v>
      </c>
      <c r="AG34" s="11" t="n">
        <f aca="false">IF(AC34&lt;Floor_F,MAX((-(Cost_k*Ubar_c+Delay_D)*(1-EXP(-Rho_a*LN((Top_c-AC34)/(Top_c-Floor_F))/Delta_c))/Rho_a+EXP(-Rho_a*LN((Top_c-AC34)/(Top_c-Floor_F))/Delta_c)*(-Cost_k*Delta_c*Floor_F/Rho_a)),(-Delay_D/Rho_a)),(EXP(-Rho_a*LN(AC34/Floor_F)/Delta_c)*(-Cost_k*Delta_c*Floor_F/Rho_a)))</f>
        <v>-335.745877992226</v>
      </c>
      <c r="AH34" s="22" t="n">
        <f aca="false">ABS(AF34-AG34)</f>
        <v>0</v>
      </c>
    </row>
    <row r="35" customFormat="false" ht="15" hidden="false" customHeight="false" outlineLevel="0" collapsed="false">
      <c r="A35" s="17" t="n">
        <f aca="false">30+15*$B$5</f>
        <v>45</v>
      </c>
      <c r="B35" s="17" t="n">
        <f aca="false">Ubar_c-Delta_c*A35</f>
        <v>5.56991775654378</v>
      </c>
      <c r="C35" s="11" t="n">
        <f aca="false">(-(Cost_k*Ubar_c+Delay_D)+B35/$B$5*C36)/(Rho_a+B35/$B$5)</f>
        <v>-322.872689345593</v>
      </c>
      <c r="D35" s="11" t="n">
        <f aca="false">MAX(C35,-Delay_D/Rho_a)</f>
        <v>-322.872689345593</v>
      </c>
      <c r="E35" s="11" t="n">
        <f aca="false">IF(A35&lt;Floor_F,MAX((-(Cost_k*Ubar_c+Delay_D)*(1-EXP(-Rho_a*LN((Top_c-A35)/(Top_c-Floor_F))/Delta_c))/Rho_a+EXP(-Rho_a*LN((Top_c-A35)/(Top_c-Floor_F))/Delta_c)*(-Cost_k*Delta_c*Floor_F/Rho_a)),(-Delay_D/Rho_a)),(EXP(-Rho_a*LN(A35/Floor_F)/Delta_c)*(-Cost_k*Delta_c*Floor_F/Rho_a)))</f>
        <v>-324.455155485324</v>
      </c>
      <c r="F35" s="22" t="n">
        <f aca="false">ABS(D35-E35)</f>
        <v>1.58246613973125</v>
      </c>
      <c r="H35" s="17" t="n">
        <f aca="false">30+15*$I$5</f>
        <v>37.5</v>
      </c>
      <c r="I35" s="17" t="n">
        <f aca="false">Ubar_c-Delta_c*H35</f>
        <v>6.32945199607248</v>
      </c>
      <c r="J35" s="11" t="n">
        <f aca="false">(-(Cost_k*Ubar_c+Delay_D)+I35/$I$5*J36)/(Rho_a+I35/$I$5)</f>
        <v>-372.821287879261</v>
      </c>
      <c r="K35" s="11" t="n">
        <f aca="false">MAX(J35,-Delay_D/Rho_a)</f>
        <v>-335.745877992226</v>
      </c>
      <c r="L35" s="11" t="n">
        <f aca="false">IF(H35&lt;Floor_F,MAX((-(Cost_k*Ubar_c+Delay_D)*(1-EXP(-Rho_a*LN((Top_c-H35)/(Top_c-Floor_F))/Delta_c))/Rho_a+EXP(-Rho_a*LN((Top_c-H35)/(Top_c-Floor_F))/Delta_c)*(-Cost_k*Delta_c*Floor_F/Rho_a)),(-Delay_D/Rho_a)),(EXP(-Rho_a*LN(H35/Floor_F)/Delta_c)*(-Cost_k*Delta_c*Floor_F/Rho_a)))</f>
        <v>-335.745877992226</v>
      </c>
      <c r="M35" s="22" t="n">
        <f aca="false">ABS(K35-L35)</f>
        <v>0</v>
      </c>
      <c r="O35" s="17" t="n">
        <f aca="false">30+15*$P$5</f>
        <v>33.75</v>
      </c>
      <c r="P35" s="17" t="n">
        <f aca="false">Ubar_c-Delta_c*O35</f>
        <v>6.70921911583682</v>
      </c>
      <c r="Q35" s="11" t="n">
        <f aca="false">(-(Cost_k*Ubar_c+Delay_D)+P35/$P$5*Q36)/(Rho_a+P35/$P$5)</f>
        <v>-393.961628124475</v>
      </c>
      <c r="R35" s="11" t="n">
        <f aca="false">MAX(Q35,-Delay_D/Rho_a)</f>
        <v>-335.745877992226</v>
      </c>
      <c r="S35" s="11" t="n">
        <f aca="false">IF(O35&lt;Floor_F,MAX((-(Cost_k*Ubar_c+Delay_D)*(1-EXP(-Rho_a*LN((Top_c-O35)/(Top_c-Floor_F))/Delta_c))/Rho_a+EXP(-Rho_a*LN((Top_c-O35)/(Top_c-Floor_F))/Delta_c)*(-Cost_k*Delta_c*Floor_F/Rho_a)),(-Delay_D/Rho_a)),(EXP(-Rho_a*LN(O35/Floor_F)/Delta_c)*(-Cost_k*Delta_c*Floor_F/Rho_a)))</f>
        <v>-335.745877992226</v>
      </c>
      <c r="T35" s="22" t="n">
        <f aca="false">ABS(R35-S35)</f>
        <v>0</v>
      </c>
      <c r="V35" s="17" t="n">
        <f aca="false">30+15*$W$5</f>
        <v>31.875</v>
      </c>
      <c r="W35" s="17" t="n">
        <f aca="false">Ubar_c-Delta_c*V35</f>
        <v>6.899102675719</v>
      </c>
      <c r="X35" s="11" t="n">
        <f aca="false">(-(Cost_k*Ubar_c+Delay_D)+W35/$W$5*X36)/(Rho_a+W35/$W$5)</f>
        <v>-403.742439931395</v>
      </c>
      <c r="Y35" s="11" t="n">
        <f aca="false">MAX(X35,-Delay_D/Rho_a)</f>
        <v>-335.745877992226</v>
      </c>
      <c r="Z35" s="11" t="n">
        <f aca="false">IF(V35&lt;Floor_F,MAX((-(Cost_k*Ubar_c+Delay_D)*(1-EXP(-Rho_a*LN((Top_c-V35)/(Top_c-Floor_F))/Delta_c))/Rho_a+EXP(-Rho_a*LN((Top_c-V35)/(Top_c-Floor_F))/Delta_c)*(-Cost_k*Delta_c*Floor_F/Rho_a)),(-Delay_D/Rho_a)),(EXP(-Rho_a*LN(V35/Floor_F)/Delta_c)*(-Cost_k*Delta_c*Floor_F/Rho_a)))</f>
        <v>-335.745877992226</v>
      </c>
      <c r="AA35" s="22" t="n">
        <f aca="false">ABS(Y35-Z35)</f>
        <v>0</v>
      </c>
      <c r="AC35" s="17" t="n">
        <f aca="false">30+15*$AD$5</f>
        <v>30.9375</v>
      </c>
      <c r="AD35" s="17" t="n">
        <f aca="false">Ubar_c-Delta_c*AC35</f>
        <v>6.99404445566008</v>
      </c>
      <c r="AE35" s="11" t="n">
        <f aca="false">(-(Cost_k*Ubar_c+Delay_D)+AD35/$AD$5*AE36)/(Rho_a+AD35/$AD$5)</f>
        <v>-408.452681934905</v>
      </c>
      <c r="AF35" s="11" t="n">
        <f aca="false">MAX(AE35,-Delay_D/Rho_a)</f>
        <v>-335.745877992226</v>
      </c>
      <c r="AG35" s="11" t="n">
        <f aca="false">IF(AC35&lt;Floor_F,MAX((-(Cost_k*Ubar_c+Delay_D)*(1-EXP(-Rho_a*LN((Top_c-AC35)/(Top_c-Floor_F))/Delta_c))/Rho_a+EXP(-Rho_a*LN((Top_c-AC35)/(Top_c-Floor_F))/Delta_c)*(-Cost_k*Delta_c*Floor_F/Rho_a)),(-Delay_D/Rho_a)),(EXP(-Rho_a*LN(AC35/Floor_F)/Delta_c)*(-Cost_k*Delta_c*Floor_F/Rho_a)))</f>
        <v>-335.745877992226</v>
      </c>
      <c r="AH35" s="22" t="n">
        <f aca="false">ABS(AF35-AG35)</f>
        <v>0</v>
      </c>
    </row>
    <row r="36" customFormat="false" ht="15" hidden="false" customHeight="false" outlineLevel="0" collapsed="false">
      <c r="A36" s="17" t="n">
        <f aca="false">30+16*$B$5</f>
        <v>46</v>
      </c>
      <c r="B36" s="17" t="n">
        <f aca="false">Ubar_c-Delta_c*A36</f>
        <v>5.46864652460662</v>
      </c>
      <c r="C36" s="11" t="n">
        <f aca="false">(-(Cost_k*Ubar_c+Delay_D)+B36/$B$5*C37)/(Rho_a+B36/$B$5)</f>
        <v>-315.379681275519</v>
      </c>
      <c r="D36" s="11" t="n">
        <f aca="false">MAX(C36,-Delay_D/Rho_a)</f>
        <v>-315.379681275519</v>
      </c>
      <c r="E36" s="11" t="n">
        <f aca="false">IF(A36&lt;Floor_F,MAX((-(Cost_k*Ubar_c+Delay_D)*(1-EXP(-Rho_a*LN((Top_c-A36)/(Top_c-Floor_F))/Delta_c))/Rho_a+EXP(-Rho_a*LN((Top_c-A36)/(Top_c-Floor_F))/Delta_c)*(-Cost_k*Delta_c*Floor_F/Rho_a)),(-Delay_D/Rho_a)),(EXP(-Rho_a*LN(A36/Floor_F)/Delta_c)*(-Cost_k*Delta_c*Floor_F/Rho_a)))</f>
        <v>-316.855085587942</v>
      </c>
      <c r="F36" s="22" t="n">
        <f aca="false">ABS(D36-E36)</f>
        <v>1.47540431242322</v>
      </c>
      <c r="H36" s="17" t="n">
        <f aca="false">30+16*$I$5</f>
        <v>38</v>
      </c>
      <c r="I36" s="17" t="n">
        <f aca="false">Ubar_c-Delta_c*H36</f>
        <v>6.2788163801039</v>
      </c>
      <c r="J36" s="11" t="n">
        <f aca="false">(-(Cost_k*Ubar_c+Delay_D)+I36/$I$5*J37)/(Rho_a+I36/$I$5)</f>
        <v>-369.900432423279</v>
      </c>
      <c r="K36" s="11" t="n">
        <f aca="false">MAX(J36,-Delay_D/Rho_a)</f>
        <v>-335.745877992226</v>
      </c>
      <c r="L36" s="11" t="n">
        <f aca="false">IF(H36&lt;Floor_F,MAX((-(Cost_k*Ubar_c+Delay_D)*(1-EXP(-Rho_a*LN((Top_c-H36)/(Top_c-Floor_F))/Delta_c))/Rho_a+EXP(-Rho_a*LN((Top_c-H36)/(Top_c-Floor_F))/Delta_c)*(-Cost_k*Delta_c*Floor_F/Rho_a)),(-Delay_D/Rho_a)),(EXP(-Rho_a*LN(H36/Floor_F)/Delta_c)*(-Cost_k*Delta_c*Floor_F/Rho_a)))</f>
        <v>-335.745877992226</v>
      </c>
      <c r="M36" s="22" t="n">
        <f aca="false">ABS(K36-L36)</f>
        <v>0</v>
      </c>
      <c r="O36" s="17" t="n">
        <f aca="false">30+16*$P$5</f>
        <v>34</v>
      </c>
      <c r="P36" s="17" t="n">
        <f aca="false">Ubar_c-Delta_c*O36</f>
        <v>6.68390130785253</v>
      </c>
      <c r="Q36" s="11" t="n">
        <f aca="false">(-(Cost_k*Ubar_c+Delay_D)+P36/$P$5*Q37)/(Rho_a+P36/$P$5)</f>
        <v>-392.658945257859</v>
      </c>
      <c r="R36" s="11" t="n">
        <f aca="false">MAX(Q36,-Delay_D/Rho_a)</f>
        <v>-335.745877992226</v>
      </c>
      <c r="S36" s="11" t="n">
        <f aca="false">IF(O36&lt;Floor_F,MAX((-(Cost_k*Ubar_c+Delay_D)*(1-EXP(-Rho_a*LN((Top_c-O36)/(Top_c-Floor_F))/Delta_c))/Rho_a+EXP(-Rho_a*LN((Top_c-O36)/(Top_c-Floor_F))/Delta_c)*(-Cost_k*Delta_c*Floor_F/Rho_a)),(-Delay_D/Rho_a)),(EXP(-Rho_a*LN(O36/Floor_F)/Delta_c)*(-Cost_k*Delta_c*Floor_F/Rho_a)))</f>
        <v>-335.745877992226</v>
      </c>
      <c r="T36" s="22" t="n">
        <f aca="false">ABS(R36-S36)</f>
        <v>0</v>
      </c>
      <c r="V36" s="17" t="n">
        <f aca="false">30+16*$W$5</f>
        <v>32</v>
      </c>
      <c r="W36" s="17" t="n">
        <f aca="false">Ubar_c-Delta_c*V36</f>
        <v>6.88644377172685</v>
      </c>
      <c r="X36" s="11" t="n">
        <f aca="false">(-(Cost_k*Ubar_c+Delay_D)+W36/$W$5*X37)/(Rho_a+W36/$W$5)</f>
        <v>-403.125915402232</v>
      </c>
      <c r="Y36" s="11" t="n">
        <f aca="false">MAX(X36,-Delay_D/Rho_a)</f>
        <v>-335.745877992226</v>
      </c>
      <c r="Z36" s="11" t="n">
        <f aca="false">IF(V36&lt;Floor_F,MAX((-(Cost_k*Ubar_c+Delay_D)*(1-EXP(-Rho_a*LN((Top_c-V36)/(Top_c-Floor_F))/Delta_c))/Rho_a+EXP(-Rho_a*LN((Top_c-V36)/(Top_c-Floor_F))/Delta_c)*(-Cost_k*Delta_c*Floor_F/Rho_a)),(-Delay_D/Rho_a)),(EXP(-Rho_a*LN(V36/Floor_F)/Delta_c)*(-Cost_k*Delta_c*Floor_F/Rho_a)))</f>
        <v>-335.745877992226</v>
      </c>
      <c r="AA36" s="22" t="n">
        <f aca="false">ABS(Y36-Z36)</f>
        <v>0</v>
      </c>
      <c r="AC36" s="17" t="n">
        <f aca="false">30+16*$AD$5</f>
        <v>31</v>
      </c>
      <c r="AD36" s="17" t="n">
        <f aca="false">Ubar_c-Delta_c*AC36</f>
        <v>6.98771500366401</v>
      </c>
      <c r="AE36" s="11" t="n">
        <f aca="false">(-(Cost_k*Ubar_c+Delay_D)+AD36/$AD$5*AE37)/(Rho_a+AD36/$AD$5)</f>
        <v>-408.152615978514</v>
      </c>
      <c r="AF36" s="11" t="n">
        <f aca="false">MAX(AE36,-Delay_D/Rho_a)</f>
        <v>-335.745877992226</v>
      </c>
      <c r="AG36" s="11" t="n">
        <f aca="false">IF(AC36&lt;Floor_F,MAX((-(Cost_k*Ubar_c+Delay_D)*(1-EXP(-Rho_a*LN((Top_c-AC36)/(Top_c-Floor_F))/Delta_c))/Rho_a+EXP(-Rho_a*LN((Top_c-AC36)/(Top_c-Floor_F))/Delta_c)*(-Cost_k*Delta_c*Floor_F/Rho_a)),(-Delay_D/Rho_a)),(EXP(-Rho_a*LN(AC36/Floor_F)/Delta_c)*(-Cost_k*Delta_c*Floor_F/Rho_a)))</f>
        <v>-335.745877992226</v>
      </c>
      <c r="AH36" s="22" t="n">
        <f aca="false">ABS(AF36-AG36)</f>
        <v>0</v>
      </c>
    </row>
    <row r="37" customFormat="false" ht="15" hidden="false" customHeight="false" outlineLevel="0" collapsed="false">
      <c r="A37" s="17" t="n">
        <f aca="false">30+17*$B$5</f>
        <v>47</v>
      </c>
      <c r="B37" s="17" t="n">
        <f aca="false">Ubar_c-Delta_c*A37</f>
        <v>5.36737529266946</v>
      </c>
      <c r="C37" s="11" t="n">
        <f aca="false">(-(Cost_k*Ubar_c+Delay_D)+B37/$B$5*C38)/(Rho_a+B37/$B$5)</f>
        <v>-307.617322078438</v>
      </c>
      <c r="D37" s="11" t="n">
        <f aca="false">MAX(C37,-Delay_D/Rho_a)</f>
        <v>-307.617322078438</v>
      </c>
      <c r="E37" s="11" t="n">
        <f aca="false">IF(A37&lt;Floor_F,MAX((-(Cost_k*Ubar_c+Delay_D)*(1-EXP(-Rho_a*LN((Top_c-A37)/(Top_c-Floor_F))/Delta_c))/Rho_a+EXP(-Rho_a*LN((Top_c-A37)/(Top_c-Floor_F))/Delta_c)*(-Cost_k*Delta_c*Floor_F/Rho_a)),(-Delay_D/Rho_a)),(EXP(-Rho_a*LN(A37/Floor_F)/Delta_c)*(-Cost_k*Delta_c*Floor_F/Rho_a)))</f>
        <v>-308.97681438546</v>
      </c>
      <c r="F37" s="22" t="n">
        <f aca="false">ABS(D37-E37)</f>
        <v>1.35949230702136</v>
      </c>
      <c r="H37" s="17" t="n">
        <f aca="false">30+17*$I$5</f>
        <v>38.5</v>
      </c>
      <c r="I37" s="17" t="n">
        <f aca="false">Ubar_c-Delta_c*H37</f>
        <v>6.22818076413532</v>
      </c>
      <c r="J37" s="11" t="n">
        <f aca="false">(-(Cost_k*Ubar_c+Delay_D)+I37/$I$5*J38)/(Rho_a+I37/$I$5)</f>
        <v>-366.933852912454</v>
      </c>
      <c r="K37" s="11" t="n">
        <f aca="false">MAX(J37,-Delay_D/Rho_a)</f>
        <v>-335.745877992226</v>
      </c>
      <c r="L37" s="11" t="n">
        <f aca="false">IF(H37&lt;Floor_F,MAX((-(Cost_k*Ubar_c+Delay_D)*(1-EXP(-Rho_a*LN((Top_c-H37)/(Top_c-Floor_F))/Delta_c))/Rho_a+EXP(-Rho_a*LN((Top_c-H37)/(Top_c-Floor_F))/Delta_c)*(-Cost_k*Delta_c*Floor_F/Rho_a)),(-Delay_D/Rho_a)),(EXP(-Rho_a*LN(H37/Floor_F)/Delta_c)*(-Cost_k*Delta_c*Floor_F/Rho_a)))</f>
        <v>-335.745877992226</v>
      </c>
      <c r="M37" s="22" t="n">
        <f aca="false">ABS(K37-L37)</f>
        <v>0</v>
      </c>
      <c r="O37" s="17" t="n">
        <f aca="false">30+17*$P$5</f>
        <v>34.25</v>
      </c>
      <c r="P37" s="17" t="n">
        <f aca="false">Ubar_c-Delta_c*O37</f>
        <v>6.65858349986824</v>
      </c>
      <c r="Q37" s="11" t="n">
        <f aca="false">(-(Cost_k*Ubar_c+Delay_D)+P37/$P$5*Q38)/(Rho_a+P37/$P$5)</f>
        <v>-391.346684031794</v>
      </c>
      <c r="R37" s="11" t="n">
        <f aca="false">MAX(Q37,-Delay_D/Rho_a)</f>
        <v>-335.745877992226</v>
      </c>
      <c r="S37" s="11" t="n">
        <f aca="false">IF(O37&lt;Floor_F,MAX((-(Cost_k*Ubar_c+Delay_D)*(1-EXP(-Rho_a*LN((Top_c-O37)/(Top_c-Floor_F))/Delta_c))/Rho_a+EXP(-Rho_a*LN((Top_c-O37)/(Top_c-Floor_F))/Delta_c)*(-Cost_k*Delta_c*Floor_F/Rho_a)),(-Delay_D/Rho_a)),(EXP(-Rho_a*LN(O37/Floor_F)/Delta_c)*(-Cost_k*Delta_c*Floor_F/Rho_a)))</f>
        <v>-335.745877992226</v>
      </c>
      <c r="T37" s="22" t="n">
        <f aca="false">ABS(R37-S37)</f>
        <v>0</v>
      </c>
      <c r="V37" s="17" t="n">
        <f aca="false">30+17*$W$5</f>
        <v>32.125</v>
      </c>
      <c r="W37" s="17" t="n">
        <f aca="false">Ubar_c-Delta_c*V37</f>
        <v>6.87378486773471</v>
      </c>
      <c r="X37" s="11" t="n">
        <f aca="false">(-(Cost_k*Ubar_c+Delay_D)+W37/$W$5*X38)/(Rho_a+W37/$W$5)</f>
        <v>-402.507190948363</v>
      </c>
      <c r="Y37" s="11" t="n">
        <f aca="false">MAX(X37,-Delay_D/Rho_a)</f>
        <v>-335.745877992226</v>
      </c>
      <c r="Z37" s="11" t="n">
        <f aca="false">IF(V37&lt;Floor_F,MAX((-(Cost_k*Ubar_c+Delay_D)*(1-EXP(-Rho_a*LN((Top_c-V37)/(Top_c-Floor_F))/Delta_c))/Rho_a+EXP(-Rho_a*LN((Top_c-V37)/(Top_c-Floor_F))/Delta_c)*(-Cost_k*Delta_c*Floor_F/Rho_a)),(-Delay_D/Rho_a)),(EXP(-Rho_a*LN(V37/Floor_F)/Delta_c)*(-Cost_k*Delta_c*Floor_F/Rho_a)))</f>
        <v>-335.745877992226</v>
      </c>
      <c r="AA37" s="22" t="n">
        <f aca="false">ABS(Y37-Z37)</f>
        <v>0</v>
      </c>
      <c r="AC37" s="17" t="n">
        <f aca="false">30+17*$AD$5</f>
        <v>31.0625</v>
      </c>
      <c r="AD37" s="17" t="n">
        <f aca="false">Ubar_c-Delta_c*AC37</f>
        <v>6.98138555166794</v>
      </c>
      <c r="AE37" s="11" t="n">
        <f aca="false">(-(Cost_k*Ubar_c+Delay_D)+AD37/$AD$5*AE38)/(Rho_a+AD37/$AD$5)</f>
        <v>-407.852022423068</v>
      </c>
      <c r="AF37" s="11" t="n">
        <f aca="false">MAX(AE37,-Delay_D/Rho_a)</f>
        <v>-335.745877992226</v>
      </c>
      <c r="AG37" s="11" t="n">
        <f aca="false">IF(AC37&lt;Floor_F,MAX((-(Cost_k*Ubar_c+Delay_D)*(1-EXP(-Rho_a*LN((Top_c-AC37)/(Top_c-Floor_F))/Delta_c))/Rho_a+EXP(-Rho_a*LN((Top_c-AC37)/(Top_c-Floor_F))/Delta_c)*(-Cost_k*Delta_c*Floor_F/Rho_a)),(-Delay_D/Rho_a)),(EXP(-Rho_a*LN(AC37/Floor_F)/Delta_c)*(-Cost_k*Delta_c*Floor_F/Rho_a)))</f>
        <v>-335.745877992226</v>
      </c>
      <c r="AH37" s="22" t="n">
        <f aca="false">ABS(AF37-AG37)</f>
        <v>0</v>
      </c>
    </row>
    <row r="38" customFormat="false" ht="15" hidden="false" customHeight="false" outlineLevel="0" collapsed="false">
      <c r="A38" s="17" t="n">
        <f aca="false">30+18*$B$5</f>
        <v>48</v>
      </c>
      <c r="B38" s="17" t="n">
        <f aca="false">Ubar_c-Delta_c*A38</f>
        <v>5.2661040607323</v>
      </c>
      <c r="C38" s="11" t="n">
        <f aca="false">(-(Cost_k*Ubar_c+Delay_D)+B38/$B$5*C39)/(Rho_a+B38/$B$5)</f>
        <v>-299.570664607769</v>
      </c>
      <c r="D38" s="11" t="n">
        <f aca="false">MAX(C38,-Delay_D/Rho_a)</f>
        <v>-299.570664607769</v>
      </c>
      <c r="E38" s="11" t="n">
        <f aca="false">IF(A38&lt;Floor_F,MAX((-(Cost_k*Ubar_c+Delay_D)*(1-EXP(-Rho_a*LN((Top_c-A38)/(Top_c-Floor_F))/Delta_c))/Rho_a+EXP(-Rho_a*LN((Top_c-A38)/(Top_c-Floor_F))/Delta_c)*(-Cost_k*Delta_c*Floor_F/Rho_a)),(-Delay_D/Rho_a)),(EXP(-Rho_a*LN(A38/Floor_F)/Delta_c)*(-Cost_k*Delta_c*Floor_F/Rho_a)))</f>
        <v>-300.804615508623</v>
      </c>
      <c r="F38" s="22" t="n">
        <f aca="false">ABS(D38-E38)</f>
        <v>1.23395090085347</v>
      </c>
      <c r="H38" s="17" t="n">
        <f aca="false">30+18*$I$5</f>
        <v>39</v>
      </c>
      <c r="I38" s="17" t="n">
        <f aca="false">Ubar_c-Delta_c*H38</f>
        <v>6.17754514816674</v>
      </c>
      <c r="J38" s="11" t="n">
        <f aca="false">(-(Cost_k*Ubar_c+Delay_D)+I38/$I$5*J39)/(Rho_a+I38/$I$5)</f>
        <v>-363.920456007403</v>
      </c>
      <c r="K38" s="11" t="n">
        <f aca="false">MAX(J38,-Delay_D/Rho_a)</f>
        <v>-335.745877992226</v>
      </c>
      <c r="L38" s="11" t="n">
        <f aca="false">IF(H38&lt;Floor_F,MAX((-(Cost_k*Ubar_c+Delay_D)*(1-EXP(-Rho_a*LN((Top_c-H38)/(Top_c-Floor_F))/Delta_c))/Rho_a+EXP(-Rho_a*LN((Top_c-H38)/(Top_c-Floor_F))/Delta_c)*(-Cost_k*Delta_c*Floor_F/Rho_a)),(-Delay_D/Rho_a)),(EXP(-Rho_a*LN(H38/Floor_F)/Delta_c)*(-Cost_k*Delta_c*Floor_F/Rho_a)))</f>
        <v>-335.745877992226</v>
      </c>
      <c r="M38" s="22" t="n">
        <f aca="false">ABS(K38-L38)</f>
        <v>0</v>
      </c>
      <c r="O38" s="17" t="n">
        <f aca="false">30+18*$P$5</f>
        <v>34.5</v>
      </c>
      <c r="P38" s="17" t="n">
        <f aca="false">Ubar_c-Delta_c*O38</f>
        <v>6.63326569188395</v>
      </c>
      <c r="Q38" s="11" t="n">
        <f aca="false">(-(Cost_k*Ubar_c+Delay_D)+P38/$P$5*Q39)/(Rho_a+P38/$P$5)</f>
        <v>-390.024737331168</v>
      </c>
      <c r="R38" s="11" t="n">
        <f aca="false">MAX(Q38,-Delay_D/Rho_a)</f>
        <v>-335.745877992226</v>
      </c>
      <c r="S38" s="11" t="n">
        <f aca="false">IF(O38&lt;Floor_F,MAX((-(Cost_k*Ubar_c+Delay_D)*(1-EXP(-Rho_a*LN((Top_c-O38)/(Top_c-Floor_F))/Delta_c))/Rho_a+EXP(-Rho_a*LN((Top_c-O38)/(Top_c-Floor_F))/Delta_c)*(-Cost_k*Delta_c*Floor_F/Rho_a)),(-Delay_D/Rho_a)),(EXP(-Rho_a*LN(O38/Floor_F)/Delta_c)*(-Cost_k*Delta_c*Floor_F/Rho_a)))</f>
        <v>-335.745877992226</v>
      </c>
      <c r="T38" s="22" t="n">
        <f aca="false">ABS(R38-S38)</f>
        <v>0</v>
      </c>
      <c r="V38" s="17" t="n">
        <f aca="false">30+18*$W$5</f>
        <v>32.25</v>
      </c>
      <c r="W38" s="17" t="n">
        <f aca="false">Ubar_c-Delta_c*V38</f>
        <v>6.86112596374256</v>
      </c>
      <c r="X38" s="11" t="n">
        <f aca="false">(-(Cost_k*Ubar_c+Delay_D)+W38/$W$5*X39)/(Rho_a+W38/$W$5)</f>
        <v>-401.886254653984</v>
      </c>
      <c r="Y38" s="11" t="n">
        <f aca="false">MAX(X38,-Delay_D/Rho_a)</f>
        <v>-335.745877992226</v>
      </c>
      <c r="Z38" s="11" t="n">
        <f aca="false">IF(V38&lt;Floor_F,MAX((-(Cost_k*Ubar_c+Delay_D)*(1-EXP(-Rho_a*LN((Top_c-V38)/(Top_c-Floor_F))/Delta_c))/Rho_a+EXP(-Rho_a*LN((Top_c-V38)/(Top_c-Floor_F))/Delta_c)*(-Cost_k*Delta_c*Floor_F/Rho_a)),(-Delay_D/Rho_a)),(EXP(-Rho_a*LN(V38/Floor_F)/Delta_c)*(-Cost_k*Delta_c*Floor_F/Rho_a)))</f>
        <v>-335.745877992226</v>
      </c>
      <c r="AA38" s="22" t="n">
        <f aca="false">ABS(Y38-Z38)</f>
        <v>0</v>
      </c>
      <c r="AC38" s="17" t="n">
        <f aca="false">30+18*$AD$5</f>
        <v>31.125</v>
      </c>
      <c r="AD38" s="17" t="n">
        <f aca="false">Ubar_c-Delta_c*AC38</f>
        <v>6.97505609967187</v>
      </c>
      <c r="AE38" s="11" t="n">
        <f aca="false">(-(Cost_k*Ubar_c+Delay_D)+AD38/$AD$5*AE39)/(Rho_a+AD38/$AD$5)</f>
        <v>-407.55089986173</v>
      </c>
      <c r="AF38" s="11" t="n">
        <f aca="false">MAX(AE38,-Delay_D/Rho_a)</f>
        <v>-335.745877992226</v>
      </c>
      <c r="AG38" s="11" t="n">
        <f aca="false">IF(AC38&lt;Floor_F,MAX((-(Cost_k*Ubar_c+Delay_D)*(1-EXP(-Rho_a*LN((Top_c-AC38)/(Top_c-Floor_F))/Delta_c))/Rho_a+EXP(-Rho_a*LN((Top_c-AC38)/(Top_c-Floor_F))/Delta_c)*(-Cost_k*Delta_c*Floor_F/Rho_a)),(-Delay_D/Rho_a)),(EXP(-Rho_a*LN(AC38/Floor_F)/Delta_c)*(-Cost_k*Delta_c*Floor_F/Rho_a)))</f>
        <v>-335.745877992226</v>
      </c>
      <c r="AH38" s="22" t="n">
        <f aca="false">ABS(AF38-AG38)</f>
        <v>0</v>
      </c>
    </row>
    <row r="39" customFormat="false" ht="15" hidden="false" customHeight="false" outlineLevel="0" collapsed="false">
      <c r="A39" s="17" t="n">
        <f aca="false">30+19*$B$5</f>
        <v>49</v>
      </c>
      <c r="B39" s="17" t="n">
        <f aca="false">Ubar_c-Delta_c*A39</f>
        <v>5.16483282879514</v>
      </c>
      <c r="C39" s="11" t="n">
        <f aca="false">(-(Cost_k*Ubar_c+Delay_D)+B39/$B$5*C40)/(Rho_a+B39/$B$5)</f>
        <v>-291.22362885609</v>
      </c>
      <c r="D39" s="11" t="n">
        <f aca="false">MAX(C39,-Delay_D/Rho_a)</f>
        <v>-291.22362885609</v>
      </c>
      <c r="E39" s="11" t="n">
        <f aca="false">IF(A39&lt;Floor_F,MAX((-(Cost_k*Ubar_c+Delay_D)*(1-EXP(-Rho_a*LN((Top_c-A39)/(Top_c-Floor_F))/Delta_c))/Rho_a+EXP(-Rho_a*LN((Top_c-A39)/(Top_c-Floor_F))/Delta_c)*(-Cost_k*Delta_c*Floor_F/Rho_a)),(-Delay_D/Rho_a)),(EXP(-Rho_a*LN(A39/Floor_F)/Delta_c)*(-Cost_k*Delta_c*Floor_F/Rho_a)))</f>
        <v>-292.321547988252</v>
      </c>
      <c r="F39" s="22" t="n">
        <f aca="false">ABS(D39-E39)</f>
        <v>1.09791913216156</v>
      </c>
      <c r="H39" s="17" t="n">
        <f aca="false">30+19*$I$5</f>
        <v>39.5</v>
      </c>
      <c r="I39" s="17" t="n">
        <f aca="false">Ubar_c-Delta_c*H39</f>
        <v>6.12690953219816</v>
      </c>
      <c r="J39" s="11" t="n">
        <f aca="false">(-(Cost_k*Ubar_c+Delay_D)+I39/$I$5*J40)/(Rho_a+I39/$I$5)</f>
        <v>-360.859113049063</v>
      </c>
      <c r="K39" s="11" t="n">
        <f aca="false">MAX(J39,-Delay_D/Rho_a)</f>
        <v>-335.745877992226</v>
      </c>
      <c r="L39" s="11" t="n">
        <f aca="false">IF(H39&lt;Floor_F,MAX((-(Cost_k*Ubar_c+Delay_D)*(1-EXP(-Rho_a*LN((Top_c-H39)/(Top_c-Floor_F))/Delta_c))/Rho_a+EXP(-Rho_a*LN((Top_c-H39)/(Top_c-Floor_F))/Delta_c)*(-Cost_k*Delta_c*Floor_F/Rho_a)),(-Delay_D/Rho_a)),(EXP(-Rho_a*LN(H39/Floor_F)/Delta_c)*(-Cost_k*Delta_c*Floor_F/Rho_a)))</f>
        <v>-335.745877992226</v>
      </c>
      <c r="M39" s="22" t="n">
        <f aca="false">ABS(K39-L39)</f>
        <v>0</v>
      </c>
      <c r="O39" s="17" t="n">
        <f aca="false">30+19*$P$5</f>
        <v>34.75</v>
      </c>
      <c r="P39" s="17" t="n">
        <f aca="false">Ubar_c-Delta_c*O39</f>
        <v>6.60794788389966</v>
      </c>
      <c r="Q39" s="11" t="n">
        <f aca="false">(-(Cost_k*Ubar_c+Delay_D)+P39/$P$5*Q40)/(Rho_a+P39/$P$5)</f>
        <v>-388.692996429589</v>
      </c>
      <c r="R39" s="11" t="n">
        <f aca="false">MAX(Q39,-Delay_D/Rho_a)</f>
        <v>-335.745877992226</v>
      </c>
      <c r="S39" s="11" t="n">
        <f aca="false">IF(O39&lt;Floor_F,MAX((-(Cost_k*Ubar_c+Delay_D)*(1-EXP(-Rho_a*LN((Top_c-O39)/(Top_c-Floor_F))/Delta_c))/Rho_a+EXP(-Rho_a*LN((Top_c-O39)/(Top_c-Floor_F))/Delta_c)*(-Cost_k*Delta_c*Floor_F/Rho_a)),(-Delay_D/Rho_a)),(EXP(-Rho_a*LN(O39/Floor_F)/Delta_c)*(-Cost_k*Delta_c*Floor_F/Rho_a)))</f>
        <v>-335.745877992226</v>
      </c>
      <c r="T39" s="22" t="n">
        <f aca="false">ABS(R39-S39)</f>
        <v>0</v>
      </c>
      <c r="V39" s="17" t="n">
        <f aca="false">30+19*$W$5</f>
        <v>32.375</v>
      </c>
      <c r="W39" s="17" t="n">
        <f aca="false">Ubar_c-Delta_c*V39</f>
        <v>6.84846705975042</v>
      </c>
      <c r="X39" s="11" t="n">
        <f aca="false">(-(Cost_k*Ubar_c+Delay_D)+W39/$W$5*X40)/(Rho_a+W39/$W$5)</f>
        <v>-401.263094516645</v>
      </c>
      <c r="Y39" s="11" t="n">
        <f aca="false">MAX(X39,-Delay_D/Rho_a)</f>
        <v>-335.745877992226</v>
      </c>
      <c r="Z39" s="11" t="n">
        <f aca="false">IF(V39&lt;Floor_F,MAX((-(Cost_k*Ubar_c+Delay_D)*(1-EXP(-Rho_a*LN((Top_c-V39)/(Top_c-Floor_F))/Delta_c))/Rho_a+EXP(-Rho_a*LN((Top_c-V39)/(Top_c-Floor_F))/Delta_c)*(-Cost_k*Delta_c*Floor_F/Rho_a)),(-Delay_D/Rho_a)),(EXP(-Rho_a*LN(V39/Floor_F)/Delta_c)*(-Cost_k*Delta_c*Floor_F/Rho_a)))</f>
        <v>-335.745877992226</v>
      </c>
      <c r="AA39" s="22" t="n">
        <f aca="false">ABS(Y39-Z39)</f>
        <v>0</v>
      </c>
      <c r="AC39" s="17" t="n">
        <f aca="false">30+19*$AD$5</f>
        <v>31.1875</v>
      </c>
      <c r="AD39" s="17" t="n">
        <f aca="false">Ubar_c-Delta_c*AC39</f>
        <v>6.9687266476758</v>
      </c>
      <c r="AE39" s="11" t="n">
        <f aca="false">(-(Cost_k*Ubar_c+Delay_D)+AD39/$AD$5*AE40)/(Rho_a+AD39/$AD$5)</f>
        <v>-407.24924688263</v>
      </c>
      <c r="AF39" s="11" t="n">
        <f aca="false">MAX(AE39,-Delay_D/Rho_a)</f>
        <v>-335.745877992226</v>
      </c>
      <c r="AG39" s="11" t="n">
        <f aca="false">IF(AC39&lt;Floor_F,MAX((-(Cost_k*Ubar_c+Delay_D)*(1-EXP(-Rho_a*LN((Top_c-AC39)/(Top_c-Floor_F))/Delta_c))/Rho_a+EXP(-Rho_a*LN((Top_c-AC39)/(Top_c-Floor_F))/Delta_c)*(-Cost_k*Delta_c*Floor_F/Rho_a)),(-Delay_D/Rho_a)),(EXP(-Rho_a*LN(AC39/Floor_F)/Delta_c)*(-Cost_k*Delta_c*Floor_F/Rho_a)))</f>
        <v>-335.745877992226</v>
      </c>
      <c r="AH39" s="22" t="n">
        <f aca="false">ABS(AF39-AG39)</f>
        <v>0</v>
      </c>
    </row>
    <row r="40" customFormat="false" ht="15" hidden="false" customHeight="false" outlineLevel="0" collapsed="false">
      <c r="A40" s="17" t="n">
        <f aca="false">30+20*$B$5</f>
        <v>50</v>
      </c>
      <c r="B40" s="17" t="n">
        <f aca="false">Ubar_c-Delta_c*A40</f>
        <v>5.06356159685798</v>
      </c>
      <c r="C40" s="11" t="n">
        <f aca="false">(-(Cost_k*Ubar_c+Delay_D)+B40/$B$5*C41)/(Rho_a+B40/$B$5)</f>
        <v>-282.558892197854</v>
      </c>
      <c r="D40" s="11" t="n">
        <f aca="false">MAX(C40,-Delay_D/Rho_a)</f>
        <v>-282.558892197854</v>
      </c>
      <c r="E40" s="11" t="n">
        <f aca="false">IF(A40&lt;Floor_F,MAX((-(Cost_k*Ubar_c+Delay_D)*(1-EXP(-Rho_a*LN((Top_c-A40)/(Top_c-Floor_F))/Delta_c))/Rho_a+EXP(-Rho_a*LN((Top_c-A40)/(Top_c-Floor_F))/Delta_c)*(-Cost_k*Delta_c*Floor_F/Rho_a)),(-Delay_D/Rho_a)),(EXP(-Rho_a*LN(A40/Floor_F)/Delta_c)*(-Cost_k*Delta_c*Floor_F/Rho_a)))</f>
        <v>-283.509336294407</v>
      </c>
      <c r="F40" s="22" t="n">
        <f aca="false">ABS(D40-E40)</f>
        <v>0.950444096552872</v>
      </c>
      <c r="H40" s="17" t="n">
        <f aca="false">30+20*$I$5</f>
        <v>40</v>
      </c>
      <c r="I40" s="17" t="n">
        <f aca="false">Ubar_c-Delta_c*H40</f>
        <v>6.07627391622958</v>
      </c>
      <c r="J40" s="11" t="n">
        <f aca="false">(-(Cost_k*Ubar_c+Delay_D)+I40/$I$5*J41)/(Rho_a+I40/$I$5)</f>
        <v>-357.748658616382</v>
      </c>
      <c r="K40" s="11" t="n">
        <f aca="false">MAX(J40,-Delay_D/Rho_a)</f>
        <v>-335.745877992226</v>
      </c>
      <c r="L40" s="11" t="n">
        <f aca="false">IF(H40&lt;Floor_F,MAX((-(Cost_k*Ubar_c+Delay_D)*(1-EXP(-Rho_a*LN((Top_c-H40)/(Top_c-Floor_F))/Delta_c))/Rho_a+EXP(-Rho_a*LN((Top_c-H40)/(Top_c-Floor_F))/Delta_c)*(-Cost_k*Delta_c*Floor_F/Rho_a)),(-Delay_D/Rho_a)),(EXP(-Rho_a*LN(H40/Floor_F)/Delta_c)*(-Cost_k*Delta_c*Floor_F/Rho_a)))</f>
        <v>-335.745877992226</v>
      </c>
      <c r="M40" s="22" t="n">
        <f aca="false">ABS(K40-L40)</f>
        <v>0</v>
      </c>
      <c r="O40" s="17" t="n">
        <f aca="false">30+20*$P$5</f>
        <v>35</v>
      </c>
      <c r="P40" s="17" t="n">
        <f aca="false">Ubar_c-Delta_c*O40</f>
        <v>6.58263007591537</v>
      </c>
      <c r="Q40" s="11" t="n">
        <f aca="false">(-(Cost_k*Ubar_c+Delay_D)+P40/$P$5*Q41)/(Rho_a+P40/$P$5)</f>
        <v>-387.351350958879</v>
      </c>
      <c r="R40" s="11" t="n">
        <f aca="false">MAX(Q40,-Delay_D/Rho_a)</f>
        <v>-335.745877992226</v>
      </c>
      <c r="S40" s="11" t="n">
        <f aca="false">IF(O40&lt;Floor_F,MAX((-(Cost_k*Ubar_c+Delay_D)*(1-EXP(-Rho_a*LN((Top_c-O40)/(Top_c-Floor_F))/Delta_c))/Rho_a+EXP(-Rho_a*LN((Top_c-O40)/(Top_c-Floor_F))/Delta_c)*(-Cost_k*Delta_c*Floor_F/Rho_a)),(-Delay_D/Rho_a)),(EXP(-Rho_a*LN(O40/Floor_F)/Delta_c)*(-Cost_k*Delta_c*Floor_F/Rho_a)))</f>
        <v>-335.745877992226</v>
      </c>
      <c r="T40" s="22" t="n">
        <f aca="false">ABS(R40-S40)</f>
        <v>0</v>
      </c>
      <c r="V40" s="17" t="n">
        <f aca="false">30+20*$W$5</f>
        <v>32.5</v>
      </c>
      <c r="W40" s="17" t="n">
        <f aca="false">Ubar_c-Delta_c*V40</f>
        <v>6.83580815575827</v>
      </c>
      <c r="X40" s="11" t="n">
        <f aca="false">(-(Cost_k*Ubar_c+Delay_D)+W40/$W$5*X41)/(Rho_a+W40/$W$5)</f>
        <v>-400.637698446461</v>
      </c>
      <c r="Y40" s="11" t="n">
        <f aca="false">MAX(X40,-Delay_D/Rho_a)</f>
        <v>-335.745877992226</v>
      </c>
      <c r="Z40" s="11" t="n">
        <f aca="false">IF(V40&lt;Floor_F,MAX((-(Cost_k*Ubar_c+Delay_D)*(1-EXP(-Rho_a*LN((Top_c-V40)/(Top_c-Floor_F))/Delta_c))/Rho_a+EXP(-Rho_a*LN((Top_c-V40)/(Top_c-Floor_F))/Delta_c)*(-Cost_k*Delta_c*Floor_F/Rho_a)),(-Delay_D/Rho_a)),(EXP(-Rho_a*LN(V40/Floor_F)/Delta_c)*(-Cost_k*Delta_c*Floor_F/Rho_a)))</f>
        <v>-335.745877992226</v>
      </c>
      <c r="AA40" s="22" t="n">
        <f aca="false">ABS(Y40-Z40)</f>
        <v>0</v>
      </c>
      <c r="AC40" s="17" t="n">
        <f aca="false">30+20*$AD$5</f>
        <v>31.25</v>
      </c>
      <c r="AD40" s="17" t="n">
        <f aca="false">Ubar_c-Delta_c*AC40</f>
        <v>6.96239719567972</v>
      </c>
      <c r="AE40" s="11" t="n">
        <f aca="false">(-(Cost_k*Ubar_c+Delay_D)+AD40/$AD$5*AE41)/(Rho_a+AD40/$AD$5)</f>
        <v>-406.947062068847</v>
      </c>
      <c r="AF40" s="11" t="n">
        <f aca="false">MAX(AE40,-Delay_D/Rho_a)</f>
        <v>-335.745877992226</v>
      </c>
      <c r="AG40" s="11" t="n">
        <f aca="false">IF(AC40&lt;Floor_F,MAX((-(Cost_k*Ubar_c+Delay_D)*(1-EXP(-Rho_a*LN((Top_c-AC40)/(Top_c-Floor_F))/Delta_c))/Rho_a+EXP(-Rho_a*LN((Top_c-AC40)/(Top_c-Floor_F))/Delta_c)*(-Cost_k*Delta_c*Floor_F/Rho_a)),(-Delay_D/Rho_a)),(EXP(-Rho_a*LN(AC40/Floor_F)/Delta_c)*(-Cost_k*Delta_c*Floor_F/Rho_a)))</f>
        <v>-335.745877992226</v>
      </c>
      <c r="AH40" s="22" t="n">
        <f aca="false">ABS(AF40-AG40)</f>
        <v>0</v>
      </c>
    </row>
    <row r="41" customFormat="false" ht="15" hidden="false" customHeight="false" outlineLevel="0" collapsed="false">
      <c r="A41" s="17" t="n">
        <f aca="false">30+21*$B$5</f>
        <v>51</v>
      </c>
      <c r="B41" s="17" t="n">
        <f aca="false">Ubar_c-Delta_c*A41</f>
        <v>4.96229036492082</v>
      </c>
      <c r="C41" s="11" t="n">
        <f aca="false">(-(Cost_k*Ubar_c+Delay_D)+B41/$B$5*C42)/(Rho_a+B41/$B$5)</f>
        <v>-273.557766590444</v>
      </c>
      <c r="D41" s="11" t="n">
        <f aca="false">MAX(C41,-Delay_D/Rho_a)</f>
        <v>-273.557766590444</v>
      </c>
      <c r="E41" s="11" t="n">
        <f aca="false">IF(A41&lt;Floor_F,MAX((-(Cost_k*Ubar_c+Delay_D)*(1-EXP(-Rho_a*LN((Top_c-A41)/(Top_c-Floor_F))/Delta_c))/Rho_a+EXP(-Rho_a*LN((Top_c-A41)/(Top_c-Floor_F))/Delta_c)*(-Cost_k*Delta_c*Floor_F/Rho_a)),(-Delay_D/Rho_a)),(EXP(-Rho_a*LN(A41/Floor_F)/Delta_c)*(-Cost_k*Delta_c*Floor_F/Rho_a)))</f>
        <v>-274.348235839119</v>
      </c>
      <c r="F41" s="22" t="n">
        <f aca="false">ABS(D41-E41)</f>
        <v>0.790469248674924</v>
      </c>
      <c r="H41" s="17" t="n">
        <f aca="false">30+21*$I$5</f>
        <v>40.5</v>
      </c>
      <c r="I41" s="17" t="n">
        <f aca="false">Ubar_c-Delta_c*H41</f>
        <v>6.025638300261</v>
      </c>
      <c r="J41" s="11" t="n">
        <f aca="false">(-(Cost_k*Ubar_c+Delay_D)+I41/$I$5*J42)/(Rho_a+I41/$I$5)</f>
        <v>-354.587889012597</v>
      </c>
      <c r="K41" s="11" t="n">
        <f aca="false">MAX(J41,-Delay_D/Rho_a)</f>
        <v>-335.745877992226</v>
      </c>
      <c r="L41" s="11" t="n">
        <f aca="false">IF(H41&lt;Floor_F,MAX((-(Cost_k*Ubar_c+Delay_D)*(1-EXP(-Rho_a*LN((Top_c-H41)/(Top_c-Floor_F))/Delta_c))/Rho_a+EXP(-Rho_a*LN((Top_c-H41)/(Top_c-Floor_F))/Delta_c)*(-Cost_k*Delta_c*Floor_F/Rho_a)),(-Delay_D/Rho_a)),(EXP(-Rho_a*LN(H41/Floor_F)/Delta_c)*(-Cost_k*Delta_c*Floor_F/Rho_a)))</f>
        <v>-335.745877992226</v>
      </c>
      <c r="M41" s="22" t="n">
        <f aca="false">ABS(K41-L41)</f>
        <v>0</v>
      </c>
      <c r="O41" s="17" t="n">
        <f aca="false">30+21*$P$5</f>
        <v>35.25</v>
      </c>
      <c r="P41" s="17" t="n">
        <f aca="false">Ubar_c-Delta_c*O41</f>
        <v>6.55731226793109</v>
      </c>
      <c r="Q41" s="11" t="n">
        <f aca="false">(-(Cost_k*Ubar_c+Delay_D)+P41/$P$5*Q42)/(Rho_a+P41/$P$5)</f>
        <v>-385.999688877877</v>
      </c>
      <c r="R41" s="11" t="n">
        <f aca="false">MAX(Q41,-Delay_D/Rho_a)</f>
        <v>-335.745877992226</v>
      </c>
      <c r="S41" s="11" t="n">
        <f aca="false">IF(O41&lt;Floor_F,MAX((-(Cost_k*Ubar_c+Delay_D)*(1-EXP(-Rho_a*LN((Top_c-O41)/(Top_c-Floor_F))/Delta_c))/Rho_a+EXP(-Rho_a*LN((Top_c-O41)/(Top_c-Floor_F))/Delta_c)*(-Cost_k*Delta_c*Floor_F/Rho_a)),(-Delay_D/Rho_a)),(EXP(-Rho_a*LN(O41/Floor_F)/Delta_c)*(-Cost_k*Delta_c*Floor_F/Rho_a)))</f>
        <v>-335.745877992226</v>
      </c>
      <c r="T41" s="22" t="n">
        <f aca="false">ABS(R41-S41)</f>
        <v>0</v>
      </c>
      <c r="V41" s="17" t="n">
        <f aca="false">30+21*$W$5</f>
        <v>32.625</v>
      </c>
      <c r="W41" s="17" t="n">
        <f aca="false">Ubar_c-Delta_c*V41</f>
        <v>6.82314925176613</v>
      </c>
      <c r="X41" s="11" t="n">
        <f aca="false">(-(Cost_k*Ubar_c+Delay_D)+W41/$W$5*X42)/(Rho_a+W41/$W$5)</f>
        <v>-400.010054265308</v>
      </c>
      <c r="Y41" s="11" t="n">
        <f aca="false">MAX(X41,-Delay_D/Rho_a)</f>
        <v>-335.745877992226</v>
      </c>
      <c r="Z41" s="11" t="n">
        <f aca="false">IF(V41&lt;Floor_F,MAX((-(Cost_k*Ubar_c+Delay_D)*(1-EXP(-Rho_a*LN((Top_c-V41)/(Top_c-Floor_F))/Delta_c))/Rho_a+EXP(-Rho_a*LN((Top_c-V41)/(Top_c-Floor_F))/Delta_c)*(-Cost_k*Delta_c*Floor_F/Rho_a)),(-Delay_D/Rho_a)),(EXP(-Rho_a*LN(V41/Floor_F)/Delta_c)*(-Cost_k*Delta_c*Floor_F/Rho_a)))</f>
        <v>-335.745877992226</v>
      </c>
      <c r="AA41" s="22" t="n">
        <f aca="false">ABS(Y41-Z41)</f>
        <v>0</v>
      </c>
      <c r="AC41" s="17" t="n">
        <f aca="false">30+21*$AD$5</f>
        <v>31.3125</v>
      </c>
      <c r="AD41" s="17" t="n">
        <f aca="false">Ubar_c-Delta_c*AC41</f>
        <v>6.95606774368365</v>
      </c>
      <c r="AE41" s="11" t="n">
        <f aca="false">(-(Cost_k*Ubar_c+Delay_D)+AD41/$AD$5*AE42)/(Rho_a+AD41/$AD$5)</f>
        <v>-406.644343998382</v>
      </c>
      <c r="AF41" s="11" t="n">
        <f aca="false">MAX(AE41,-Delay_D/Rho_a)</f>
        <v>-335.745877992226</v>
      </c>
      <c r="AG41" s="11" t="n">
        <f aca="false">IF(AC41&lt;Floor_F,MAX((-(Cost_k*Ubar_c+Delay_D)*(1-EXP(-Rho_a*LN((Top_c-AC41)/(Top_c-Floor_F))/Delta_c))/Rho_a+EXP(-Rho_a*LN((Top_c-AC41)/(Top_c-Floor_F))/Delta_c)*(-Cost_k*Delta_c*Floor_F/Rho_a)),(-Delay_D/Rho_a)),(EXP(-Rho_a*LN(AC41/Floor_F)/Delta_c)*(-Cost_k*Delta_c*Floor_F/Rho_a)))</f>
        <v>-335.745877992226</v>
      </c>
      <c r="AH41" s="22" t="n">
        <f aca="false">ABS(AF41-AG41)</f>
        <v>0</v>
      </c>
    </row>
    <row r="42" customFormat="false" ht="15" hidden="false" customHeight="false" outlineLevel="0" collapsed="false">
      <c r="A42" s="17" t="n">
        <f aca="false">30+22*$B$5</f>
        <v>52</v>
      </c>
      <c r="B42" s="17" t="n">
        <f aca="false">Ubar_c-Delta_c*A42</f>
        <v>4.86101913298366</v>
      </c>
      <c r="C42" s="11" t="n">
        <f aca="false">(-(Cost_k*Ubar_c+Delay_D)+B42/$B$5*C43)/(Rho_a+B42/$B$5)</f>
        <v>-264.200060886135</v>
      </c>
      <c r="D42" s="11" t="n">
        <f aca="false">MAX(C42,-Delay_D/Rho_a)</f>
        <v>-264.200060886135</v>
      </c>
      <c r="E42" s="11" t="n">
        <f aca="false">IF(A42&lt;Floor_F,MAX((-(Cost_k*Ubar_c+Delay_D)*(1-EXP(-Rho_a*LN((Top_c-A42)/(Top_c-Floor_F))/Delta_c))/Rho_a+EXP(-Rho_a*LN((Top_c-A42)/(Top_c-Floor_F))/Delta_c)*(-Cost_k*Delta_c*Floor_F/Rho_a)),(-Delay_D/Rho_a)),(EXP(-Rho_a*LN(A42/Floor_F)/Delta_c)*(-Cost_k*Delta_c*Floor_F/Rho_a)))</f>
        <v>-264.81688184186</v>
      </c>
      <c r="F42" s="22" t="n">
        <f aca="false">ABS(D42-E42)</f>
        <v>0.6168209557257</v>
      </c>
      <c r="H42" s="17" t="n">
        <f aca="false">30+22*$I$5</f>
        <v>41</v>
      </c>
      <c r="I42" s="17" t="n">
        <f aca="false">Ubar_c-Delta_c*H42</f>
        <v>5.97500268429242</v>
      </c>
      <c r="J42" s="11" t="n">
        <f aca="false">(-(Cost_k*Ubar_c+Delay_D)+I42/$I$5*J43)/(Rho_a+I42/$I$5)</f>
        <v>-351.375560675949</v>
      </c>
      <c r="K42" s="11" t="n">
        <f aca="false">MAX(J42,-Delay_D/Rho_a)</f>
        <v>-335.745877992226</v>
      </c>
      <c r="L42" s="11" t="n">
        <f aca="false">IF(H42&lt;Floor_F,MAX((-(Cost_k*Ubar_c+Delay_D)*(1-EXP(-Rho_a*LN((Top_c-H42)/(Top_c-Floor_F))/Delta_c))/Rho_a+EXP(-Rho_a*LN((Top_c-H42)/(Top_c-Floor_F))/Delta_c)*(-Cost_k*Delta_c*Floor_F/Rho_a)),(-Delay_D/Rho_a)),(EXP(-Rho_a*LN(H42/Floor_F)/Delta_c)*(-Cost_k*Delta_c*Floor_F/Rho_a)))</f>
        <v>-335.745877992226</v>
      </c>
      <c r="M42" s="22" t="n">
        <f aca="false">ABS(K42-L42)</f>
        <v>0</v>
      </c>
      <c r="O42" s="17" t="n">
        <f aca="false">30+22*$P$5</f>
        <v>35.5</v>
      </c>
      <c r="P42" s="17" t="n">
        <f aca="false">Ubar_c-Delta_c*O42</f>
        <v>6.53199445994679</v>
      </c>
      <c r="Q42" s="11" t="n">
        <f aca="false">(-(Cost_k*Ubar_c+Delay_D)+P42/$P$5*Q43)/(Rho_a+P42/$P$5)</f>
        <v>-384.637896440517</v>
      </c>
      <c r="R42" s="11" t="n">
        <f aca="false">MAX(Q42,-Delay_D/Rho_a)</f>
        <v>-335.745877992226</v>
      </c>
      <c r="S42" s="11" t="n">
        <f aca="false">IF(O42&lt;Floor_F,MAX((-(Cost_k*Ubar_c+Delay_D)*(1-EXP(-Rho_a*LN((Top_c-O42)/(Top_c-Floor_F))/Delta_c))/Rho_a+EXP(-Rho_a*LN((Top_c-O42)/(Top_c-Floor_F))/Delta_c)*(-Cost_k*Delta_c*Floor_F/Rho_a)),(-Delay_D/Rho_a)),(EXP(-Rho_a*LN(O42/Floor_F)/Delta_c)*(-Cost_k*Delta_c*Floor_F/Rho_a)))</f>
        <v>-335.745877992226</v>
      </c>
      <c r="T42" s="22" t="n">
        <f aca="false">ABS(R42-S42)</f>
        <v>0</v>
      </c>
      <c r="V42" s="17" t="n">
        <f aca="false">30+22*$W$5</f>
        <v>32.75</v>
      </c>
      <c r="W42" s="17" t="n">
        <f aca="false">Ubar_c-Delta_c*V42</f>
        <v>6.81049034777398</v>
      </c>
      <c r="X42" s="11" t="n">
        <f aca="false">(-(Cost_k*Ubar_c+Delay_D)+W42/$W$5*X43)/(Rho_a+W42/$W$5)</f>
        <v>-399.380149706016</v>
      </c>
      <c r="Y42" s="11" t="n">
        <f aca="false">MAX(X42,-Delay_D/Rho_a)</f>
        <v>-335.745877992226</v>
      </c>
      <c r="Z42" s="11" t="n">
        <f aca="false">IF(V42&lt;Floor_F,MAX((-(Cost_k*Ubar_c+Delay_D)*(1-EXP(-Rho_a*LN((Top_c-V42)/(Top_c-Floor_F))/Delta_c))/Rho_a+EXP(-Rho_a*LN((Top_c-V42)/(Top_c-Floor_F))/Delta_c)*(-Cost_k*Delta_c*Floor_F/Rho_a)),(-Delay_D/Rho_a)),(EXP(-Rho_a*LN(V42/Floor_F)/Delta_c)*(-Cost_k*Delta_c*Floor_F/Rho_a)))</f>
        <v>-335.745877992226</v>
      </c>
      <c r="AA42" s="22" t="n">
        <f aca="false">ABS(Y42-Z42)</f>
        <v>0</v>
      </c>
      <c r="AC42" s="17" t="n">
        <f aca="false">30+22*$AD$5</f>
        <v>31.375</v>
      </c>
      <c r="AD42" s="17" t="n">
        <f aca="false">Ubar_c-Delta_c*AC42</f>
        <v>6.94973829168758</v>
      </c>
      <c r="AE42" s="11" t="n">
        <f aca="false">(-(Cost_k*Ubar_c+Delay_D)+AD42/$AD$5*AE43)/(Rho_a+AD42/$AD$5)</f>
        <v>-406.341091244135</v>
      </c>
      <c r="AF42" s="11" t="n">
        <f aca="false">MAX(AE42,-Delay_D/Rho_a)</f>
        <v>-335.745877992226</v>
      </c>
      <c r="AG42" s="11" t="n">
        <f aca="false">IF(AC42&lt;Floor_F,MAX((-(Cost_k*Ubar_c+Delay_D)*(1-EXP(-Rho_a*LN((Top_c-AC42)/(Top_c-Floor_F))/Delta_c))/Rho_a+EXP(-Rho_a*LN((Top_c-AC42)/(Top_c-Floor_F))/Delta_c)*(-Cost_k*Delta_c*Floor_F/Rho_a)),(-Delay_D/Rho_a)),(EXP(-Rho_a*LN(AC42/Floor_F)/Delta_c)*(-Cost_k*Delta_c*Floor_F/Rho_a)))</f>
        <v>-335.745877992226</v>
      </c>
      <c r="AH42" s="22" t="n">
        <f aca="false">ABS(AF42-AG42)</f>
        <v>0</v>
      </c>
    </row>
    <row r="43" customFormat="false" ht="15" hidden="false" customHeight="false" outlineLevel="0" collapsed="false">
      <c r="A43" s="17" t="n">
        <f aca="false">30+23*$B$5</f>
        <v>53</v>
      </c>
      <c r="B43" s="17" t="n">
        <f aca="false">Ubar_c-Delta_c*A43</f>
        <v>4.7597479010465</v>
      </c>
      <c r="C43" s="11" t="n">
        <f aca="false">(-(Cost_k*Ubar_c+Delay_D)+B43/$B$5*C44)/(Rho_a+B43/$B$5)</f>
        <v>-254.463926101896</v>
      </c>
      <c r="D43" s="11" t="n">
        <f aca="false">MAX(C43,-Delay_D/Rho_a)</f>
        <v>-254.463926101896</v>
      </c>
      <c r="E43" s="11" t="n">
        <f aca="false">IF(A43&lt;Floor_F,MAX((-(Cost_k*Ubar_c+Delay_D)*(1-EXP(-Rho_a*LN((Top_c-A43)/(Top_c-Floor_F))/Delta_c))/Rho_a+EXP(-Rho_a*LN((Top_c-A43)/(Top_c-Floor_F))/Delta_c)*(-Cost_k*Delta_c*Floor_F/Rho_a)),(-Delay_D/Rho_a)),(EXP(-Rho_a*LN(A43/Floor_F)/Delta_c)*(-Cost_k*Delta_c*Floor_F/Rho_a)))</f>
        <v>-254.892119102206</v>
      </c>
      <c r="F43" s="22" t="n">
        <f aca="false">ABS(D43-E43)</f>
        <v>0.428193000310131</v>
      </c>
      <c r="H43" s="17" t="n">
        <f aca="false">30+23*$I$5</f>
        <v>41.5</v>
      </c>
      <c r="I43" s="17" t="n">
        <f aca="false">Ubar_c-Delta_c*H43</f>
        <v>5.92436706832384</v>
      </c>
      <c r="J43" s="11" t="n">
        <f aca="false">(-(Cost_k*Ubar_c+Delay_D)+I43/$I$5*J44)/(Rho_a+I43/$I$5)</f>
        <v>-348.110388510373</v>
      </c>
      <c r="K43" s="11" t="n">
        <f aca="false">MAX(J43,-Delay_D/Rho_a)</f>
        <v>-335.745877992226</v>
      </c>
      <c r="L43" s="11" t="n">
        <f aca="false">IF(H43&lt;Floor_F,MAX((-(Cost_k*Ubar_c+Delay_D)*(1-EXP(-Rho_a*LN((Top_c-H43)/(Top_c-Floor_F))/Delta_c))/Rho_a+EXP(-Rho_a*LN((Top_c-H43)/(Top_c-Floor_F))/Delta_c)*(-Cost_k*Delta_c*Floor_F/Rho_a)),(-Delay_D/Rho_a)),(EXP(-Rho_a*LN(H43/Floor_F)/Delta_c)*(-Cost_k*Delta_c*Floor_F/Rho_a)))</f>
        <v>-335.745877992226</v>
      </c>
      <c r="M43" s="22" t="n">
        <f aca="false">ABS(K43-L43)</f>
        <v>0</v>
      </c>
      <c r="O43" s="17" t="n">
        <f aca="false">30+23*$P$5</f>
        <v>35.75</v>
      </c>
      <c r="P43" s="17" t="n">
        <f aca="false">Ubar_c-Delta_c*O43</f>
        <v>6.5066766519625</v>
      </c>
      <c r="Q43" s="11" t="n">
        <f aca="false">(-(Cost_k*Ubar_c+Delay_D)+P43/$P$5*Q44)/(Rho_a+P43/$P$5)</f>
        <v>-383.265858163181</v>
      </c>
      <c r="R43" s="11" t="n">
        <f aca="false">MAX(Q43,-Delay_D/Rho_a)</f>
        <v>-335.745877992226</v>
      </c>
      <c r="S43" s="11" t="n">
        <f aca="false">IF(O43&lt;Floor_F,MAX((-(Cost_k*Ubar_c+Delay_D)*(1-EXP(-Rho_a*LN((Top_c-O43)/(Top_c-Floor_F))/Delta_c))/Rho_a+EXP(-Rho_a*LN((Top_c-O43)/(Top_c-Floor_F))/Delta_c)*(-Cost_k*Delta_c*Floor_F/Rho_a)),(-Delay_D/Rho_a)),(EXP(-Rho_a*LN(O43/Floor_F)/Delta_c)*(-Cost_k*Delta_c*Floor_F/Rho_a)))</f>
        <v>-335.745877992226</v>
      </c>
      <c r="T43" s="22" t="n">
        <f aca="false">ABS(R43-S43)</f>
        <v>0</v>
      </c>
      <c r="V43" s="17" t="n">
        <f aca="false">30+23*$W$5</f>
        <v>32.875</v>
      </c>
      <c r="W43" s="17" t="n">
        <f aca="false">Ubar_c-Delta_c*V43</f>
        <v>6.79783144378184</v>
      </c>
      <c r="X43" s="11" t="n">
        <f aca="false">(-(Cost_k*Ubar_c+Delay_D)+W43/$W$5*X44)/(Rho_a+W43/$W$5)</f>
        <v>-398.747972411555</v>
      </c>
      <c r="Y43" s="11" t="n">
        <f aca="false">MAX(X43,-Delay_D/Rho_a)</f>
        <v>-335.745877992226</v>
      </c>
      <c r="Z43" s="11" t="n">
        <f aca="false">IF(V43&lt;Floor_F,MAX((-(Cost_k*Ubar_c+Delay_D)*(1-EXP(-Rho_a*LN((Top_c-V43)/(Top_c-Floor_F))/Delta_c))/Rho_a+EXP(-Rho_a*LN((Top_c-V43)/(Top_c-Floor_F))/Delta_c)*(-Cost_k*Delta_c*Floor_F/Rho_a)),(-Delay_D/Rho_a)),(EXP(-Rho_a*LN(V43/Floor_F)/Delta_c)*(-Cost_k*Delta_c*Floor_F/Rho_a)))</f>
        <v>-335.745877992226</v>
      </c>
      <c r="AA43" s="22" t="n">
        <f aca="false">ABS(Y43-Z43)</f>
        <v>0</v>
      </c>
      <c r="AC43" s="17" t="n">
        <f aca="false">30+23*$AD$5</f>
        <v>31.4375</v>
      </c>
      <c r="AD43" s="17" t="n">
        <f aca="false">Ubar_c-Delta_c*AC43</f>
        <v>6.94340883969151</v>
      </c>
      <c r="AE43" s="11" t="n">
        <f aca="false">(-(Cost_k*Ubar_c+Delay_D)+AD43/$AD$5*AE44)/(Rho_a+AD43/$AD$5)</f>
        <v>-406.037302373887</v>
      </c>
      <c r="AF43" s="11" t="n">
        <f aca="false">MAX(AE43,-Delay_D/Rho_a)</f>
        <v>-335.745877992226</v>
      </c>
      <c r="AG43" s="11" t="n">
        <f aca="false">IF(AC43&lt;Floor_F,MAX((-(Cost_k*Ubar_c+Delay_D)*(1-EXP(-Rho_a*LN((Top_c-AC43)/(Top_c-Floor_F))/Delta_c))/Rho_a+EXP(-Rho_a*LN((Top_c-AC43)/(Top_c-Floor_F))/Delta_c)*(-Cost_k*Delta_c*Floor_F/Rho_a)),(-Delay_D/Rho_a)),(EXP(-Rho_a*LN(AC43/Floor_F)/Delta_c)*(-Cost_k*Delta_c*Floor_F/Rho_a)))</f>
        <v>-335.745877992226</v>
      </c>
      <c r="AH43" s="22" t="n">
        <f aca="false">ABS(AF43-AG43)</f>
        <v>0</v>
      </c>
    </row>
    <row r="44" customFormat="false" ht="15" hidden="false" customHeight="false" outlineLevel="0" collapsed="false">
      <c r="A44" s="17" t="n">
        <f aca="false">30+24*$B$5</f>
        <v>54</v>
      </c>
      <c r="B44" s="17" t="n">
        <f aca="false">Ubar_c-Delta_c*A44</f>
        <v>4.65847666910934</v>
      </c>
      <c r="C44" s="11" t="n">
        <f aca="false">(-(Cost_k*Ubar_c+Delay_D)+B44/$B$5*C45)/(Rho_a+B44/$B$5)</f>
        <v>-244.325681130189</v>
      </c>
      <c r="D44" s="11" t="n">
        <f aca="false">MAX(C44,-Delay_D/Rho_a)</f>
        <v>-244.325681130189</v>
      </c>
      <c r="E44" s="11" t="n">
        <f aca="false">IF(A44&lt;Floor_F,MAX((-(Cost_k*Ubar_c+Delay_D)*(1-EXP(-Rho_a*LN((Top_c-A44)/(Top_c-Floor_F))/Delta_c))/Rho_a+EXP(-Rho_a*LN((Top_c-A44)/(Top_c-Floor_F))/Delta_c)*(-Cost_k*Delta_c*Floor_F/Rho_a)),(-Delay_D/Rho_a)),(EXP(-Rho_a*LN(A44/Floor_F)/Delta_c)*(-Cost_k*Delta_c*Floor_F/Rho_a)))</f>
        <v>-244.548809800479</v>
      </c>
      <c r="F44" s="22" t="n">
        <f aca="false">ABS(D44-E44)</f>
        <v>0.223128670290578</v>
      </c>
      <c r="H44" s="17" t="n">
        <f aca="false">30+24*$I$5</f>
        <v>42</v>
      </c>
      <c r="I44" s="17" t="n">
        <f aca="false">Ubar_c-Delta_c*H44</f>
        <v>5.87373145235526</v>
      </c>
      <c r="J44" s="11" t="n">
        <f aca="false">(-(Cost_k*Ubar_c+Delay_D)+I44/$I$5*J45)/(Rho_a+I44/$I$5)</f>
        <v>-344.79104413142</v>
      </c>
      <c r="K44" s="11" t="n">
        <f aca="false">MAX(J44,-Delay_D/Rho_a)</f>
        <v>-335.745877992226</v>
      </c>
      <c r="L44" s="11" t="n">
        <f aca="false">IF(H44&lt;Floor_F,MAX((-(Cost_k*Ubar_c+Delay_D)*(1-EXP(-Rho_a*LN((Top_c-H44)/(Top_c-Floor_F))/Delta_c))/Rho_a+EXP(-Rho_a*LN((Top_c-H44)/(Top_c-Floor_F))/Delta_c)*(-Cost_k*Delta_c*Floor_F/Rho_a)),(-Delay_D/Rho_a)),(EXP(-Rho_a*LN(H44/Floor_F)/Delta_c)*(-Cost_k*Delta_c*Floor_F/Rho_a)))</f>
        <v>-335.745877992226</v>
      </c>
      <c r="M44" s="22" t="n">
        <f aca="false">ABS(K44-L44)</f>
        <v>0</v>
      </c>
      <c r="O44" s="17" t="n">
        <f aca="false">30+24*$P$5</f>
        <v>36</v>
      </c>
      <c r="P44" s="17" t="n">
        <f aca="false">Ubar_c-Delta_c*O44</f>
        <v>6.48135884397822</v>
      </c>
      <c r="Q44" s="11" t="n">
        <f aca="false">(-(Cost_k*Ubar_c+Delay_D)+P44/$P$5*Q45)/(Rho_a+P44/$P$5)</f>
        <v>-381.883456791291</v>
      </c>
      <c r="R44" s="11" t="n">
        <f aca="false">MAX(Q44,-Delay_D/Rho_a)</f>
        <v>-335.745877992226</v>
      </c>
      <c r="S44" s="11" t="n">
        <f aca="false">IF(O44&lt;Floor_F,MAX((-(Cost_k*Ubar_c+Delay_D)*(1-EXP(-Rho_a*LN((Top_c-O44)/(Top_c-Floor_F))/Delta_c))/Rho_a+EXP(-Rho_a*LN((Top_c-O44)/(Top_c-Floor_F))/Delta_c)*(-Cost_k*Delta_c*Floor_F/Rho_a)),(-Delay_D/Rho_a)),(EXP(-Rho_a*LN(O44/Floor_F)/Delta_c)*(-Cost_k*Delta_c*Floor_F/Rho_a)))</f>
        <v>-335.745877992226</v>
      </c>
      <c r="T44" s="22" t="n">
        <f aca="false">ABS(R44-S44)</f>
        <v>0</v>
      </c>
      <c r="V44" s="17" t="n">
        <f aca="false">30+24*$W$5</f>
        <v>33</v>
      </c>
      <c r="W44" s="17" t="n">
        <f aca="false">Ubar_c-Delta_c*V44</f>
        <v>6.78517253978969</v>
      </c>
      <c r="X44" s="11" t="n">
        <f aca="false">(-(Cost_k*Ubar_c+Delay_D)+W44/$W$5*X45)/(Rho_a+W44/$W$5)</f>
        <v>-398.113509934199</v>
      </c>
      <c r="Y44" s="11" t="n">
        <f aca="false">MAX(X44,-Delay_D/Rho_a)</f>
        <v>-335.745877992226</v>
      </c>
      <c r="Z44" s="11" t="n">
        <f aca="false">IF(V44&lt;Floor_F,MAX((-(Cost_k*Ubar_c+Delay_D)*(1-EXP(-Rho_a*LN((Top_c-V44)/(Top_c-Floor_F))/Delta_c))/Rho_a+EXP(-Rho_a*LN((Top_c-V44)/(Top_c-Floor_F))/Delta_c)*(-Cost_k*Delta_c*Floor_F/Rho_a)),(-Delay_D/Rho_a)),(EXP(-Rho_a*LN(V44/Floor_F)/Delta_c)*(-Cost_k*Delta_c*Floor_F/Rho_a)))</f>
        <v>-335.745877992226</v>
      </c>
      <c r="AA44" s="22" t="n">
        <f aca="false">ABS(Y44-Z44)</f>
        <v>0</v>
      </c>
      <c r="AC44" s="17" t="n">
        <f aca="false">30+24*$AD$5</f>
        <v>31.5</v>
      </c>
      <c r="AD44" s="17" t="n">
        <f aca="false">Ubar_c-Delta_c*AC44</f>
        <v>6.93707938769543</v>
      </c>
      <c r="AE44" s="11" t="n">
        <f aca="false">(-(Cost_k*Ubar_c+Delay_D)+AD44/$AD$5*AE45)/(Rho_a+AD44/$AD$5)</f>
        <v>-405.732975950269</v>
      </c>
      <c r="AF44" s="11" t="n">
        <f aca="false">MAX(AE44,-Delay_D/Rho_a)</f>
        <v>-335.745877992226</v>
      </c>
      <c r="AG44" s="11" t="n">
        <f aca="false">IF(AC44&lt;Floor_F,MAX((-(Cost_k*Ubar_c+Delay_D)*(1-EXP(-Rho_a*LN((Top_c-AC44)/(Top_c-Floor_F))/Delta_c))/Rho_a+EXP(-Rho_a*LN((Top_c-AC44)/(Top_c-Floor_F))/Delta_c)*(-Cost_k*Delta_c*Floor_F/Rho_a)),(-Delay_D/Rho_a)),(EXP(-Rho_a*LN(AC44/Floor_F)/Delta_c)*(-Cost_k*Delta_c*Floor_F/Rho_a)))</f>
        <v>-335.745877992226</v>
      </c>
      <c r="AH44" s="22" t="n">
        <f aca="false">ABS(AF44-AG44)</f>
        <v>0</v>
      </c>
    </row>
    <row r="45" customFormat="false" ht="15" hidden="false" customHeight="false" outlineLevel="0" collapsed="false">
      <c r="A45" s="17" t="n">
        <f aca="false">30+25*$B$5</f>
        <v>55</v>
      </c>
      <c r="B45" s="17" t="n">
        <v>0</v>
      </c>
      <c r="C45" s="11" t="n">
        <f aca="false">-Cost_k*Delta_c*Floor_F/Rho_a</f>
        <v>-233.75961593941</v>
      </c>
      <c r="D45" s="11" t="n">
        <f aca="false">C45</f>
        <v>-233.75961593941</v>
      </c>
      <c r="E45" s="11" t="n">
        <f aca="false">IF(A45&lt;Floor_F,MAX((-(Cost_k*Ubar_c+Delay_D)*(1-EXP(-Rho_a*LN((Top_c-A45)/(Top_c-Floor_F))/Delta_c))/Rho_a+EXP(-Rho_a*LN((Top_c-A45)/(Top_c-Floor_F))/Delta_c)*(-Cost_k*Delta_c*Floor_F/Rho_a)),(-Delay_D/Rho_a)),(EXP(-Rho_a*LN(A45/Floor_F)/Delta_c)*(-Cost_k*Delta_c*Floor_F/Rho_a)))</f>
        <v>-233.75961593941</v>
      </c>
      <c r="F45" s="22" t="n">
        <f aca="false">ABS(D45-E45)</f>
        <v>0</v>
      </c>
      <c r="H45" s="17" t="n">
        <f aca="false">30+25*$I$5</f>
        <v>42.5</v>
      </c>
      <c r="I45" s="17" t="n">
        <f aca="false">Ubar_c-Delta_c*H45</f>
        <v>5.82309583638668</v>
      </c>
      <c r="J45" s="11" t="n">
        <f aca="false">(-(Cost_k*Ubar_c+Delay_D)+I45/$I$5*J46)/(Rho_a+I45/$I$5)</f>
        <v>-341.41615402235</v>
      </c>
      <c r="K45" s="11" t="n">
        <f aca="false">MAX(J45,-Delay_D/Rho_a)</f>
        <v>-335.745877992226</v>
      </c>
      <c r="L45" s="11" t="n">
        <f aca="false">IF(H45&lt;Floor_F,MAX((-(Cost_k*Ubar_c+Delay_D)*(1-EXP(-Rho_a*LN((Top_c-H45)/(Top_c-Floor_F))/Delta_c))/Rho_a+EXP(-Rho_a*LN((Top_c-H45)/(Top_c-Floor_F))/Delta_c)*(-Cost_k*Delta_c*Floor_F/Rho_a)),(-Delay_D/Rho_a)),(EXP(-Rho_a*LN(H45/Floor_F)/Delta_c)*(-Cost_k*Delta_c*Floor_F/Rho_a)))</f>
        <v>-335.745877992226</v>
      </c>
      <c r="M45" s="22" t="n">
        <f aca="false">ABS(K45-L45)</f>
        <v>0</v>
      </c>
      <c r="O45" s="17" t="n">
        <f aca="false">30+25*$P$5</f>
        <v>36.25</v>
      </c>
      <c r="P45" s="17" t="n">
        <f aca="false">Ubar_c-Delta_c*O45</f>
        <v>6.45604103599393</v>
      </c>
      <c r="Q45" s="11" t="n">
        <f aca="false">(-(Cost_k*Ubar_c+Delay_D)+P45/$P$5*Q46)/(Rho_a+P45/$P$5)</f>
        <v>-380.490573265126</v>
      </c>
      <c r="R45" s="11" t="n">
        <f aca="false">MAX(Q45,-Delay_D/Rho_a)</f>
        <v>-335.745877992226</v>
      </c>
      <c r="S45" s="11" t="n">
        <f aca="false">IF(O45&lt;Floor_F,MAX((-(Cost_k*Ubar_c+Delay_D)*(1-EXP(-Rho_a*LN((Top_c-O45)/(Top_c-Floor_F))/Delta_c))/Rho_a+EXP(-Rho_a*LN((Top_c-O45)/(Top_c-Floor_F))/Delta_c)*(-Cost_k*Delta_c*Floor_F/Rho_a)),(-Delay_D/Rho_a)),(EXP(-Rho_a*LN(O45/Floor_F)/Delta_c)*(-Cost_k*Delta_c*Floor_F/Rho_a)))</f>
        <v>-335.745877992226</v>
      </c>
      <c r="T45" s="22" t="n">
        <f aca="false">ABS(R45-S45)</f>
        <v>0</v>
      </c>
      <c r="V45" s="17" t="n">
        <f aca="false">30+25*$W$5</f>
        <v>33.125</v>
      </c>
      <c r="W45" s="17" t="n">
        <f aca="false">Ubar_c-Delta_c*V45</f>
        <v>6.77251363579755</v>
      </c>
      <c r="X45" s="11" t="n">
        <f aca="false">(-(Cost_k*Ubar_c+Delay_D)+W45/$W$5*X46)/(Rho_a+W45/$W$5)</f>
        <v>-397.476749734702</v>
      </c>
      <c r="Y45" s="11" t="n">
        <f aca="false">MAX(X45,-Delay_D/Rho_a)</f>
        <v>-335.745877992226</v>
      </c>
      <c r="Z45" s="11" t="n">
        <f aca="false">IF(V45&lt;Floor_F,MAX((-(Cost_k*Ubar_c+Delay_D)*(1-EXP(-Rho_a*LN((Top_c-V45)/(Top_c-Floor_F))/Delta_c))/Rho_a+EXP(-Rho_a*LN((Top_c-V45)/(Top_c-Floor_F))/Delta_c)*(-Cost_k*Delta_c*Floor_F/Rho_a)),(-Delay_D/Rho_a)),(EXP(-Rho_a*LN(V45/Floor_F)/Delta_c)*(-Cost_k*Delta_c*Floor_F/Rho_a)))</f>
        <v>-335.745877992226</v>
      </c>
      <c r="AA45" s="22" t="n">
        <f aca="false">ABS(Y45-Z45)</f>
        <v>0</v>
      </c>
      <c r="AC45" s="17" t="n">
        <f aca="false">30+25*$AD$5</f>
        <v>31.5625</v>
      </c>
      <c r="AD45" s="17" t="n">
        <f aca="false">Ubar_c-Delta_c*AC45</f>
        <v>6.93074993569936</v>
      </c>
      <c r="AE45" s="11" t="n">
        <f aca="false">(-(Cost_k*Ubar_c+Delay_D)+AD45/$AD$5*AE46)/(Rho_a+AD45/$AD$5)</f>
        <v>-405.428110530748</v>
      </c>
      <c r="AF45" s="11" t="n">
        <f aca="false">MAX(AE45,-Delay_D/Rho_a)</f>
        <v>-335.745877992226</v>
      </c>
      <c r="AG45" s="11" t="n">
        <f aca="false">IF(AC45&lt;Floor_F,MAX((-(Cost_k*Ubar_c+Delay_D)*(1-EXP(-Rho_a*LN((Top_c-AC45)/(Top_c-Floor_F))/Delta_c))/Rho_a+EXP(-Rho_a*LN((Top_c-AC45)/(Top_c-Floor_F))/Delta_c)*(-Cost_k*Delta_c*Floor_F/Rho_a)),(-Delay_D/Rho_a)),(EXP(-Rho_a*LN(AC45/Floor_F)/Delta_c)*(-Cost_k*Delta_c*Floor_F/Rho_a)))</f>
        <v>-335.745877992226</v>
      </c>
      <c r="AH45" s="22" t="n">
        <f aca="false">ABS(AF45-AG45)</f>
        <v>0</v>
      </c>
    </row>
    <row r="46" customFormat="false" ht="15" hidden="false" customHeight="false" outlineLevel="0" collapsed="false">
      <c r="A46" s="17" t="n">
        <f aca="false">30+26*$B$5</f>
        <v>56</v>
      </c>
      <c r="B46" s="17" t="n">
        <f aca="false">-Delta_c*A46</f>
        <v>-5.67118898848094</v>
      </c>
      <c r="D46" s="11" t="n">
        <f aca="false">(-B46/$B$5*D45)/(Rho_a-B46/$B$5)</f>
        <v>-229.895976948754</v>
      </c>
      <c r="E46" s="11" t="n">
        <f aca="false">IF(A46&lt;Floor_F,MAX((-(Cost_k*Ubar_c+Delay_D)*(1-EXP(-Rho_a*LN((Top_c-A46)/(Top_c-Floor_F))/Delta_c))/Rho_a+EXP(-Rho_a*LN((Top_c-A46)/(Top_c-Floor_F))/Delta_c)*(-Cost_k*Delta_c*Floor_F/Rho_a)),(-Delay_D/Rho_a)),(EXP(-Rho_a*LN(A46/Floor_F)/Delta_c)*(-Cost_k*Delta_c*Floor_F/Rho_a)))</f>
        <v>-229.828966693359</v>
      </c>
      <c r="F46" s="22" t="n">
        <f aca="false">ABS(D46-E46)</f>
        <v>0.0670102553942797</v>
      </c>
      <c r="H46" s="17" t="n">
        <f aca="false">30+26*$I$5</f>
        <v>43</v>
      </c>
      <c r="I46" s="17" t="n">
        <f aca="false">Ubar_c-Delta_c*H46</f>
        <v>5.7724602204181</v>
      </c>
      <c r="J46" s="11" t="n">
        <f aca="false">(-(Cost_k*Ubar_c+Delay_D)+I46/$I$5*J47)/(Rho_a+I46/$I$5)</f>
        <v>-337.984297594954</v>
      </c>
      <c r="K46" s="11" t="n">
        <f aca="false">MAX(J46,-Delay_D/Rho_a)</f>
        <v>-335.745877992226</v>
      </c>
      <c r="L46" s="11" t="n">
        <f aca="false">IF(H46&lt;Floor_F,MAX((-(Cost_k*Ubar_c+Delay_D)*(1-EXP(-Rho_a*LN((Top_c-H46)/(Top_c-Floor_F))/Delta_c))/Rho_a+EXP(-Rho_a*LN((Top_c-H46)/(Top_c-Floor_F))/Delta_c)*(-Cost_k*Delta_c*Floor_F/Rho_a)),(-Delay_D/Rho_a)),(EXP(-Rho_a*LN(H46/Floor_F)/Delta_c)*(-Cost_k*Delta_c*Floor_F/Rho_a)))</f>
        <v>-335.745877992226</v>
      </c>
      <c r="M46" s="22" t="n">
        <f aca="false">ABS(K46-L46)</f>
        <v>0</v>
      </c>
      <c r="O46" s="17" t="n">
        <f aca="false">30+26*$P$5</f>
        <v>36.5</v>
      </c>
      <c r="P46" s="17" t="n">
        <f aca="false">Ubar_c-Delta_c*O46</f>
        <v>6.43072322800964</v>
      </c>
      <c r="Q46" s="11" t="n">
        <f aca="false">(-(Cost_k*Ubar_c+Delay_D)+P46/$P$5*Q47)/(Rho_a+P46/$P$5)</f>
        <v>-379.087086684842</v>
      </c>
      <c r="R46" s="11" t="n">
        <f aca="false">MAX(Q46,-Delay_D/Rho_a)</f>
        <v>-335.745877992226</v>
      </c>
      <c r="S46" s="11" t="n">
        <f aca="false">IF(O46&lt;Floor_F,MAX((-(Cost_k*Ubar_c+Delay_D)*(1-EXP(-Rho_a*LN((Top_c-O46)/(Top_c-Floor_F))/Delta_c))/Rho_a+EXP(-Rho_a*LN((Top_c-O46)/(Top_c-Floor_F))/Delta_c)*(-Cost_k*Delta_c*Floor_F/Rho_a)),(-Delay_D/Rho_a)),(EXP(-Rho_a*LN(O46/Floor_F)/Delta_c)*(-Cost_k*Delta_c*Floor_F/Rho_a)))</f>
        <v>-335.745877992226</v>
      </c>
      <c r="T46" s="22" t="n">
        <f aca="false">ABS(R46-S46)</f>
        <v>0</v>
      </c>
      <c r="V46" s="17" t="n">
        <f aca="false">30+26*$W$5</f>
        <v>33.25</v>
      </c>
      <c r="W46" s="17" t="n">
        <f aca="false">Ubar_c-Delta_c*V46</f>
        <v>6.7598547318054</v>
      </c>
      <c r="X46" s="11" t="n">
        <f aca="false">(-(Cost_k*Ubar_c+Delay_D)+W46/$W$5*X47)/(Rho_a+W46/$W$5)</f>
        <v>-396.83767918144</v>
      </c>
      <c r="Y46" s="11" t="n">
        <f aca="false">MAX(X46,-Delay_D/Rho_a)</f>
        <v>-335.745877992226</v>
      </c>
      <c r="Z46" s="11" t="n">
        <f aca="false">IF(V46&lt;Floor_F,MAX((-(Cost_k*Ubar_c+Delay_D)*(1-EXP(-Rho_a*LN((Top_c-V46)/(Top_c-Floor_F))/Delta_c))/Rho_a+EXP(-Rho_a*LN((Top_c-V46)/(Top_c-Floor_F))/Delta_c)*(-Cost_k*Delta_c*Floor_F/Rho_a)),(-Delay_D/Rho_a)),(EXP(-Rho_a*LN(V46/Floor_F)/Delta_c)*(-Cost_k*Delta_c*Floor_F/Rho_a)))</f>
        <v>-335.745877992226</v>
      </c>
      <c r="AA46" s="22" t="n">
        <f aca="false">ABS(Y46-Z46)</f>
        <v>0</v>
      </c>
      <c r="AC46" s="17" t="n">
        <f aca="false">30+26*$AD$5</f>
        <v>31.625</v>
      </c>
      <c r="AD46" s="17" t="n">
        <f aca="false">Ubar_c-Delta_c*AC46</f>
        <v>6.92442048370329</v>
      </c>
      <c r="AE46" s="11" t="n">
        <f aca="false">(-(Cost_k*Ubar_c+Delay_D)+AD46/$AD$5*AE47)/(Rho_a+AD46/$AD$5)</f>
        <v>-405.122704667596</v>
      </c>
      <c r="AF46" s="11" t="n">
        <f aca="false">MAX(AE46,-Delay_D/Rho_a)</f>
        <v>-335.745877992226</v>
      </c>
      <c r="AG46" s="11" t="n">
        <f aca="false">IF(AC46&lt;Floor_F,MAX((-(Cost_k*Ubar_c+Delay_D)*(1-EXP(-Rho_a*LN((Top_c-AC46)/(Top_c-Floor_F))/Delta_c))/Rho_a+EXP(-Rho_a*LN((Top_c-AC46)/(Top_c-Floor_F))/Delta_c)*(-Cost_k*Delta_c*Floor_F/Rho_a)),(-Delay_D/Rho_a)),(EXP(-Rho_a*LN(AC46/Floor_F)/Delta_c)*(-Cost_k*Delta_c*Floor_F/Rho_a)))</f>
        <v>-335.745877992226</v>
      </c>
      <c r="AH46" s="22" t="n">
        <f aca="false">ABS(AF46-AG46)</f>
        <v>0</v>
      </c>
    </row>
    <row r="47" customFormat="false" ht="15" hidden="false" customHeight="false" outlineLevel="0" collapsed="false">
      <c r="A47" s="17" t="n">
        <f aca="false">30+27*$B$5</f>
        <v>57</v>
      </c>
      <c r="B47" s="17" t="n">
        <f aca="false">-Delta_c*A47</f>
        <v>-5.7724602204181</v>
      </c>
      <c r="D47" s="11" t="n">
        <f aca="false">(-B47/$B$5*D46)/(Rho_a-B47/$B$5)</f>
        <v>-226.161777175285</v>
      </c>
      <c r="E47" s="11" t="n">
        <f aca="false">IF(A47&lt;Floor_F,MAX((-(Cost_k*Ubar_c+Delay_D)*(1-EXP(-Rho_a*LN((Top_c-A47)/(Top_c-Floor_F))/Delta_c))/Rho_a+EXP(-Rho_a*LN((Top_c-A47)/(Top_c-Floor_F))/Delta_c)*(-Cost_k*Delta_c*Floor_F/Rho_a)),(-Delay_D/Rho_a)),(EXP(-Rho_a*LN(A47/Floor_F)/Delta_c)*(-Cost_k*Delta_c*Floor_F/Rho_a)))</f>
        <v>-226.032245654582</v>
      </c>
      <c r="F47" s="22" t="n">
        <f aca="false">ABS(D47-E47)</f>
        <v>0.129531520702869</v>
      </c>
      <c r="H47" s="17" t="n">
        <f aca="false">30+27*$I$5</f>
        <v>43.5</v>
      </c>
      <c r="I47" s="17" t="n">
        <f aca="false">Ubar_c-Delta_c*H47</f>
        <v>5.72182460444952</v>
      </c>
      <c r="J47" s="11" t="n">
        <f aca="false">(-(Cost_k*Ubar_c+Delay_D)+I47/$I$5*J48)/(Rho_a+I47/$I$5)</f>
        <v>-334.494005149324</v>
      </c>
      <c r="K47" s="11" t="n">
        <f aca="false">MAX(J47,-Delay_D/Rho_a)</f>
        <v>-334.494005149324</v>
      </c>
      <c r="L47" s="11" t="n">
        <f aca="false">IF(H47&lt;Floor_F,MAX((-(Cost_k*Ubar_c+Delay_D)*(1-EXP(-Rho_a*LN((Top_c-H47)/(Top_c-Floor_F))/Delta_c))/Rho_a+EXP(-Rho_a*LN((Top_c-H47)/(Top_c-Floor_F))/Delta_c)*(-Cost_k*Delta_c*Floor_F/Rho_a)),(-Delay_D/Rho_a)),(EXP(-Rho_a*LN(H47/Floor_F)/Delta_c)*(-Cost_k*Delta_c*Floor_F/Rho_a)))</f>
        <v>-335.365332985087</v>
      </c>
      <c r="M47" s="22" t="n">
        <f aca="false">ABS(K47-L47)</f>
        <v>0.871327835762997</v>
      </c>
      <c r="O47" s="17" t="n">
        <f aca="false">30+27*$P$5</f>
        <v>36.75</v>
      </c>
      <c r="P47" s="17" t="n">
        <f aca="false">Ubar_c-Delta_c*O47</f>
        <v>6.40540542002534</v>
      </c>
      <c r="Q47" s="11" t="n">
        <f aca="false">(-(Cost_k*Ubar_c+Delay_D)+P47/$P$5*Q48)/(Rho_a+P47/$P$5)</f>
        <v>-377.672874274681</v>
      </c>
      <c r="R47" s="11" t="n">
        <f aca="false">MAX(Q47,-Delay_D/Rho_a)</f>
        <v>-335.745877992226</v>
      </c>
      <c r="S47" s="11" t="n">
        <f aca="false">IF(O47&lt;Floor_F,MAX((-(Cost_k*Ubar_c+Delay_D)*(1-EXP(-Rho_a*LN((Top_c-O47)/(Top_c-Floor_F))/Delta_c))/Rho_a+EXP(-Rho_a*LN((Top_c-O47)/(Top_c-Floor_F))/Delta_c)*(-Cost_k*Delta_c*Floor_F/Rho_a)),(-Delay_D/Rho_a)),(EXP(-Rho_a*LN(O47/Floor_F)/Delta_c)*(-Cost_k*Delta_c*Floor_F/Rho_a)))</f>
        <v>-335.745877992226</v>
      </c>
      <c r="T47" s="22" t="n">
        <f aca="false">ABS(R47-S47)</f>
        <v>0</v>
      </c>
      <c r="V47" s="17" t="n">
        <f aca="false">30+27*$W$5</f>
        <v>33.375</v>
      </c>
      <c r="W47" s="17" t="n">
        <f aca="false">Ubar_c-Delta_c*V47</f>
        <v>6.74719582781326</v>
      </c>
      <c r="X47" s="11" t="n">
        <f aca="false">(-(Cost_k*Ubar_c+Delay_D)+W47/$W$5*X48)/(Rho_a+W47/$W$5)</f>
        <v>-396.196285549567</v>
      </c>
      <c r="Y47" s="11" t="n">
        <f aca="false">MAX(X47,-Delay_D/Rho_a)</f>
        <v>-335.745877992226</v>
      </c>
      <c r="Z47" s="11" t="n">
        <f aca="false">IF(V47&lt;Floor_F,MAX((-(Cost_k*Ubar_c+Delay_D)*(1-EXP(-Rho_a*LN((Top_c-V47)/(Top_c-Floor_F))/Delta_c))/Rho_a+EXP(-Rho_a*LN((Top_c-V47)/(Top_c-Floor_F))/Delta_c)*(-Cost_k*Delta_c*Floor_F/Rho_a)),(-Delay_D/Rho_a)),(EXP(-Rho_a*LN(V47/Floor_F)/Delta_c)*(-Cost_k*Delta_c*Floor_F/Rho_a)))</f>
        <v>-335.745877992226</v>
      </c>
      <c r="AA47" s="22" t="n">
        <f aca="false">ABS(Y47-Z47)</f>
        <v>0</v>
      </c>
      <c r="AC47" s="17" t="n">
        <f aca="false">30+27*$AD$5</f>
        <v>31.6875</v>
      </c>
      <c r="AD47" s="17" t="n">
        <f aca="false">Ubar_c-Delta_c*AC47</f>
        <v>6.91809103170722</v>
      </c>
      <c r="AE47" s="11" t="n">
        <f aca="false">(-(Cost_k*Ubar_c+Delay_D)+AD47/$AD$5*AE48)/(Rho_a+AD47/$AD$5)</f>
        <v>-404.816756907871</v>
      </c>
      <c r="AF47" s="11" t="n">
        <f aca="false">MAX(AE47,-Delay_D/Rho_a)</f>
        <v>-335.745877992226</v>
      </c>
      <c r="AG47" s="11" t="n">
        <f aca="false">IF(AC47&lt;Floor_F,MAX((-(Cost_k*Ubar_c+Delay_D)*(1-EXP(-Rho_a*LN((Top_c-AC47)/(Top_c-Floor_F))/Delta_c))/Rho_a+EXP(-Rho_a*LN((Top_c-AC47)/(Top_c-Floor_F))/Delta_c)*(-Cost_k*Delta_c*Floor_F/Rho_a)),(-Delay_D/Rho_a)),(EXP(-Rho_a*LN(AC47/Floor_F)/Delta_c)*(-Cost_k*Delta_c*Floor_F/Rho_a)))</f>
        <v>-335.745877992226</v>
      </c>
      <c r="AH47" s="22" t="n">
        <f aca="false">ABS(AF47-AG47)</f>
        <v>0</v>
      </c>
    </row>
    <row r="48" customFormat="false" ht="15" hidden="false" customHeight="false" outlineLevel="0" collapsed="false">
      <c r="A48" s="17" t="n">
        <f aca="false">30+28*$B$5</f>
        <v>58</v>
      </c>
      <c r="B48" s="17" t="n">
        <f aca="false">-Delta_c*A48</f>
        <v>-5.87373145235526</v>
      </c>
      <c r="D48" s="11" t="n">
        <f aca="false">(-B48/$B$5*D47)/(Rho_a-B48/$B$5)</f>
        <v>-222.550557657011</v>
      </c>
      <c r="E48" s="11" t="n">
        <f aca="false">IF(A48&lt;Floor_F,MAX((-(Cost_k*Ubar_c+Delay_D)*(1-EXP(-Rho_a*LN((Top_c-A48)/(Top_c-Floor_F))/Delta_c))/Rho_a+EXP(-Rho_a*LN((Top_c-A48)/(Top_c-Floor_F))/Delta_c)*(-Cost_k*Delta_c*Floor_F/Rho_a)),(-Delay_D/Rho_a)),(EXP(-Rho_a*LN(A48/Floor_F)/Delta_c)*(-Cost_k*Delta_c*Floor_F/Rho_a)))</f>
        <v>-222.36265793319</v>
      </c>
      <c r="F48" s="22" t="n">
        <f aca="false">ABS(D48-E48)</f>
        <v>0.187899723820976</v>
      </c>
      <c r="H48" s="17" t="n">
        <f aca="false">30+28*$I$5</f>
        <v>44</v>
      </c>
      <c r="I48" s="17" t="n">
        <f aca="false">Ubar_c-Delta_c*H48</f>
        <v>5.67118898848094</v>
      </c>
      <c r="J48" s="11" t="n">
        <f aca="false">(-(Cost_k*Ubar_c+Delay_D)+I48/$I$5*J49)/(Rho_a+I48/$I$5)</f>
        <v>-330.94375572635</v>
      </c>
      <c r="K48" s="11" t="n">
        <f aca="false">MAX(J48,-Delay_D/Rho_a)</f>
        <v>-330.94375572635</v>
      </c>
      <c r="L48" s="11" t="n">
        <f aca="false">IF(H48&lt;Floor_F,MAX((-(Cost_k*Ubar_c+Delay_D)*(1-EXP(-Rho_a*LN((Top_c-H48)/(Top_c-Floor_F))/Delta_c))/Rho_a+EXP(-Rho_a*LN((Top_c-H48)/(Top_c-Floor_F))/Delta_c)*(-Cost_k*Delta_c*Floor_F/Rho_a)),(-Delay_D/Rho_a)),(EXP(-Rho_a*LN(H48/Floor_F)/Delta_c)*(-Cost_k*Delta_c*Floor_F/Rho_a)))</f>
        <v>-331.791643074071</v>
      </c>
      <c r="M48" s="22" t="n">
        <f aca="false">ABS(K48-L48)</f>
        <v>0.847887347721496</v>
      </c>
      <c r="O48" s="17" t="n">
        <f aca="false">30+28*$P$5</f>
        <v>37</v>
      </c>
      <c r="P48" s="17" t="n">
        <f aca="false">Ubar_c-Delta_c*O48</f>
        <v>6.38008761204106</v>
      </c>
      <c r="Q48" s="11" t="n">
        <f aca="false">(-(Cost_k*Ubar_c+Delay_D)+P48/$P$5*Q49)/(Rho_a+P48/$P$5)</f>
        <v>-376.247811346331</v>
      </c>
      <c r="R48" s="11" t="n">
        <f aca="false">MAX(Q48,-Delay_D/Rho_a)</f>
        <v>-335.745877992226</v>
      </c>
      <c r="S48" s="11" t="n">
        <f aca="false">IF(O48&lt;Floor_F,MAX((-(Cost_k*Ubar_c+Delay_D)*(1-EXP(-Rho_a*LN((Top_c-O48)/(Top_c-Floor_F))/Delta_c))/Rho_a+EXP(-Rho_a*LN((Top_c-O48)/(Top_c-Floor_F))/Delta_c)*(-Cost_k*Delta_c*Floor_F/Rho_a)),(-Delay_D/Rho_a)),(EXP(-Rho_a*LN(O48/Floor_F)/Delta_c)*(-Cost_k*Delta_c*Floor_F/Rho_a)))</f>
        <v>-335.745877992226</v>
      </c>
      <c r="T48" s="22" t="n">
        <f aca="false">ABS(R48-S48)</f>
        <v>0</v>
      </c>
      <c r="V48" s="17" t="n">
        <f aca="false">30+28*$W$5</f>
        <v>33.5</v>
      </c>
      <c r="W48" s="17" t="n">
        <f aca="false">Ubar_c-Delta_c*V48</f>
        <v>6.73453692382111</v>
      </c>
      <c r="X48" s="11" t="n">
        <f aca="false">(-(Cost_k*Ubar_c+Delay_D)+W48/$W$5*X49)/(Rho_a+W48/$W$5)</f>
        <v>-395.552556020143</v>
      </c>
      <c r="Y48" s="11" t="n">
        <f aca="false">MAX(X48,-Delay_D/Rho_a)</f>
        <v>-335.745877992226</v>
      </c>
      <c r="Z48" s="11" t="n">
        <f aca="false">IF(V48&lt;Floor_F,MAX((-(Cost_k*Ubar_c+Delay_D)*(1-EXP(-Rho_a*LN((Top_c-V48)/(Top_c-Floor_F))/Delta_c))/Rho_a+EXP(-Rho_a*LN((Top_c-V48)/(Top_c-Floor_F))/Delta_c)*(-Cost_k*Delta_c*Floor_F/Rho_a)),(-Delay_D/Rho_a)),(EXP(-Rho_a*LN(V48/Floor_F)/Delta_c)*(-Cost_k*Delta_c*Floor_F/Rho_a)))</f>
        <v>-335.745877992226</v>
      </c>
      <c r="AA48" s="22" t="n">
        <f aca="false">ABS(Y48-Z48)</f>
        <v>0</v>
      </c>
      <c r="AC48" s="17" t="n">
        <f aca="false">30+28*$AD$5</f>
        <v>31.75</v>
      </c>
      <c r="AD48" s="17" t="n">
        <f aca="false">Ubar_c-Delta_c*AC48</f>
        <v>6.91176157971114</v>
      </c>
      <c r="AE48" s="11" t="n">
        <f aca="false">(-(Cost_k*Ubar_c+Delay_D)+AD48/$AD$5*AE49)/(Rho_a+AD48/$AD$5)</f>
        <v>-404.51026579339</v>
      </c>
      <c r="AF48" s="11" t="n">
        <f aca="false">MAX(AE48,-Delay_D/Rho_a)</f>
        <v>-335.745877992226</v>
      </c>
      <c r="AG48" s="11" t="n">
        <f aca="false">IF(AC48&lt;Floor_F,MAX((-(Cost_k*Ubar_c+Delay_D)*(1-EXP(-Rho_a*LN((Top_c-AC48)/(Top_c-Floor_F))/Delta_c))/Rho_a+EXP(-Rho_a*LN((Top_c-AC48)/(Top_c-Floor_F))/Delta_c)*(-Cost_k*Delta_c*Floor_F/Rho_a)),(-Delay_D/Rho_a)),(EXP(-Rho_a*LN(AC48/Floor_F)/Delta_c)*(-Cost_k*Delta_c*Floor_F/Rho_a)))</f>
        <v>-335.745877992226</v>
      </c>
      <c r="AH48" s="22" t="n">
        <f aca="false">ABS(AF48-AG48)</f>
        <v>0</v>
      </c>
    </row>
    <row r="49" customFormat="false" ht="15" hidden="false" customHeight="false" outlineLevel="0" collapsed="false">
      <c r="A49" s="17" t="n">
        <f aca="false">30+29*$B$5</f>
        <v>59</v>
      </c>
      <c r="B49" s="17" t="n">
        <f aca="false">-Delta_c*A49</f>
        <v>-5.97500268429242</v>
      </c>
      <c r="D49" s="11" t="n">
        <f aca="false">(-B49/$B$5*D48)/(Rho_a-B49/$B$5)</f>
        <v>-219.056284109548</v>
      </c>
      <c r="E49" s="11" t="n">
        <f aca="false">IF(A49&lt;Floor_F,MAX((-(Cost_k*Ubar_c+Delay_D)*(1-EXP(-Rho_a*LN((Top_c-A49)/(Top_c-Floor_F))/Delta_c))/Rho_a+EXP(-Rho_a*LN((Top_c-A49)/(Top_c-Floor_F))/Delta_c)*(-Cost_k*Delta_c*Floor_F/Rho_a)),(-Delay_D/Rho_a)),(EXP(-Rho_a*LN(A49/Floor_F)/Delta_c)*(-Cost_k*Delta_c*Floor_F/Rho_a)))</f>
        <v>-218.813862760577</v>
      </c>
      <c r="F49" s="22" t="n">
        <f aca="false">ABS(D49-E49)</f>
        <v>0.242421348970709</v>
      </c>
      <c r="H49" s="17" t="n">
        <f aca="false">30+29*$I$5</f>
        <v>44.5</v>
      </c>
      <c r="I49" s="17" t="n">
        <f aca="false">Ubar_c-Delta_c*H49</f>
        <v>5.62055337251236</v>
      </c>
      <c r="J49" s="11" t="n">
        <f aca="false">(-(Cost_k*Ubar_c+Delay_D)+I49/$I$5*J50)/(Rho_a+I49/$I$5)</f>
        <v>-327.331974846302</v>
      </c>
      <c r="K49" s="11" t="n">
        <f aca="false">MAX(J49,-Delay_D/Rho_a)</f>
        <v>-327.331974846302</v>
      </c>
      <c r="L49" s="11" t="n">
        <f aca="false">IF(H49&lt;Floor_F,MAX((-(Cost_k*Ubar_c+Delay_D)*(1-EXP(-Rho_a*LN((Top_c-H49)/(Top_c-Floor_F))/Delta_c))/Rho_a+EXP(-Rho_a*LN((Top_c-H49)/(Top_c-Floor_F))/Delta_c)*(-Cost_k*Delta_c*Floor_F/Rho_a)),(-Delay_D/Rho_a)),(EXP(-Rho_a*LN(H49/Floor_F)/Delta_c)*(-Cost_k*Delta_c*Floor_F/Rho_a)))</f>
        <v>-328.155473941225</v>
      </c>
      <c r="M49" s="22" t="n">
        <f aca="false">ABS(K49-L49)</f>
        <v>0.823499094923591</v>
      </c>
      <c r="O49" s="17" t="n">
        <f aca="false">30+29*$P$5</f>
        <v>37.25</v>
      </c>
      <c r="P49" s="17" t="n">
        <f aca="false">Ubar_c-Delta_c*O49</f>
        <v>6.35476980405677</v>
      </c>
      <c r="Q49" s="11" t="n">
        <f aca="false">(-(Cost_k*Ubar_c+Delay_D)+P49/$P$5*Q50)/(Rho_a+P49/$P$5)</f>
        <v>-374.811771261423</v>
      </c>
      <c r="R49" s="11" t="n">
        <f aca="false">MAX(Q49,-Delay_D/Rho_a)</f>
        <v>-335.745877992226</v>
      </c>
      <c r="S49" s="11" t="n">
        <f aca="false">IF(O49&lt;Floor_F,MAX((-(Cost_k*Ubar_c+Delay_D)*(1-EXP(-Rho_a*LN((Top_c-O49)/(Top_c-Floor_F))/Delta_c))/Rho_a+EXP(-Rho_a*LN((Top_c-O49)/(Top_c-Floor_F))/Delta_c)*(-Cost_k*Delta_c*Floor_F/Rho_a)),(-Delay_D/Rho_a)),(EXP(-Rho_a*LN(O49/Floor_F)/Delta_c)*(-Cost_k*Delta_c*Floor_F/Rho_a)))</f>
        <v>-335.745877992226</v>
      </c>
      <c r="T49" s="22" t="n">
        <f aca="false">ABS(R49-S49)</f>
        <v>0</v>
      </c>
      <c r="V49" s="17" t="n">
        <f aca="false">30+29*$W$5</f>
        <v>33.625</v>
      </c>
      <c r="W49" s="17" t="n">
        <f aca="false">Ubar_c-Delta_c*V49</f>
        <v>6.72187801982897</v>
      </c>
      <c r="X49" s="11" t="n">
        <f aca="false">(-(Cost_k*Ubar_c+Delay_D)+W49/$W$5*X50)/(Rho_a+W49/$W$5)</f>
        <v>-394.906477679266</v>
      </c>
      <c r="Y49" s="11" t="n">
        <f aca="false">MAX(X49,-Delay_D/Rho_a)</f>
        <v>-335.745877992226</v>
      </c>
      <c r="Z49" s="11" t="n">
        <f aca="false">IF(V49&lt;Floor_F,MAX((-(Cost_k*Ubar_c+Delay_D)*(1-EXP(-Rho_a*LN((Top_c-V49)/(Top_c-Floor_F))/Delta_c))/Rho_a+EXP(-Rho_a*LN((Top_c-V49)/(Top_c-Floor_F))/Delta_c)*(-Cost_k*Delta_c*Floor_F/Rho_a)),(-Delay_D/Rho_a)),(EXP(-Rho_a*LN(V49/Floor_F)/Delta_c)*(-Cost_k*Delta_c*Floor_F/Rho_a)))</f>
        <v>-335.745877992226</v>
      </c>
      <c r="AA49" s="22" t="n">
        <f aca="false">ABS(Y49-Z49)</f>
        <v>0</v>
      </c>
      <c r="AC49" s="17" t="n">
        <f aca="false">30+29*$AD$5</f>
        <v>31.8125</v>
      </c>
      <c r="AD49" s="17" t="n">
        <f aca="false">Ubar_c-Delta_c*AC49</f>
        <v>6.90543212771507</v>
      </c>
      <c r="AE49" s="11" t="n">
        <f aca="false">(-(Cost_k*Ubar_c+Delay_D)+AD49/$AD$5*AE50)/(Rho_a+AD49/$AD$5)</f>
        <v>-404.20322986071</v>
      </c>
      <c r="AF49" s="11" t="n">
        <f aca="false">MAX(AE49,-Delay_D/Rho_a)</f>
        <v>-335.745877992226</v>
      </c>
      <c r="AG49" s="11" t="n">
        <f aca="false">IF(AC49&lt;Floor_F,MAX((-(Cost_k*Ubar_c+Delay_D)*(1-EXP(-Rho_a*LN((Top_c-AC49)/(Top_c-Floor_F))/Delta_c))/Rho_a+EXP(-Rho_a*LN((Top_c-AC49)/(Top_c-Floor_F))/Delta_c)*(-Cost_k*Delta_c*Floor_F/Rho_a)),(-Delay_D/Rho_a)),(EXP(-Rho_a*LN(AC49/Floor_F)/Delta_c)*(-Cost_k*Delta_c*Floor_F/Rho_a)))</f>
        <v>-335.745877992226</v>
      </c>
      <c r="AH49" s="22" t="n">
        <f aca="false">ABS(AF49-AG49)</f>
        <v>0</v>
      </c>
    </row>
    <row r="50" customFormat="false" ht="15" hidden="false" customHeight="false" outlineLevel="0" collapsed="false">
      <c r="A50" s="17" t="n">
        <f aca="false">30+30*$B$5</f>
        <v>60</v>
      </c>
      <c r="B50" s="17" t="n">
        <f aca="false">-Delta_c*A50</f>
        <v>-6.07627391622958</v>
      </c>
      <c r="D50" s="11" t="n">
        <f aca="false">(-B50/$B$5*D49)/(Rho_a-B50/$B$5)</f>
        <v>-215.673312493044</v>
      </c>
      <c r="E50" s="11" t="n">
        <f aca="false">IF(A50&lt;Floor_F,MAX((-(Cost_k*Ubar_c+Delay_D)*(1-EXP(-Rho_a*LN((Top_c-A50)/(Top_c-Floor_F))/Delta_c))/Rho_a+EXP(-Rho_a*LN((Top_c-A50)/(Top_c-Floor_F))/Delta_c)*(-Cost_k*Delta_c*Floor_F/Rho_a)),(-Delay_D/Rho_a)),(EXP(-Rho_a*LN(A50/Floor_F)/Delta_c)*(-Cost_k*Delta_c*Floor_F/Rho_a)))</f>
        <v>-215.379936072815</v>
      </c>
      <c r="F50" s="22" t="n">
        <f aca="false">ABS(D50-E50)</f>
        <v>0.293376420229265</v>
      </c>
      <c r="H50" s="17" t="n">
        <f aca="false">30+30*$I$5</f>
        <v>45</v>
      </c>
      <c r="I50" s="17" t="n">
        <f aca="false">Ubar_c-Delta_c*H50</f>
        <v>5.56991775654378</v>
      </c>
      <c r="J50" s="11" t="n">
        <f aca="false">(-(Cost_k*Ubar_c+Delay_D)+I50/$I$5*J51)/(Rho_a+I50/$I$5)</f>
        <v>-323.657032126374</v>
      </c>
      <c r="K50" s="11" t="n">
        <f aca="false">MAX(J50,-Delay_D/Rho_a)</f>
        <v>-323.657032126374</v>
      </c>
      <c r="L50" s="11" t="n">
        <f aca="false">IF(H50&lt;Floor_F,MAX((-(Cost_k*Ubar_c+Delay_D)*(1-EXP(-Rho_a*LN((Top_c-H50)/(Top_c-Floor_F))/Delta_c))/Rho_a+EXP(-Rho_a*LN((Top_c-H50)/(Top_c-Floor_F))/Delta_c)*(-Cost_k*Delta_c*Floor_F/Rho_a)),(-Delay_D/Rho_a)),(EXP(-Rho_a*LN(H50/Floor_F)/Delta_c)*(-Cost_k*Delta_c*Floor_F/Rho_a)))</f>
        <v>-324.455155485324</v>
      </c>
      <c r="M50" s="22" t="n">
        <f aca="false">ABS(K50-L50)</f>
        <v>0.798123358949852</v>
      </c>
      <c r="O50" s="17" t="n">
        <f aca="false">30+30*$P$5</f>
        <v>37.5</v>
      </c>
      <c r="P50" s="17" t="n">
        <f aca="false">Ubar_c-Delta_c*O50</f>
        <v>6.32945199607248</v>
      </c>
      <c r="Q50" s="11" t="n">
        <f aca="false">(-(Cost_k*Ubar_c+Delay_D)+P50/$P$5*Q51)/(Rho_a+P50/$P$5)</f>
        <v>-373.364625393147</v>
      </c>
      <c r="R50" s="11" t="n">
        <f aca="false">MAX(Q50,-Delay_D/Rho_a)</f>
        <v>-335.745877992226</v>
      </c>
      <c r="S50" s="11" t="n">
        <f aca="false">IF(O50&lt;Floor_F,MAX((-(Cost_k*Ubar_c+Delay_D)*(1-EXP(-Rho_a*LN((Top_c-O50)/(Top_c-Floor_F))/Delta_c))/Rho_a+EXP(-Rho_a*LN((Top_c-O50)/(Top_c-Floor_F))/Delta_c)*(-Cost_k*Delta_c*Floor_F/Rho_a)),(-Delay_D/Rho_a)),(EXP(-Rho_a*LN(O50/Floor_F)/Delta_c)*(-Cost_k*Delta_c*Floor_F/Rho_a)))</f>
        <v>-335.745877992226</v>
      </c>
      <c r="T50" s="22" t="n">
        <f aca="false">ABS(R50-S50)</f>
        <v>0</v>
      </c>
      <c r="V50" s="17" t="n">
        <f aca="false">30+30*$W$5</f>
        <v>33.75</v>
      </c>
      <c r="W50" s="17" t="n">
        <f aca="false">Ubar_c-Delta_c*V50</f>
        <v>6.70921911583682</v>
      </c>
      <c r="X50" s="11" t="n">
        <f aca="false">(-(Cost_k*Ubar_c+Delay_D)+W50/$W$5*X51)/(Rho_a+W50/$W$5)</f>
        <v>-394.258037517185</v>
      </c>
      <c r="Y50" s="11" t="n">
        <f aca="false">MAX(X50,-Delay_D/Rho_a)</f>
        <v>-335.745877992226</v>
      </c>
      <c r="Z50" s="11" t="n">
        <f aca="false">IF(V50&lt;Floor_F,MAX((-(Cost_k*Ubar_c+Delay_D)*(1-EXP(-Rho_a*LN((Top_c-V50)/(Top_c-Floor_F))/Delta_c))/Rho_a+EXP(-Rho_a*LN((Top_c-V50)/(Top_c-Floor_F))/Delta_c)*(-Cost_k*Delta_c*Floor_F/Rho_a)),(-Delay_D/Rho_a)),(EXP(-Rho_a*LN(V50/Floor_F)/Delta_c)*(-Cost_k*Delta_c*Floor_F/Rho_a)))</f>
        <v>-335.745877992226</v>
      </c>
      <c r="AA50" s="22" t="n">
        <f aca="false">ABS(Y50-Z50)</f>
        <v>0</v>
      </c>
      <c r="AC50" s="17" t="n">
        <f aca="false">30+30*$AD$5</f>
        <v>31.875</v>
      </c>
      <c r="AD50" s="17" t="n">
        <f aca="false">Ubar_c-Delta_c*AC50</f>
        <v>6.899102675719</v>
      </c>
      <c r="AE50" s="11" t="n">
        <f aca="false">(-(Cost_k*Ubar_c+Delay_D)+AD50/$AD$5*AE51)/(Rho_a+AD50/$AD$5)</f>
        <v>-403.8956476411</v>
      </c>
      <c r="AF50" s="11" t="n">
        <f aca="false">MAX(AE50,-Delay_D/Rho_a)</f>
        <v>-335.745877992226</v>
      </c>
      <c r="AG50" s="11" t="n">
        <f aca="false">IF(AC50&lt;Floor_F,MAX((-(Cost_k*Ubar_c+Delay_D)*(1-EXP(-Rho_a*LN((Top_c-AC50)/(Top_c-Floor_F))/Delta_c))/Rho_a+EXP(-Rho_a*LN((Top_c-AC50)/(Top_c-Floor_F))/Delta_c)*(-Cost_k*Delta_c*Floor_F/Rho_a)),(-Delay_D/Rho_a)),(EXP(-Rho_a*LN(AC50/Floor_F)/Delta_c)*(-Cost_k*Delta_c*Floor_F/Rho_a)))</f>
        <v>-335.745877992226</v>
      </c>
      <c r="AH50" s="22" t="n">
        <f aca="false">ABS(AF50-AG50)</f>
        <v>0</v>
      </c>
    </row>
    <row r="51" customFormat="false" ht="15" hidden="false" customHeight="false" outlineLevel="0" collapsed="false">
      <c r="A51" s="17" t="n">
        <f aca="false">30+31*$B$5</f>
        <v>61</v>
      </c>
      <c r="B51" s="17" t="n">
        <f aca="false">-Delta_c*A51</f>
        <v>-6.17754514816674</v>
      </c>
      <c r="D51" s="11" t="n">
        <f aca="false">(-B51/$B$5*D50)/(Rho_a-B51/$B$5)</f>
        <v>-212.396357881793</v>
      </c>
      <c r="E51" s="11" t="n">
        <f aca="false">IF(A51&lt;Floor_F,MAX((-(Cost_k*Ubar_c+Delay_D)*(1-EXP(-Rho_a*LN((Top_c-A51)/(Top_c-Floor_F))/Delta_c))/Rho_a+EXP(-Rho_a*LN((Top_c-A51)/(Top_c-Floor_F))/Delta_c)*(-Cost_k*Delta_c*Floor_F/Rho_a)),(-Delay_D/Rho_a)),(EXP(-Rho_a*LN(A51/Floor_F)/Delta_c)*(-Cost_k*Delta_c*Floor_F/Rho_a)))</f>
        <v>-212.055336740068</v>
      </c>
      <c r="F51" s="22" t="n">
        <f aca="false">ABS(D51-E51)</f>
        <v>0.341021141725008</v>
      </c>
      <c r="H51" s="17" t="n">
        <f aca="false">30+31*$I$5</f>
        <v>45.5</v>
      </c>
      <c r="I51" s="17" t="n">
        <f aca="false">Ubar_c-Delta_c*H51</f>
        <v>5.5192821405752</v>
      </c>
      <c r="J51" s="11" t="n">
        <f aca="false">(-(Cost_k*Ubar_c+Delay_D)+I51/$I$5*J52)/(Rho_a+I51/$I$5)</f>
        <v>-319.917238769549</v>
      </c>
      <c r="K51" s="11" t="n">
        <f aca="false">MAX(J51,-Delay_D/Rho_a)</f>
        <v>-319.917238769549</v>
      </c>
      <c r="L51" s="11" t="n">
        <f aca="false">IF(H51&lt;Floor_F,MAX((-(Cost_k*Ubar_c+Delay_D)*(1-EXP(-Rho_a*LN((Top_c-H51)/(Top_c-Floor_F))/Delta_c))/Rho_a+EXP(-Rho_a*LN((Top_c-H51)/(Top_c-Floor_F))/Delta_c)*(-Cost_k*Delta_c*Floor_F/Rho_a)),(-Delay_D/Rho_a)),(EXP(-Rho_a*LN(H51/Floor_F)/Delta_c)*(-Cost_k*Delta_c*Floor_F/Rho_a)))</f>
        <v>-320.688957235092</v>
      </c>
      <c r="M51" s="22" t="n">
        <f aca="false">ABS(K51-L51)</f>
        <v>0.771718465542108</v>
      </c>
      <c r="O51" s="17" t="n">
        <f aca="false">30+31*$P$5</f>
        <v>37.75</v>
      </c>
      <c r="P51" s="17" t="n">
        <f aca="false">Ubar_c-Delta_c*O51</f>
        <v>6.30413418808819</v>
      </c>
      <c r="Q51" s="11" t="n">
        <f aca="false">(-(Cost_k*Ubar_c+Delay_D)+P51/$P$5*Q52)/(Rho_a+P51/$P$5)</f>
        <v>-371.906243086946</v>
      </c>
      <c r="R51" s="11" t="n">
        <f aca="false">MAX(Q51,-Delay_D/Rho_a)</f>
        <v>-335.745877992226</v>
      </c>
      <c r="S51" s="11" t="n">
        <f aca="false">IF(O51&lt;Floor_F,MAX((-(Cost_k*Ubar_c+Delay_D)*(1-EXP(-Rho_a*LN((Top_c-O51)/(Top_c-Floor_F))/Delta_c))/Rho_a+EXP(-Rho_a*LN((Top_c-O51)/(Top_c-Floor_F))/Delta_c)*(-Cost_k*Delta_c*Floor_F/Rho_a)),(-Delay_D/Rho_a)),(EXP(-Rho_a*LN(O51/Floor_F)/Delta_c)*(-Cost_k*Delta_c*Floor_F/Rho_a)))</f>
        <v>-335.745877992226</v>
      </c>
      <c r="T51" s="22" t="n">
        <f aca="false">ABS(R51-S51)</f>
        <v>0</v>
      </c>
      <c r="V51" s="17" t="n">
        <f aca="false">30+31*$W$5</f>
        <v>33.875</v>
      </c>
      <c r="W51" s="17" t="n">
        <f aca="false">Ubar_c-Delta_c*V51</f>
        <v>6.69656021184468</v>
      </c>
      <c r="X51" s="11" t="n">
        <f aca="false">(-(Cost_k*Ubar_c+Delay_D)+W51/$W$5*X52)/(Rho_a+W51/$W$5)</f>
        <v>-393.607222427405</v>
      </c>
      <c r="Y51" s="11" t="n">
        <f aca="false">MAX(X51,-Delay_D/Rho_a)</f>
        <v>-335.745877992226</v>
      </c>
      <c r="Z51" s="11" t="n">
        <f aca="false">IF(V51&lt;Floor_F,MAX((-(Cost_k*Ubar_c+Delay_D)*(1-EXP(-Rho_a*LN((Top_c-V51)/(Top_c-Floor_F))/Delta_c))/Rho_a+EXP(-Rho_a*LN((Top_c-V51)/(Top_c-Floor_F))/Delta_c)*(-Cost_k*Delta_c*Floor_F/Rho_a)),(-Delay_D/Rho_a)),(EXP(-Rho_a*LN(V51/Floor_F)/Delta_c)*(-Cost_k*Delta_c*Floor_F/Rho_a)))</f>
        <v>-335.745877992226</v>
      </c>
      <c r="AA51" s="22" t="n">
        <f aca="false">ABS(Y51-Z51)</f>
        <v>0</v>
      </c>
      <c r="AC51" s="17" t="n">
        <f aca="false">30+31*$AD$5</f>
        <v>31.9375</v>
      </c>
      <c r="AD51" s="17" t="n">
        <f aca="false">Ubar_c-Delta_c*AC51</f>
        <v>6.89277322372293</v>
      </c>
      <c r="AE51" s="11" t="n">
        <f aca="false">(-(Cost_k*Ubar_c+Delay_D)+AD51/$AD$5*AE52)/(Rho_a+AD51/$AD$5)</f>
        <v>-403.587517660519</v>
      </c>
      <c r="AF51" s="11" t="n">
        <f aca="false">MAX(AE51,-Delay_D/Rho_a)</f>
        <v>-335.745877992226</v>
      </c>
      <c r="AG51" s="11" t="n">
        <f aca="false">IF(AC51&lt;Floor_F,MAX((-(Cost_k*Ubar_c+Delay_D)*(1-EXP(-Rho_a*LN((Top_c-AC51)/(Top_c-Floor_F))/Delta_c))/Rho_a+EXP(-Rho_a*LN((Top_c-AC51)/(Top_c-Floor_F))/Delta_c)*(-Cost_k*Delta_c*Floor_F/Rho_a)),(-Delay_D/Rho_a)),(EXP(-Rho_a*LN(AC51/Floor_F)/Delta_c)*(-Cost_k*Delta_c*Floor_F/Rho_a)))</f>
        <v>-335.745877992226</v>
      </c>
      <c r="AH51" s="22" t="n">
        <f aca="false">ABS(AF51-AG51)</f>
        <v>0</v>
      </c>
    </row>
    <row r="52" customFormat="false" ht="15" hidden="false" customHeight="false" outlineLevel="0" collapsed="false">
      <c r="A52" s="17" t="n">
        <f aca="false">30+32*$B$5</f>
        <v>62</v>
      </c>
      <c r="B52" s="17" t="n">
        <f aca="false">-Delta_c*A52</f>
        <v>-6.27881638010389</v>
      </c>
      <c r="D52" s="11" t="n">
        <f aca="false">(-B52/$B$5*D51)/(Rho_a-B52/$B$5)</f>
        <v>-209.220466272294</v>
      </c>
      <c r="E52" s="11" t="n">
        <f aca="false">IF(A52&lt;Floor_F,MAX((-(Cost_k*Ubar_c+Delay_D)*(1-EXP(-Rho_a*LN((Top_c-A52)/(Top_c-Floor_F))/Delta_c))/Rho_a+EXP(-Rho_a*LN((Top_c-A52)/(Top_c-Floor_F))/Delta_c)*(-Cost_k*Delta_c*Floor_F/Rho_a)),(-Delay_D/Rho_a)),(EXP(-Rho_a*LN(A52/Floor_F)/Delta_c)*(-Cost_k*Delta_c*Floor_F/Rho_a)))</f>
        <v>-208.834876033629</v>
      </c>
      <c r="F52" s="22" t="n">
        <f aca="false">ABS(D52-E52)</f>
        <v>0.385590238664918</v>
      </c>
      <c r="H52" s="17" t="n">
        <f aca="false">30+32*$I$5</f>
        <v>46</v>
      </c>
      <c r="I52" s="17" t="n">
        <f aca="false">Ubar_c-Delta_c*H52</f>
        <v>5.46864652460662</v>
      </c>
      <c r="J52" s="11" t="n">
        <f aca="false">(-(Cost_k*Ubar_c+Delay_D)+I52/$I$5*J53)/(Rho_a+I52/$I$5)</f>
        <v>-316.110844916593</v>
      </c>
      <c r="K52" s="11" t="n">
        <f aca="false">MAX(J52,-Delay_D/Rho_a)</f>
        <v>-316.110844916593</v>
      </c>
      <c r="L52" s="11" t="n">
        <f aca="false">IF(H52&lt;Floor_F,MAX((-(Cost_k*Ubar_c+Delay_D)*(1-EXP(-Rho_a*LN((Top_c-H52)/(Top_c-Floor_F))/Delta_c))/Rho_a+EXP(-Rho_a*LN((Top_c-H52)/(Top_c-Floor_F))/Delta_c)*(-Cost_k*Delta_c*Floor_F/Rho_a)),(-Delay_D/Rho_a)),(EXP(-Rho_a*LN(H52/Floor_F)/Delta_c)*(-Cost_k*Delta_c*Floor_F/Rho_a)))</f>
        <v>-316.855085587942</v>
      </c>
      <c r="M52" s="22" t="n">
        <f aca="false">ABS(K52-L52)</f>
        <v>0.744240671349132</v>
      </c>
      <c r="O52" s="17" t="n">
        <f aca="false">30+32*$P$5</f>
        <v>38</v>
      </c>
      <c r="P52" s="17" t="n">
        <f aca="false">Ubar_c-Delta_c*O52</f>
        <v>6.2788163801039</v>
      </c>
      <c r="Q52" s="11" t="n">
        <f aca="false">(-(Cost_k*Ubar_c+Delay_D)+P52/$P$5*Q53)/(Rho_a+P52/$P$5)</f>
        <v>-370.436491620285</v>
      </c>
      <c r="R52" s="11" t="n">
        <f aca="false">MAX(Q52,-Delay_D/Rho_a)</f>
        <v>-335.745877992226</v>
      </c>
      <c r="S52" s="11" t="n">
        <f aca="false">IF(O52&lt;Floor_F,MAX((-(Cost_k*Ubar_c+Delay_D)*(1-EXP(-Rho_a*LN((Top_c-O52)/(Top_c-Floor_F))/Delta_c))/Rho_a+EXP(-Rho_a*LN((Top_c-O52)/(Top_c-Floor_F))/Delta_c)*(-Cost_k*Delta_c*Floor_F/Rho_a)),(-Delay_D/Rho_a)),(EXP(-Rho_a*LN(O52/Floor_F)/Delta_c)*(-Cost_k*Delta_c*Floor_F/Rho_a)))</f>
        <v>-335.745877992226</v>
      </c>
      <c r="T52" s="22" t="n">
        <f aca="false">ABS(R52-S52)</f>
        <v>0</v>
      </c>
      <c r="V52" s="17" t="n">
        <f aca="false">30+32*$W$5</f>
        <v>34</v>
      </c>
      <c r="W52" s="17" t="n">
        <f aca="false">Ubar_c-Delta_c*V52</f>
        <v>6.68390130785253</v>
      </c>
      <c r="X52" s="11" t="n">
        <f aca="false">(-(Cost_k*Ubar_c+Delay_D)+W52/$W$5*X53)/(Rho_a+W52/$W$5)</f>
        <v>-392.954019205788</v>
      </c>
      <c r="Y52" s="11" t="n">
        <f aca="false">MAX(X52,-Delay_D/Rho_a)</f>
        <v>-335.745877992226</v>
      </c>
      <c r="Z52" s="11" t="n">
        <f aca="false">IF(V52&lt;Floor_F,MAX((-(Cost_k*Ubar_c+Delay_D)*(1-EXP(-Rho_a*LN((Top_c-V52)/(Top_c-Floor_F))/Delta_c))/Rho_a+EXP(-Rho_a*LN((Top_c-V52)/(Top_c-Floor_F))/Delta_c)*(-Cost_k*Delta_c*Floor_F/Rho_a)),(-Delay_D/Rho_a)),(EXP(-Rho_a*LN(V52/Floor_F)/Delta_c)*(-Cost_k*Delta_c*Floor_F/Rho_a)))</f>
        <v>-335.745877992226</v>
      </c>
      <c r="AA52" s="22" t="n">
        <f aca="false">ABS(Y52-Z52)</f>
        <v>0</v>
      </c>
      <c r="AC52" s="17" t="n">
        <f aca="false">30+32*$AD$5</f>
        <v>32</v>
      </c>
      <c r="AD52" s="17" t="n">
        <f aca="false">Ubar_c-Delta_c*AC52</f>
        <v>6.88644377172685</v>
      </c>
      <c r="AE52" s="11" t="n">
        <f aca="false">(-(Cost_k*Ubar_c+Delay_D)+AD52/$AD$5*AE53)/(Rho_a+AD52/$AD$5)</f>
        <v>-403.278838439589</v>
      </c>
      <c r="AF52" s="11" t="n">
        <f aca="false">MAX(AE52,-Delay_D/Rho_a)</f>
        <v>-335.745877992226</v>
      </c>
      <c r="AG52" s="11" t="n">
        <f aca="false">IF(AC52&lt;Floor_F,MAX((-(Cost_k*Ubar_c+Delay_D)*(1-EXP(-Rho_a*LN((Top_c-AC52)/(Top_c-Floor_F))/Delta_c))/Rho_a+EXP(-Rho_a*LN((Top_c-AC52)/(Top_c-Floor_F))/Delta_c)*(-Cost_k*Delta_c*Floor_F/Rho_a)),(-Delay_D/Rho_a)),(EXP(-Rho_a*LN(AC52/Floor_F)/Delta_c)*(-Cost_k*Delta_c*Floor_F/Rho_a)))</f>
        <v>-335.745877992226</v>
      </c>
      <c r="AH52" s="22" t="n">
        <f aca="false">ABS(AF52-AG52)</f>
        <v>0</v>
      </c>
    </row>
    <row r="53" customFormat="false" ht="15" hidden="false" customHeight="false" outlineLevel="0" collapsed="false">
      <c r="A53" s="17" t="n">
        <f aca="false">30+33*$B$5</f>
        <v>63</v>
      </c>
      <c r="B53" s="17" t="n">
        <f aca="false">-Delta_c*A53</f>
        <v>-6.38008761204105</v>
      </c>
      <c r="D53" s="11" t="n">
        <f aca="false">(-B53/$B$5*D52)/(Rho_a-B53/$B$5)</f>
        <v>-206.140989010793</v>
      </c>
      <c r="E53" s="11" t="n">
        <f aca="false">IF(A53&lt;Floor_F,MAX((-(Cost_k*Ubar_c+Delay_D)*(1-EXP(-Rho_a*LN((Top_c-A53)/(Top_c-Floor_F))/Delta_c))/Rho_a+EXP(-Rho_a*LN((Top_c-A53)/(Top_c-Floor_F))/Delta_c)*(-Cost_k*Delta_c*Floor_F/Rho_a)),(-Delay_D/Rho_a)),(EXP(-Rho_a*LN(A53/Floor_F)/Delta_c)*(-Cost_k*Delta_c*Floor_F/Rho_a)))</f>
        <v>-205.713689973701</v>
      </c>
      <c r="F53" s="22" t="n">
        <f aca="false">ABS(D53-E53)</f>
        <v>0.427299037091871</v>
      </c>
      <c r="H53" s="17" t="n">
        <f aca="false">30+33*$I$5</f>
        <v>46.5</v>
      </c>
      <c r="I53" s="17" t="n">
        <f aca="false">Ubar_c-Delta_c*H53</f>
        <v>5.41801090863804</v>
      </c>
      <c r="J53" s="11" t="n">
        <f aca="false">(-(Cost_k*Ubar_c+Delay_D)+I53/$I$5*J54)/(Rho_a+I53/$I$5)</f>
        <v>-312.236036852379</v>
      </c>
      <c r="K53" s="11" t="n">
        <f aca="false">MAX(J53,-Delay_D/Rho_a)</f>
        <v>-312.236036852379</v>
      </c>
      <c r="L53" s="11" t="n">
        <f aca="false">IF(H53&lt;Floor_F,MAX((-(Cost_k*Ubar_c+Delay_D)*(1-EXP(-Rho_a*LN((Top_c-H53)/(Top_c-Floor_F))/Delta_c))/Rho_a+EXP(-Rho_a*LN((Top_c-H53)/(Top_c-Floor_F))/Delta_c)*(-Cost_k*Delta_c*Floor_F/Rho_a)),(-Delay_D/Rho_a)),(EXP(-Rho_a*LN(H53/Floor_F)/Delta_c)*(-Cost_k*Delta_c*Floor_F/Rho_a)))</f>
        <v>-312.951680895442</v>
      </c>
      <c r="M53" s="22" t="n">
        <f aca="false">ABS(K53-L53)</f>
        <v>0.715644043062866</v>
      </c>
      <c r="O53" s="17" t="n">
        <f aca="false">30+33*$P$5</f>
        <v>38.25</v>
      </c>
      <c r="P53" s="17" t="n">
        <f aca="false">Ubar_c-Delta_c*O53</f>
        <v>6.25349857211961</v>
      </c>
      <c r="Q53" s="11" t="n">
        <f aca="false">(-(Cost_k*Ubar_c+Delay_D)+P53/$P$5*Q54)/(Rho_a+P53/$P$5)</f>
        <v>-368.95523616144</v>
      </c>
      <c r="R53" s="11" t="n">
        <f aca="false">MAX(Q53,-Delay_D/Rho_a)</f>
        <v>-335.745877992226</v>
      </c>
      <c r="S53" s="11" t="n">
        <f aca="false">IF(O53&lt;Floor_F,MAX((-(Cost_k*Ubar_c+Delay_D)*(1-EXP(-Rho_a*LN((Top_c-O53)/(Top_c-Floor_F))/Delta_c))/Rho_a+EXP(-Rho_a*LN((Top_c-O53)/(Top_c-Floor_F))/Delta_c)*(-Cost_k*Delta_c*Floor_F/Rho_a)),(-Delay_D/Rho_a)),(EXP(-Rho_a*LN(O53/Floor_F)/Delta_c)*(-Cost_k*Delta_c*Floor_F/Rho_a)))</f>
        <v>-335.745877992226</v>
      </c>
      <c r="T53" s="22" t="n">
        <f aca="false">ABS(R53-S53)</f>
        <v>0</v>
      </c>
      <c r="V53" s="17" t="n">
        <f aca="false">30+33*$W$5</f>
        <v>34.125</v>
      </c>
      <c r="W53" s="17" t="n">
        <f aca="false">Ubar_c-Delta_c*V53</f>
        <v>6.67124240386039</v>
      </c>
      <c r="X53" s="11" t="n">
        <f aca="false">(-(Cost_k*Ubar_c+Delay_D)+W53/$W$5*X54)/(Rho_a+W53/$W$5)</f>
        <v>-392.298414549636</v>
      </c>
      <c r="Y53" s="11" t="n">
        <f aca="false">MAX(X53,-Delay_D/Rho_a)</f>
        <v>-335.745877992226</v>
      </c>
      <c r="Z53" s="11" t="n">
        <f aca="false">IF(V53&lt;Floor_F,MAX((-(Cost_k*Ubar_c+Delay_D)*(1-EXP(-Rho_a*LN((Top_c-V53)/(Top_c-Floor_F))/Delta_c))/Rho_a+EXP(-Rho_a*LN((Top_c-V53)/(Top_c-Floor_F))/Delta_c)*(-Cost_k*Delta_c*Floor_F/Rho_a)),(-Delay_D/Rho_a)),(EXP(-Rho_a*LN(V53/Floor_F)/Delta_c)*(-Cost_k*Delta_c*Floor_F/Rho_a)))</f>
        <v>-335.745877992226</v>
      </c>
      <c r="AA53" s="22" t="n">
        <f aca="false">ABS(Y53-Z53)</f>
        <v>0</v>
      </c>
      <c r="AC53" s="17" t="n">
        <f aca="false">30+33*$AD$5</f>
        <v>32.0625</v>
      </c>
      <c r="AD53" s="17" t="n">
        <f aca="false">Ubar_c-Delta_c*AC53</f>
        <v>6.88011431973078</v>
      </c>
      <c r="AE53" s="11" t="n">
        <f aca="false">(-(Cost_k*Ubar_c+Delay_D)+AD53/$AD$5*AE54)/(Rho_a+AD53/$AD$5)</f>
        <v>-402.969608493578</v>
      </c>
      <c r="AF53" s="11" t="n">
        <f aca="false">MAX(AE53,-Delay_D/Rho_a)</f>
        <v>-335.745877992226</v>
      </c>
      <c r="AG53" s="11" t="n">
        <f aca="false">IF(AC53&lt;Floor_F,MAX((-(Cost_k*Ubar_c+Delay_D)*(1-EXP(-Rho_a*LN((Top_c-AC53)/(Top_c-Floor_F))/Delta_c))/Rho_a+EXP(-Rho_a*LN((Top_c-AC53)/(Top_c-Floor_F))/Delta_c)*(-Cost_k*Delta_c*Floor_F/Rho_a)),(-Delay_D/Rho_a)),(EXP(-Rho_a*LN(AC53/Floor_F)/Delta_c)*(-Cost_k*Delta_c*Floor_F/Rho_a)))</f>
        <v>-335.745877992226</v>
      </c>
      <c r="AH53" s="22" t="n">
        <f aca="false">ABS(AF53-AG53)</f>
        <v>0</v>
      </c>
    </row>
    <row r="54" customFormat="false" ht="15" hidden="false" customHeight="false" outlineLevel="0" collapsed="false">
      <c r="A54" s="17" t="n">
        <f aca="false">30+34*$B$5</f>
        <v>64</v>
      </c>
      <c r="B54" s="17" t="n">
        <f aca="false">-Delta_c*A54</f>
        <v>-6.48135884397821</v>
      </c>
      <c r="D54" s="11" t="n">
        <f aca="false">(-B54/$B$5*D53)/(Rho_a-B54/$B$5)</f>
        <v>-203.153559560321</v>
      </c>
      <c r="E54" s="11" t="n">
        <f aca="false">IF(A54&lt;Floor_F,MAX((-(Cost_k*Ubar_c+Delay_D)*(1-EXP(-Rho_a*LN((Top_c-A54)/(Top_c-Floor_F))/Delta_c))/Rho_a+EXP(-Rho_a*LN((Top_c-A54)/(Top_c-Floor_F))/Delta_c)*(-Cost_k*Delta_c*Floor_F/Rho_a)),(-Delay_D/Rho_a)),(EXP(-Rho_a*LN(A54/Floor_F)/Delta_c)*(-Cost_k*Delta_c*Floor_F/Rho_a)))</f>
        <v>-202.68721424535</v>
      </c>
      <c r="F54" s="22" t="n">
        <f aca="false">ABS(D54-E54)</f>
        <v>0.46634531497017</v>
      </c>
      <c r="H54" s="17" t="n">
        <f aca="false">30+34*$I$5</f>
        <v>47</v>
      </c>
      <c r="I54" s="17" t="n">
        <f aca="false">Ubar_c-Delta_c*H54</f>
        <v>5.36737529266946</v>
      </c>
      <c r="J54" s="11" t="n">
        <f aca="false">(-(Cost_k*Ubar_c+Delay_D)+I54/$I$5*J55)/(Rho_a+I54/$I$5)</f>
        <v>-308.290934057097</v>
      </c>
      <c r="K54" s="11" t="n">
        <f aca="false">MAX(J54,-Delay_D/Rho_a)</f>
        <v>-308.290934057097</v>
      </c>
      <c r="L54" s="11" t="n">
        <f aca="false">IF(H54&lt;Floor_F,MAX((-(Cost_k*Ubar_c+Delay_D)*(1-EXP(-Rho_a*LN((Top_c-H54)/(Top_c-Floor_F))/Delta_c))/Rho_a+EXP(-Rho_a*LN((Top_c-H54)/(Top_c-Floor_F))/Delta_c)*(-Cost_k*Delta_c*Floor_F/Rho_a)),(-Delay_D/Rho_a)),(EXP(-Rho_a*LN(H54/Floor_F)/Delta_c)*(-Cost_k*Delta_c*Floor_F/Rho_a)))</f>
        <v>-308.97681438546</v>
      </c>
      <c r="M54" s="22" t="n">
        <f aca="false">ABS(K54-L54)</f>
        <v>0.685880328362941</v>
      </c>
      <c r="O54" s="17" t="n">
        <f aca="false">30+34*$P$5</f>
        <v>38.5</v>
      </c>
      <c r="P54" s="17" t="n">
        <f aca="false">Ubar_c-Delta_c*O54</f>
        <v>6.22818076413532</v>
      </c>
      <c r="Q54" s="11" t="n">
        <f aca="false">(-(Cost_k*Ubar_c+Delay_D)+P54/$P$5*Q55)/(Rho_a+P54/$P$5)</f>
        <v>-367.462339727312</v>
      </c>
      <c r="R54" s="11" t="n">
        <f aca="false">MAX(Q54,-Delay_D/Rho_a)</f>
        <v>-335.745877992226</v>
      </c>
      <c r="S54" s="11" t="n">
        <f aca="false">IF(O54&lt;Floor_F,MAX((-(Cost_k*Ubar_c+Delay_D)*(1-EXP(-Rho_a*LN((Top_c-O54)/(Top_c-Floor_F))/Delta_c))/Rho_a+EXP(-Rho_a*LN((Top_c-O54)/(Top_c-Floor_F))/Delta_c)*(-Cost_k*Delta_c*Floor_F/Rho_a)),(-Delay_D/Rho_a)),(EXP(-Rho_a*LN(O54/Floor_F)/Delta_c)*(-Cost_k*Delta_c*Floor_F/Rho_a)))</f>
        <v>-335.745877992226</v>
      </c>
      <c r="T54" s="22" t="n">
        <f aca="false">ABS(R54-S54)</f>
        <v>0</v>
      </c>
      <c r="V54" s="17" t="n">
        <f aca="false">30+34*$W$5</f>
        <v>34.25</v>
      </c>
      <c r="W54" s="17" t="n">
        <f aca="false">Ubar_c-Delta_c*V54</f>
        <v>6.65858349986824</v>
      </c>
      <c r="X54" s="11" t="n">
        <f aca="false">(-(Cost_k*Ubar_c+Delay_D)+W54/$W$5*X55)/(Rho_a+W54/$W$5)</f>
        <v>-391.640395056766</v>
      </c>
      <c r="Y54" s="11" t="n">
        <f aca="false">MAX(X54,-Delay_D/Rho_a)</f>
        <v>-335.745877992226</v>
      </c>
      <c r="Z54" s="11" t="n">
        <f aca="false">IF(V54&lt;Floor_F,MAX((-(Cost_k*Ubar_c+Delay_D)*(1-EXP(-Rho_a*LN((Top_c-V54)/(Top_c-Floor_F))/Delta_c))/Rho_a+EXP(-Rho_a*LN((Top_c-V54)/(Top_c-Floor_F))/Delta_c)*(-Cost_k*Delta_c*Floor_F/Rho_a)),(-Delay_D/Rho_a)),(EXP(-Rho_a*LN(V54/Floor_F)/Delta_c)*(-Cost_k*Delta_c*Floor_F/Rho_a)))</f>
        <v>-335.745877992226</v>
      </c>
      <c r="AA54" s="22" t="n">
        <f aca="false">ABS(Y54-Z54)</f>
        <v>0</v>
      </c>
      <c r="AC54" s="17" t="n">
        <f aca="false">30+34*$AD$5</f>
        <v>32.125</v>
      </c>
      <c r="AD54" s="17" t="n">
        <f aca="false">Ubar_c-Delta_c*AC54</f>
        <v>6.87378486773471</v>
      </c>
      <c r="AE54" s="11" t="n">
        <f aca="false">(-(Cost_k*Ubar_c+Delay_D)+AD54/$AD$5*AE55)/(Rho_a+AD54/$AD$5)</f>
        <v>-402.659826332365</v>
      </c>
      <c r="AF54" s="11" t="n">
        <f aca="false">MAX(AE54,-Delay_D/Rho_a)</f>
        <v>-335.745877992226</v>
      </c>
      <c r="AG54" s="11" t="n">
        <f aca="false">IF(AC54&lt;Floor_F,MAX((-(Cost_k*Ubar_c+Delay_D)*(1-EXP(-Rho_a*LN((Top_c-AC54)/(Top_c-Floor_F))/Delta_c))/Rho_a+EXP(-Rho_a*LN((Top_c-AC54)/(Top_c-Floor_F))/Delta_c)*(-Cost_k*Delta_c*Floor_F/Rho_a)),(-Delay_D/Rho_a)),(EXP(-Rho_a*LN(AC54/Floor_F)/Delta_c)*(-Cost_k*Delta_c*Floor_F/Rho_a)))</f>
        <v>-335.745877992226</v>
      </c>
      <c r="AH54" s="22" t="n">
        <f aca="false">ABS(AF54-AG54)</f>
        <v>0</v>
      </c>
    </row>
    <row r="55" customFormat="false" ht="15" hidden="false" customHeight="false" outlineLevel="0" collapsed="false">
      <c r="A55" s="17" t="n">
        <f aca="false">30+35*$B$5</f>
        <v>65</v>
      </c>
      <c r="B55" s="17" t="n">
        <f aca="false">-Delta_c*A55</f>
        <v>-6.58263007591537</v>
      </c>
      <c r="D55" s="11" t="n">
        <f aca="false">(-B55/$B$5*D54)/(Rho_a-B55/$B$5)</f>
        <v>-200.254072360956</v>
      </c>
      <c r="E55" s="11" t="n">
        <f aca="false">IF(A55&lt;Floor_F,MAX((-(Cost_k*Ubar_c+Delay_D)*(1-EXP(-Rho_a*LN((Top_c-A55)/(Top_c-Floor_F))/Delta_c))/Rho_a+EXP(-Rho_a*LN((Top_c-A55)/(Top_c-Floor_F))/Delta_c)*(-Cost_k*Delta_c*Floor_F/Rho_a)),(-Delay_D/Rho_a)),(EXP(-Rho_a*LN(A55/Floor_F)/Delta_c)*(-Cost_k*Delta_c*Floor_F/Rho_a)))</f>
        <v>-199.751161408243</v>
      </c>
      <c r="F55" s="22" t="n">
        <f aca="false">ABS(D55-E55)</f>
        <v>0.50291095271308</v>
      </c>
      <c r="H55" s="17" t="n">
        <f aca="false">30+35*$I$5</f>
        <v>47.5</v>
      </c>
      <c r="I55" s="17" t="n">
        <f aca="false">Ubar_c-Delta_c*H55</f>
        <v>5.31673967670088</v>
      </c>
      <c r="J55" s="11" t="n">
        <f aca="false">(-(Cost_k*Ubar_c+Delay_D)+I55/$I$5*J56)/(Rho_a+I55/$I$5)</f>
        <v>-304.273586092186</v>
      </c>
      <c r="K55" s="11" t="n">
        <f aca="false">MAX(J55,-Delay_D/Rho_a)</f>
        <v>-304.273586092186</v>
      </c>
      <c r="L55" s="11" t="n">
        <f aca="false">IF(H55&lt;Floor_F,MAX((-(Cost_k*Ubar_c+Delay_D)*(1-EXP(-Rho_a*LN((Top_c-H55)/(Top_c-Floor_F))/Delta_c))/Rho_a+EXP(-Rho_a*LN((Top_c-H55)/(Top_c-Floor_F))/Delta_c)*(-Cost_k*Delta_c*Floor_F/Rho_a)),(-Delay_D/Rho_a)),(EXP(-Rho_a*LN(H55/Floor_F)/Delta_c)*(-Cost_k*Delta_c*Floor_F/Rho_a)))</f>
        <v>-304.928484910219</v>
      </c>
      <c r="M55" s="22" t="n">
        <f aca="false">ABS(K55-L55)</f>
        <v>0.654898818032962</v>
      </c>
      <c r="O55" s="17" t="n">
        <f aca="false">30+35*$P$5</f>
        <v>38.75</v>
      </c>
      <c r="P55" s="17" t="n">
        <f aca="false">Ubar_c-Delta_c*O55</f>
        <v>6.20286295615103</v>
      </c>
      <c r="Q55" s="11" t="n">
        <f aca="false">(-(Cost_k*Ubar_c+Delay_D)+P55/$P$5*Q56)/(Rho_a+P55/$P$5)</f>
        <v>-365.95766314021</v>
      </c>
      <c r="R55" s="11" t="n">
        <f aca="false">MAX(Q55,-Delay_D/Rho_a)</f>
        <v>-335.745877992226</v>
      </c>
      <c r="S55" s="11" t="n">
        <f aca="false">IF(O55&lt;Floor_F,MAX((-(Cost_k*Ubar_c+Delay_D)*(1-EXP(-Rho_a*LN((Top_c-O55)/(Top_c-Floor_F))/Delta_c))/Rho_a+EXP(-Rho_a*LN((Top_c-O55)/(Top_c-Floor_F))/Delta_c)*(-Cost_k*Delta_c*Floor_F/Rho_a)),(-Delay_D/Rho_a)),(EXP(-Rho_a*LN(O55/Floor_F)/Delta_c)*(-Cost_k*Delta_c*Floor_F/Rho_a)))</f>
        <v>-335.745877992226</v>
      </c>
      <c r="T55" s="22" t="n">
        <f aca="false">ABS(R55-S55)</f>
        <v>0</v>
      </c>
      <c r="V55" s="17" t="n">
        <f aca="false">30+35*$W$5</f>
        <v>34.375</v>
      </c>
      <c r="W55" s="17" t="n">
        <f aca="false">Ubar_c-Delta_c*V55</f>
        <v>6.6459245958761</v>
      </c>
      <c r="X55" s="11" t="n">
        <f aca="false">(-(Cost_k*Ubar_c+Delay_D)+W55/$W$5*X56)/(Rho_a+W55/$W$5)</f>
        <v>-390.979947224579</v>
      </c>
      <c r="Y55" s="11" t="n">
        <f aca="false">MAX(X55,-Delay_D/Rho_a)</f>
        <v>-335.745877992226</v>
      </c>
      <c r="Z55" s="11" t="n">
        <f aca="false">IF(V55&lt;Floor_F,MAX((-(Cost_k*Ubar_c+Delay_D)*(1-EXP(-Rho_a*LN((Top_c-V55)/(Top_c-Floor_F))/Delta_c))/Rho_a+EXP(-Rho_a*LN((Top_c-V55)/(Top_c-Floor_F))/Delta_c)*(-Cost_k*Delta_c*Floor_F/Rho_a)),(-Delay_D/Rho_a)),(EXP(-Rho_a*LN(V55/Floor_F)/Delta_c)*(-Cost_k*Delta_c*Floor_F/Rho_a)))</f>
        <v>-335.745877992226</v>
      </c>
      <c r="AA55" s="22" t="n">
        <f aca="false">ABS(Y55-Z55)</f>
        <v>0</v>
      </c>
      <c r="AC55" s="17" t="n">
        <f aca="false">30+35*$AD$5</f>
        <v>32.1875</v>
      </c>
      <c r="AD55" s="17" t="n">
        <f aca="false">Ubar_c-Delta_c*AC55</f>
        <v>6.86745541573864</v>
      </c>
      <c r="AE55" s="11" t="n">
        <f aca="false">(-(Cost_k*Ubar_c+Delay_D)+AD55/$AD$5*AE56)/(Rho_a+AD55/$AD$5)</f>
        <v>-402.349490460427</v>
      </c>
      <c r="AF55" s="11" t="n">
        <f aca="false">MAX(AE55,-Delay_D/Rho_a)</f>
        <v>-335.745877992226</v>
      </c>
      <c r="AG55" s="11" t="n">
        <f aca="false">IF(AC55&lt;Floor_F,MAX((-(Cost_k*Ubar_c+Delay_D)*(1-EXP(-Rho_a*LN((Top_c-AC55)/(Top_c-Floor_F))/Delta_c))/Rho_a+EXP(-Rho_a*LN((Top_c-AC55)/(Top_c-Floor_F))/Delta_c)*(-Cost_k*Delta_c*Floor_F/Rho_a)),(-Delay_D/Rho_a)),(EXP(-Rho_a*LN(AC55/Floor_F)/Delta_c)*(-Cost_k*Delta_c*Floor_F/Rho_a)))</f>
        <v>-335.745877992226</v>
      </c>
      <c r="AH55" s="22" t="n">
        <f aca="false">ABS(AF55-AG55)</f>
        <v>0</v>
      </c>
    </row>
    <row r="56" customFormat="false" ht="15" hidden="false" customHeight="false" outlineLevel="0" collapsed="false">
      <c r="A56" s="17" t="n">
        <f aca="false">30+36*$B$5</f>
        <v>66</v>
      </c>
      <c r="B56" s="17" t="n">
        <f aca="false">-Delta_c*A56</f>
        <v>-6.68390130785253</v>
      </c>
      <c r="D56" s="11" t="n">
        <f aca="false">(-B56/$B$5*D55)/(Rho_a-B56/$B$5)</f>
        <v>-197.438663566287</v>
      </c>
      <c r="E56" s="11" t="n">
        <f aca="false">IF(A56&lt;Floor_F,MAX((-(Cost_k*Ubar_c+Delay_D)*(1-EXP(-Rho_a*LN((Top_c-A56)/(Top_c-Floor_F))/Delta_c))/Rho_a+EXP(-Rho_a*LN((Top_c-A56)/(Top_c-Floor_F))/Delta_c)*(-Cost_k*Delta_c*Floor_F/Rho_a)),(-Delay_D/Rho_a)),(EXP(-Rho_a*LN(A56/Floor_F)/Delta_c)*(-Cost_k*Delta_c*Floor_F/Rho_a)))</f>
        <v>-196.901500158839</v>
      </c>
      <c r="F56" s="22" t="n">
        <f aca="false">ABS(D56-E56)</f>
        <v>0.537163407447252</v>
      </c>
      <c r="H56" s="17" t="n">
        <f aca="false">30+36*$I$5</f>
        <v>48</v>
      </c>
      <c r="I56" s="17" t="n">
        <f aca="false">Ubar_c-Delta_c*H56</f>
        <v>5.2661040607323</v>
      </c>
      <c r="J56" s="11" t="n">
        <f aca="false">(-(Cost_k*Ubar_c+Delay_D)+I56/$I$5*J57)/(Rho_a+I56/$I$5)</f>
        <v>-300.181969310065</v>
      </c>
      <c r="K56" s="11" t="n">
        <f aca="false">MAX(J56,-Delay_D/Rho_a)</f>
        <v>-300.181969310065</v>
      </c>
      <c r="L56" s="11" t="n">
        <f aca="false">IF(H56&lt;Floor_F,MAX((-(Cost_k*Ubar_c+Delay_D)*(1-EXP(-Rho_a*LN((Top_c-H56)/(Top_c-Floor_F))/Delta_c))/Rho_a+EXP(-Rho_a*LN((Top_c-H56)/(Top_c-Floor_F))/Delta_c)*(-Cost_k*Delta_c*Floor_F/Rho_a)),(-Delay_D/Rho_a)),(EXP(-Rho_a*LN(H56/Floor_F)/Delta_c)*(-Cost_k*Delta_c*Floor_F/Rho_a)))</f>
        <v>-300.804615508623</v>
      </c>
      <c r="M56" s="22" t="n">
        <f aca="false">ABS(K56-L56)</f>
        <v>0.622646198557561</v>
      </c>
      <c r="O56" s="17" t="n">
        <f aca="false">30+36*$P$5</f>
        <v>39</v>
      </c>
      <c r="P56" s="17" t="n">
        <f aca="false">Ubar_c-Delta_c*O56</f>
        <v>6.17754514816674</v>
      </c>
      <c r="Q56" s="11" t="n">
        <f aca="false">(-(Cost_k*Ubar_c+Delay_D)+P56/$P$5*Q57)/(Rho_a+P56/$P$5)</f>
        <v>-364.441064983592</v>
      </c>
      <c r="R56" s="11" t="n">
        <f aca="false">MAX(Q56,-Delay_D/Rho_a)</f>
        <v>-335.745877992226</v>
      </c>
      <c r="S56" s="11" t="n">
        <f aca="false">IF(O56&lt;Floor_F,MAX((-(Cost_k*Ubar_c+Delay_D)*(1-EXP(-Rho_a*LN((Top_c-O56)/(Top_c-Floor_F))/Delta_c))/Rho_a+EXP(-Rho_a*LN((Top_c-O56)/(Top_c-Floor_F))/Delta_c)*(-Cost_k*Delta_c*Floor_F/Rho_a)),(-Delay_D/Rho_a)),(EXP(-Rho_a*LN(O56/Floor_F)/Delta_c)*(-Cost_k*Delta_c*Floor_F/Rho_a)))</f>
        <v>-335.745877992226</v>
      </c>
      <c r="T56" s="22" t="n">
        <f aca="false">ABS(R56-S56)</f>
        <v>0</v>
      </c>
      <c r="V56" s="17" t="n">
        <f aca="false">30+36*$W$5</f>
        <v>34.5</v>
      </c>
      <c r="W56" s="17" t="n">
        <f aca="false">Ubar_c-Delta_c*V56</f>
        <v>6.63326569188395</v>
      </c>
      <c r="X56" s="11" t="n">
        <f aca="false">(-(Cost_k*Ubar_c+Delay_D)+W56/$W$5*X57)/(Rho_a+W56/$W$5)</f>
        <v>-390.317057449113</v>
      </c>
      <c r="Y56" s="11" t="n">
        <f aca="false">MAX(X56,-Delay_D/Rho_a)</f>
        <v>-335.745877992226</v>
      </c>
      <c r="Z56" s="11" t="n">
        <f aca="false">IF(V56&lt;Floor_F,MAX((-(Cost_k*Ubar_c+Delay_D)*(1-EXP(-Rho_a*LN((Top_c-V56)/(Top_c-Floor_F))/Delta_c))/Rho_a+EXP(-Rho_a*LN((Top_c-V56)/(Top_c-Floor_F))/Delta_c)*(-Cost_k*Delta_c*Floor_F/Rho_a)),(-Delay_D/Rho_a)),(EXP(-Rho_a*LN(V56/Floor_F)/Delta_c)*(-Cost_k*Delta_c*Floor_F/Rho_a)))</f>
        <v>-335.745877992226</v>
      </c>
      <c r="AA56" s="22" t="n">
        <f aca="false">ABS(Y56-Z56)</f>
        <v>0</v>
      </c>
      <c r="AC56" s="17" t="n">
        <f aca="false">30+36*$AD$5</f>
        <v>32.25</v>
      </c>
      <c r="AD56" s="17" t="n">
        <f aca="false">Ubar_c-Delta_c*AC56</f>
        <v>6.86112596374256</v>
      </c>
      <c r="AE56" s="11" t="n">
        <f aca="false">(-(Cost_k*Ubar_c+Delay_D)+AD56/$AD$5*AE57)/(Rho_a+AD56/$AD$5)</f>
        <v>-402.038599376804</v>
      </c>
      <c r="AF56" s="11" t="n">
        <f aca="false">MAX(AE56,-Delay_D/Rho_a)</f>
        <v>-335.745877992226</v>
      </c>
      <c r="AG56" s="11" t="n">
        <f aca="false">IF(AC56&lt;Floor_F,MAX((-(Cost_k*Ubar_c+Delay_D)*(1-EXP(-Rho_a*LN((Top_c-AC56)/(Top_c-Floor_F))/Delta_c))/Rho_a+EXP(-Rho_a*LN((Top_c-AC56)/(Top_c-Floor_F))/Delta_c)*(-Cost_k*Delta_c*Floor_F/Rho_a)),(-Delay_D/Rho_a)),(EXP(-Rho_a*LN(AC56/Floor_F)/Delta_c)*(-Cost_k*Delta_c*Floor_F/Rho_a)))</f>
        <v>-335.745877992226</v>
      </c>
      <c r="AH56" s="22" t="n">
        <f aca="false">ABS(AF56-AG56)</f>
        <v>0</v>
      </c>
    </row>
    <row r="57" customFormat="false" ht="15" hidden="false" customHeight="false" outlineLevel="0" collapsed="false">
      <c r="A57" s="17" t="n">
        <f aca="false">30+37*$B$5</f>
        <v>67</v>
      </c>
      <c r="B57" s="17" t="n">
        <f aca="false">-Delta_c*A57</f>
        <v>-6.78517253978969</v>
      </c>
      <c r="D57" s="11" t="n">
        <f aca="false">(-B57/$B$5*D56)/(Rho_a-B57/$B$5)</f>
        <v>-194.703693464372</v>
      </c>
      <c r="E57" s="11" t="n">
        <f aca="false">IF(A57&lt;Floor_F,MAX((-(Cost_k*Ubar_c+Delay_D)*(1-EXP(-Rho_a*LN((Top_c-A57)/(Top_c-Floor_F))/Delta_c))/Rho_a+EXP(-Rho_a*LN((Top_c-A57)/(Top_c-Floor_F))/Delta_c)*(-Cost_k*Delta_c*Floor_F/Rho_a)),(-Delay_D/Rho_a)),(EXP(-Rho_a*LN(A57/Floor_F)/Delta_c)*(-Cost_k*Delta_c*Floor_F/Rho_a)))</f>
        <v>-194.134436432307</v>
      </c>
      <c r="F57" s="22" t="n">
        <f aca="false">ABS(D57-E57)</f>
        <v>0.569257032064996</v>
      </c>
      <c r="H57" s="17" t="n">
        <f aca="false">30+37*$I$5</f>
        <v>48.5</v>
      </c>
      <c r="I57" s="17" t="n">
        <f aca="false">Ubar_c-Delta_c*H57</f>
        <v>5.21546844476372</v>
      </c>
      <c r="J57" s="11" t="n">
        <f aca="false">(-(Cost_k*Ubar_c+Delay_D)+I57/$I$5*J58)/(Rho_a+I57/$I$5)</f>
        <v>-296.013983375906</v>
      </c>
      <c r="K57" s="11" t="n">
        <f aca="false">MAX(J57,-Delay_D/Rho_a)</f>
        <v>-296.013983375906</v>
      </c>
      <c r="L57" s="11" t="n">
        <f aca="false">IF(H57&lt;Floor_F,MAX((-(Cost_k*Ubar_c+Delay_D)*(1-EXP(-Rho_a*LN((Top_c-H57)/(Top_c-Floor_F))/Delta_c))/Rho_a+EXP(-Rho_a*LN((Top_c-H57)/(Top_c-Floor_F))/Delta_c)*(-Cost_k*Delta_c*Floor_F/Rho_a)),(-Delay_D/Rho_a)),(EXP(-Rho_a*LN(H57/Floor_F)/Delta_c)*(-Cost_k*Delta_c*Floor_F/Rho_a)))</f>
        <v>-296.603049770354</v>
      </c>
      <c r="M57" s="22" t="n">
        <f aca="false">ABS(K57-L57)</f>
        <v>0.589066394448423</v>
      </c>
      <c r="O57" s="17" t="n">
        <f aca="false">30+37*$P$5</f>
        <v>39.25</v>
      </c>
      <c r="P57" s="17" t="n">
        <f aca="false">Ubar_c-Delta_c*O57</f>
        <v>6.15222734018245</v>
      </c>
      <c r="Q57" s="11" t="n">
        <f aca="false">(-(Cost_k*Ubar_c+Delay_D)+P57/$P$5*Q58)/(Rho_a+P57/$P$5)</f>
        <v>-362.912401556729</v>
      </c>
      <c r="R57" s="11" t="n">
        <f aca="false">MAX(Q57,-Delay_D/Rho_a)</f>
        <v>-335.745877992226</v>
      </c>
      <c r="S57" s="11" t="n">
        <f aca="false">IF(O57&lt;Floor_F,MAX((-(Cost_k*Ubar_c+Delay_D)*(1-EXP(-Rho_a*LN((Top_c-O57)/(Top_c-Floor_F))/Delta_c))/Rho_a+EXP(-Rho_a*LN((Top_c-O57)/(Top_c-Floor_F))/Delta_c)*(-Cost_k*Delta_c*Floor_F/Rho_a)),(-Delay_D/Rho_a)),(EXP(-Rho_a*LN(O57/Floor_F)/Delta_c)*(-Cost_k*Delta_c*Floor_F/Rho_a)))</f>
        <v>-335.745877992226</v>
      </c>
      <c r="T57" s="22" t="n">
        <f aca="false">ABS(R57-S57)</f>
        <v>0</v>
      </c>
      <c r="V57" s="17" t="n">
        <f aca="false">30+37*$W$5</f>
        <v>34.625</v>
      </c>
      <c r="W57" s="17" t="n">
        <f aca="false">Ubar_c-Delta_c*V57</f>
        <v>6.62060678789181</v>
      </c>
      <c r="X57" s="11" t="n">
        <f aca="false">(-(Cost_k*Ubar_c+Delay_D)+W57/$W$5*X58)/(Rho_a+W57/$W$5)</f>
        <v>-389.651712024086</v>
      </c>
      <c r="Y57" s="11" t="n">
        <f aca="false">MAX(X57,-Delay_D/Rho_a)</f>
        <v>-335.745877992226</v>
      </c>
      <c r="Z57" s="11" t="n">
        <f aca="false">IF(V57&lt;Floor_F,MAX((-(Cost_k*Ubar_c+Delay_D)*(1-EXP(-Rho_a*LN((Top_c-V57)/(Top_c-Floor_F))/Delta_c))/Rho_a+EXP(-Rho_a*LN((Top_c-V57)/(Top_c-Floor_F))/Delta_c)*(-Cost_k*Delta_c*Floor_F/Rho_a)),(-Delay_D/Rho_a)),(EXP(-Rho_a*LN(V57/Floor_F)/Delta_c)*(-Cost_k*Delta_c*Floor_F/Rho_a)))</f>
        <v>-335.745877992226</v>
      </c>
      <c r="AA57" s="22" t="n">
        <f aca="false">ABS(Y57-Z57)</f>
        <v>0</v>
      </c>
      <c r="AC57" s="17" t="n">
        <f aca="false">30+37*$AD$5</f>
        <v>32.3125</v>
      </c>
      <c r="AD57" s="17" t="n">
        <f aca="false">Ubar_c-Delta_c*AC57</f>
        <v>6.85479651174649</v>
      </c>
      <c r="AE57" s="11" t="n">
        <f aca="false">(-(Cost_k*Ubar_c+Delay_D)+AD57/$AD$5*AE58)/(Rho_a+AD57/$AD$5)</f>
        <v>-401.727151575081</v>
      </c>
      <c r="AF57" s="11" t="n">
        <f aca="false">MAX(AE57,-Delay_D/Rho_a)</f>
        <v>-335.745877992226</v>
      </c>
      <c r="AG57" s="11" t="n">
        <f aca="false">IF(AC57&lt;Floor_F,MAX((-(Cost_k*Ubar_c+Delay_D)*(1-EXP(-Rho_a*LN((Top_c-AC57)/(Top_c-Floor_F))/Delta_c))/Rho_a+EXP(-Rho_a*LN((Top_c-AC57)/(Top_c-Floor_F))/Delta_c)*(-Cost_k*Delta_c*Floor_F/Rho_a)),(-Delay_D/Rho_a)),(EXP(-Rho_a*LN(AC57/Floor_F)/Delta_c)*(-Cost_k*Delta_c*Floor_F/Rho_a)))</f>
        <v>-335.745877992226</v>
      </c>
      <c r="AH57" s="22" t="n">
        <f aca="false">ABS(AF57-AG57)</f>
        <v>0</v>
      </c>
    </row>
    <row r="58" customFormat="false" ht="15" hidden="false" customHeight="false" outlineLevel="0" collapsed="false">
      <c r="A58" s="17" t="n">
        <f aca="false">30+38*$B$5</f>
        <v>68</v>
      </c>
      <c r="B58" s="17" t="n">
        <f aca="false">-Delta_c*A58</f>
        <v>-6.88644377172685</v>
      </c>
      <c r="D58" s="11" t="n">
        <f aca="false">(-B58/$B$5*D57)/(Rho_a-B58/$B$5)</f>
        <v>-192.045730413614</v>
      </c>
      <c r="E58" s="11" t="n">
        <f aca="false">IF(A58&lt;Floor_F,MAX((-(Cost_k*Ubar_c+Delay_D)*(1-EXP(-Rho_a*LN((Top_c-A58)/(Top_c-Floor_F))/Delta_c))/Rho_a+EXP(-Rho_a*LN((Top_c-A58)/(Top_c-Floor_F))/Delta_c)*(-Cost_k*Delta_c*Floor_F/Rho_a)),(-Delay_D/Rho_a)),(EXP(-Rho_a*LN(A58/Floor_F)/Delta_c)*(-Cost_k*Delta_c*Floor_F/Rho_a)))</f>
        <v>-191.446396156277</v>
      </c>
      <c r="F58" s="22" t="n">
        <f aca="false">ABS(D58-E58)</f>
        <v>0.599334257336551</v>
      </c>
      <c r="H58" s="17" t="n">
        <f aca="false">30+38*$I$5</f>
        <v>49</v>
      </c>
      <c r="I58" s="17" t="n">
        <f aca="false">Ubar_c-Delta_c*H58</f>
        <v>5.16483282879514</v>
      </c>
      <c r="J58" s="11" t="n">
        <f aca="false">(-(Cost_k*Ubar_c+Delay_D)+I58/$I$5*J59)/(Rho_a+I58/$I$5)</f>
        <v>-291.767447588772</v>
      </c>
      <c r="K58" s="11" t="n">
        <f aca="false">MAX(J58,-Delay_D/Rho_a)</f>
        <v>-291.767447588772</v>
      </c>
      <c r="L58" s="11" t="n">
        <f aca="false">IF(H58&lt;Floor_F,MAX((-(Cost_k*Ubar_c+Delay_D)*(1-EXP(-Rho_a*LN((Top_c-H58)/(Top_c-Floor_F))/Delta_c))/Rho_a+EXP(-Rho_a*LN((Top_c-H58)/(Top_c-Floor_F))/Delta_c)*(-Cost_k*Delta_c*Floor_F/Rho_a)),(-Delay_D/Rho_a)),(EXP(-Rho_a*LN(H58/Floor_F)/Delta_c)*(-Cost_k*Delta_c*Floor_F/Rho_a)))</f>
        <v>-292.321547988252</v>
      </c>
      <c r="M58" s="22" t="n">
        <f aca="false">ABS(K58-L58)</f>
        <v>0.554100399479523</v>
      </c>
      <c r="O58" s="17" t="n">
        <f aca="false">30+38*$P$5</f>
        <v>39.5</v>
      </c>
      <c r="P58" s="17" t="n">
        <f aca="false">Ubar_c-Delta_c*O58</f>
        <v>6.12690953219816</v>
      </c>
      <c r="Q58" s="11" t="n">
        <f aca="false">(-(Cost_k*Ubar_c+Delay_D)+P58/$P$5*Q59)/(Rho_a+P58/$P$5)</f>
        <v>-361.371526828254</v>
      </c>
      <c r="R58" s="11" t="n">
        <f aca="false">MAX(Q58,-Delay_D/Rho_a)</f>
        <v>-335.745877992226</v>
      </c>
      <c r="S58" s="11" t="n">
        <f aca="false">IF(O58&lt;Floor_F,MAX((-(Cost_k*Ubar_c+Delay_D)*(1-EXP(-Rho_a*LN((Top_c-O58)/(Top_c-Floor_F))/Delta_c))/Rho_a+EXP(-Rho_a*LN((Top_c-O58)/(Top_c-Floor_F))/Delta_c)*(-Cost_k*Delta_c*Floor_F/Rho_a)),(-Delay_D/Rho_a)),(EXP(-Rho_a*LN(O58/Floor_F)/Delta_c)*(-Cost_k*Delta_c*Floor_F/Rho_a)))</f>
        <v>-335.745877992226</v>
      </c>
      <c r="T58" s="22" t="n">
        <f aca="false">ABS(R58-S58)</f>
        <v>0</v>
      </c>
      <c r="V58" s="17" t="n">
        <f aca="false">30+38*$W$5</f>
        <v>34.75</v>
      </c>
      <c r="W58" s="17" t="n">
        <f aca="false">Ubar_c-Delta_c*V58</f>
        <v>6.60794788389966</v>
      </c>
      <c r="X58" s="11" t="n">
        <f aca="false">(-(Cost_k*Ubar_c+Delay_D)+W58/$W$5*X59)/(Rho_a+W58/$W$5)</f>
        <v>-388.98389713993</v>
      </c>
      <c r="Y58" s="11" t="n">
        <f aca="false">MAX(X58,-Delay_D/Rho_a)</f>
        <v>-335.745877992226</v>
      </c>
      <c r="Z58" s="11" t="n">
        <f aca="false">IF(V58&lt;Floor_F,MAX((-(Cost_k*Ubar_c+Delay_D)*(1-EXP(-Rho_a*LN((Top_c-V58)/(Top_c-Floor_F))/Delta_c))/Rho_a+EXP(-Rho_a*LN((Top_c-V58)/(Top_c-Floor_F))/Delta_c)*(-Cost_k*Delta_c*Floor_F/Rho_a)),(-Delay_D/Rho_a)),(EXP(-Rho_a*LN(V58/Floor_F)/Delta_c)*(-Cost_k*Delta_c*Floor_F/Rho_a)))</f>
        <v>-335.745877992226</v>
      </c>
      <c r="AA58" s="22" t="n">
        <f aca="false">ABS(Y58-Z58)</f>
        <v>0</v>
      </c>
      <c r="AC58" s="17" t="n">
        <f aca="false">30+38*$AD$5</f>
        <v>32.375</v>
      </c>
      <c r="AD58" s="17" t="n">
        <f aca="false">Ubar_c-Delta_c*AC58</f>
        <v>6.84846705975042</v>
      </c>
      <c r="AE58" s="11" t="n">
        <f aca="false">(-(Cost_k*Ubar_c+Delay_D)+AD58/$AD$5*AE59)/(Rho_a+AD58/$AD$5)</f>
        <v>-401.415145543362</v>
      </c>
      <c r="AF58" s="11" t="n">
        <f aca="false">MAX(AE58,-Delay_D/Rho_a)</f>
        <v>-335.745877992226</v>
      </c>
      <c r="AG58" s="11" t="n">
        <f aca="false">IF(AC58&lt;Floor_F,MAX((-(Cost_k*Ubar_c+Delay_D)*(1-EXP(-Rho_a*LN((Top_c-AC58)/(Top_c-Floor_F))/Delta_c))/Rho_a+EXP(-Rho_a*LN((Top_c-AC58)/(Top_c-Floor_F))/Delta_c)*(-Cost_k*Delta_c*Floor_F/Rho_a)),(-Delay_D/Rho_a)),(EXP(-Rho_a*LN(AC58/Floor_F)/Delta_c)*(-Cost_k*Delta_c*Floor_F/Rho_a)))</f>
        <v>-335.745877992226</v>
      </c>
      <c r="AH58" s="22" t="n">
        <f aca="false">ABS(AF58-AG58)</f>
        <v>0</v>
      </c>
    </row>
    <row r="59" customFormat="false" ht="15" hidden="false" customHeight="false" outlineLevel="0" collapsed="false">
      <c r="A59" s="17" t="n">
        <f aca="false">30+39*$B$5</f>
        <v>69</v>
      </c>
      <c r="B59" s="17" t="n">
        <f aca="false">-Delta_c*A59</f>
        <v>-6.98771500366401</v>
      </c>
      <c r="D59" s="11" t="n">
        <f aca="false">(-B59/$B$5*D58)/(Rho_a-B59/$B$5)</f>
        <v>-189.461536143192</v>
      </c>
      <c r="E59" s="11" t="n">
        <f aca="false">IF(A59&lt;Floor_F,MAX((-(Cost_k*Ubar_c+Delay_D)*(1-EXP(-Rho_a*LN((Top_c-A59)/(Top_c-Floor_F))/Delta_c))/Rho_a+EXP(-Rho_a*LN((Top_c-A59)/(Top_c-Floor_F))/Delta_c)*(-Cost_k*Delta_c*Floor_F/Rho_a)),(-Delay_D/Rho_a)),(EXP(-Rho_a*LN(A59/Floor_F)/Delta_c)*(-Cost_k*Delta_c*Floor_F/Rho_a)))</f>
        <v>-188.83400949021</v>
      </c>
      <c r="F59" s="22" t="n">
        <f aca="false">ABS(D59-E59)</f>
        <v>0.62752665298143</v>
      </c>
      <c r="H59" s="17" t="n">
        <f aca="false">30+39*$I$5</f>
        <v>49.5</v>
      </c>
      <c r="I59" s="17" t="n">
        <f aca="false">Ubar_c-Delta_c*H59</f>
        <v>5.11419721282656</v>
      </c>
      <c r="J59" s="11" t="n">
        <f aca="false">(-(Cost_k*Ubar_c+Delay_D)+I59/$I$5*J60)/(Rho_a+I59/$I$5)</f>
        <v>-287.440096988486</v>
      </c>
      <c r="K59" s="11" t="n">
        <f aca="false">MAX(J59,-Delay_D/Rho_a)</f>
        <v>-287.440096988486</v>
      </c>
      <c r="L59" s="11" t="n">
        <f aca="false">IF(H59&lt;Floor_F,MAX((-(Cost_k*Ubar_c+Delay_D)*(1-EXP(-Rho_a*LN((Top_c-H59)/(Top_c-Floor_F))/Delta_c))/Rho_a+EXP(-Rho_a*LN((Top_c-H59)/(Top_c-Floor_F))/Delta_c)*(-Cost_k*Delta_c*Floor_F/Rho_a)),(-Delay_D/Rho_a)),(EXP(-Rho_a*LN(H59/Floor_F)/Delta_c)*(-Cost_k*Delta_c*Floor_F/Rho_a)))</f>
        <v>-287.957783084425</v>
      </c>
      <c r="M59" s="22" t="n">
        <f aca="false">ABS(K59-L59)</f>
        <v>0.517686095939496</v>
      </c>
      <c r="O59" s="17" t="n">
        <f aca="false">30+39*$P$5</f>
        <v>39.75</v>
      </c>
      <c r="P59" s="17" t="n">
        <f aca="false">Ubar_c-Delta_c*O59</f>
        <v>6.10159172421387</v>
      </c>
      <c r="Q59" s="11" t="n">
        <f aca="false">(-(Cost_k*Ubar_c+Delay_D)+P59/$P$5*Q60)/(Rho_a+P59/$P$5)</f>
        <v>-359.818292388581</v>
      </c>
      <c r="R59" s="11" t="n">
        <f aca="false">MAX(Q59,-Delay_D/Rho_a)</f>
        <v>-335.745877992226</v>
      </c>
      <c r="S59" s="11" t="n">
        <f aca="false">IF(O59&lt;Floor_F,MAX((-(Cost_k*Ubar_c+Delay_D)*(1-EXP(-Rho_a*LN((Top_c-O59)/(Top_c-Floor_F))/Delta_c))/Rho_a+EXP(-Rho_a*LN((Top_c-O59)/(Top_c-Floor_F))/Delta_c)*(-Cost_k*Delta_c*Floor_F/Rho_a)),(-Delay_D/Rho_a)),(EXP(-Rho_a*LN(O59/Floor_F)/Delta_c)*(-Cost_k*Delta_c*Floor_F/Rho_a)))</f>
        <v>-335.745877992226</v>
      </c>
      <c r="T59" s="22" t="n">
        <f aca="false">ABS(R59-S59)</f>
        <v>0</v>
      </c>
      <c r="V59" s="17" t="n">
        <f aca="false">30+39*$W$5</f>
        <v>34.875</v>
      </c>
      <c r="W59" s="17" t="n">
        <f aca="false">Ubar_c-Delta_c*V59</f>
        <v>6.59528897990752</v>
      </c>
      <c r="X59" s="11" t="n">
        <f aca="false">(-(Cost_k*Ubar_c+Delay_D)+W59/$W$5*X60)/(Rho_a+W59/$W$5)</f>
        <v>-388.313598882815</v>
      </c>
      <c r="Y59" s="11" t="n">
        <f aca="false">MAX(X59,-Delay_D/Rho_a)</f>
        <v>-335.745877992226</v>
      </c>
      <c r="Z59" s="11" t="n">
        <f aca="false">IF(V59&lt;Floor_F,MAX((-(Cost_k*Ubar_c+Delay_D)*(1-EXP(-Rho_a*LN((Top_c-V59)/(Top_c-Floor_F))/Delta_c))/Rho_a+EXP(-Rho_a*LN((Top_c-V59)/(Top_c-Floor_F))/Delta_c)*(-Cost_k*Delta_c*Floor_F/Rho_a)),(-Delay_D/Rho_a)),(EXP(-Rho_a*LN(V59/Floor_F)/Delta_c)*(-Cost_k*Delta_c*Floor_F/Rho_a)))</f>
        <v>-335.745877992226</v>
      </c>
      <c r="AA59" s="22" t="n">
        <f aca="false">ABS(Y59-Z59)</f>
        <v>0</v>
      </c>
      <c r="AC59" s="17" t="n">
        <f aca="false">30+39*$AD$5</f>
        <v>32.4375</v>
      </c>
      <c r="AD59" s="17" t="n">
        <f aca="false">Ubar_c-Delta_c*AC59</f>
        <v>6.84213760775435</v>
      </c>
      <c r="AE59" s="11" t="n">
        <f aca="false">(-(Cost_k*Ubar_c+Delay_D)+AD59/$AD$5*AE60)/(Rho_a+AD59/$AD$5)</f>
        <v>-401.102579764242</v>
      </c>
      <c r="AF59" s="11" t="n">
        <f aca="false">MAX(AE59,-Delay_D/Rho_a)</f>
        <v>-335.745877992226</v>
      </c>
      <c r="AG59" s="11" t="n">
        <f aca="false">IF(AC59&lt;Floor_F,MAX((-(Cost_k*Ubar_c+Delay_D)*(1-EXP(-Rho_a*LN((Top_c-AC59)/(Top_c-Floor_F))/Delta_c))/Rho_a+EXP(-Rho_a*LN((Top_c-AC59)/(Top_c-Floor_F))/Delta_c)*(-Cost_k*Delta_c*Floor_F/Rho_a)),(-Delay_D/Rho_a)),(EXP(-Rho_a*LN(AC59/Floor_F)/Delta_c)*(-Cost_k*Delta_c*Floor_F/Rho_a)))</f>
        <v>-335.745877992226</v>
      </c>
      <c r="AH59" s="22" t="n">
        <f aca="false">ABS(AF59-AG59)</f>
        <v>0</v>
      </c>
    </row>
    <row r="60" customFormat="false" ht="15" hidden="false" customHeight="false" outlineLevel="0" collapsed="false">
      <c r="A60" s="17" t="n">
        <f aca="false">30+40*$B$5</f>
        <v>70</v>
      </c>
      <c r="B60" s="17" t="n">
        <f aca="false">-Delta_c*A60</f>
        <v>-7.08898623560117</v>
      </c>
      <c r="D60" s="11" t="n">
        <f aca="false">(-B60/$B$5*D59)/(Rho_a-B60/$B$5)</f>
        <v>-186.948052284551</v>
      </c>
      <c r="E60" s="11" t="n">
        <f aca="false">IF(A60&lt;Floor_F,MAX((-(Cost_k*Ubar_c+Delay_D)*(1-EXP(-Rho_a*LN((Top_c-A60)/(Top_c-Floor_F))/Delta_c))/Rho_a+EXP(-Rho_a*LN((Top_c-A60)/(Top_c-Floor_F))/Delta_c)*(-Cost_k*Delta_c*Floor_F/Rho_a)),(-Delay_D/Rho_a)),(EXP(-Rho_a*LN(A60/Floor_F)/Delta_c)*(-Cost_k*Delta_c*Floor_F/Rho_a)))</f>
        <v>-186.294096402992</v>
      </c>
      <c r="F60" s="22" t="n">
        <f aca="false">ABS(D60-E60)</f>
        <v>0.653955881559341</v>
      </c>
      <c r="H60" s="17" t="n">
        <f aca="false">30+40*$I$5</f>
        <v>50</v>
      </c>
      <c r="I60" s="17" t="n">
        <f aca="false">Ubar_c-Delta_c*H60</f>
        <v>5.06356159685798</v>
      </c>
      <c r="J60" s="11" t="n">
        <f aca="false">(-(Cost_k*Ubar_c+Delay_D)+I60/$I$5*J61)/(Rho_a+I60/$I$5)</f>
        <v>-283.029578233482</v>
      </c>
      <c r="K60" s="11" t="n">
        <f aca="false">MAX(J60,-Delay_D/Rho_a)</f>
        <v>-283.029578233482</v>
      </c>
      <c r="L60" s="11" t="n">
        <f aca="false">IF(H60&lt;Floor_F,MAX((-(Cost_k*Ubar_c+Delay_D)*(1-EXP(-Rho_a*LN((Top_c-H60)/(Top_c-Floor_F))/Delta_c))/Rho_a+EXP(-Rho_a*LN((Top_c-H60)/(Top_c-Floor_F))/Delta_c)*(-Cost_k*Delta_c*Floor_F/Rho_a)),(-Delay_D/Rho_a)),(EXP(-Rho_a*LN(H60/Floor_F)/Delta_c)*(-Cost_k*Delta_c*Floor_F/Rho_a)))</f>
        <v>-283.509336294407</v>
      </c>
      <c r="M60" s="22" t="n">
        <f aca="false">ABS(K60-L60)</f>
        <v>0.47975806092478</v>
      </c>
      <c r="O60" s="17" t="n">
        <f aca="false">30+40*$P$5</f>
        <v>40</v>
      </c>
      <c r="P60" s="17" t="n">
        <f aca="false">Ubar_c-Delta_c*O60</f>
        <v>6.07627391622958</v>
      </c>
      <c r="Q60" s="11" t="n">
        <f aca="false">(-(Cost_k*Ubar_c+Delay_D)+P60/$P$5*Q61)/(Rho_a+P60/$P$5)</f>
        <v>-358.252547401139</v>
      </c>
      <c r="R60" s="11" t="n">
        <f aca="false">MAX(Q60,-Delay_D/Rho_a)</f>
        <v>-335.745877992226</v>
      </c>
      <c r="S60" s="11" t="n">
        <f aca="false">IF(O60&lt;Floor_F,MAX((-(Cost_k*Ubar_c+Delay_D)*(1-EXP(-Rho_a*LN((Top_c-O60)/(Top_c-Floor_F))/Delta_c))/Rho_a+EXP(-Rho_a*LN((Top_c-O60)/(Top_c-Floor_F))/Delta_c)*(-Cost_k*Delta_c*Floor_F/Rho_a)),(-Delay_D/Rho_a)),(EXP(-Rho_a*LN(O60/Floor_F)/Delta_c)*(-Cost_k*Delta_c*Floor_F/Rho_a)))</f>
        <v>-335.745877992226</v>
      </c>
      <c r="T60" s="22" t="n">
        <f aca="false">ABS(R60-S60)</f>
        <v>0</v>
      </c>
      <c r="V60" s="17" t="n">
        <f aca="false">30+40*$W$5</f>
        <v>35</v>
      </c>
      <c r="W60" s="17" t="n">
        <f aca="false">Ubar_c-Delta_c*V60</f>
        <v>6.58263007591537</v>
      </c>
      <c r="X60" s="11" t="n">
        <f aca="false">(-(Cost_k*Ubar_c+Delay_D)+W60/$W$5*X61)/(Rho_a+W60/$W$5)</f>
        <v>-387.640803233659</v>
      </c>
      <c r="Y60" s="11" t="n">
        <f aca="false">MAX(X60,-Delay_D/Rho_a)</f>
        <v>-335.745877992226</v>
      </c>
      <c r="Z60" s="11" t="n">
        <f aca="false">IF(V60&lt;Floor_F,MAX((-(Cost_k*Ubar_c+Delay_D)*(1-EXP(-Rho_a*LN((Top_c-V60)/(Top_c-Floor_F))/Delta_c))/Rho_a+EXP(-Rho_a*LN((Top_c-V60)/(Top_c-Floor_F))/Delta_c)*(-Cost_k*Delta_c*Floor_F/Rho_a)),(-Delay_D/Rho_a)),(EXP(-Rho_a*LN(V60/Floor_F)/Delta_c)*(-Cost_k*Delta_c*Floor_F/Rho_a)))</f>
        <v>-335.745877992226</v>
      </c>
      <c r="AA60" s="22" t="n">
        <f aca="false">ABS(Y60-Z60)</f>
        <v>0</v>
      </c>
      <c r="AC60" s="17" t="n">
        <f aca="false">30+40*$AD$5</f>
        <v>32.5</v>
      </c>
      <c r="AD60" s="17" t="n">
        <f aca="false">Ubar_c-Delta_c*AC60</f>
        <v>6.83580815575827</v>
      </c>
      <c r="AE60" s="11" t="n">
        <f aca="false">(-(Cost_k*Ubar_c+Delay_D)+AD60/$AD$5*AE61)/(Rho_a+AD60/$AD$5)</f>
        <v>-400.789452714785</v>
      </c>
      <c r="AF60" s="11" t="n">
        <f aca="false">MAX(AE60,-Delay_D/Rho_a)</f>
        <v>-335.745877992226</v>
      </c>
      <c r="AG60" s="11" t="n">
        <f aca="false">IF(AC60&lt;Floor_F,MAX((-(Cost_k*Ubar_c+Delay_D)*(1-EXP(-Rho_a*LN((Top_c-AC60)/(Top_c-Floor_F))/Delta_c))/Rho_a+EXP(-Rho_a*LN((Top_c-AC60)/(Top_c-Floor_F))/Delta_c)*(-Cost_k*Delta_c*Floor_F/Rho_a)),(-Delay_D/Rho_a)),(EXP(-Rho_a*LN(AC60/Floor_F)/Delta_c)*(-Cost_k*Delta_c*Floor_F/Rho_a)))</f>
        <v>-335.745877992226</v>
      </c>
      <c r="AH60" s="22" t="n">
        <f aca="false">ABS(AF60-AG60)</f>
        <v>0</v>
      </c>
    </row>
    <row r="61" customFormat="false" ht="15" hidden="false" customHeight="false" outlineLevel="0" collapsed="false">
      <c r="A61" s="17" t="n">
        <f aca="false">30+41*$B$5</f>
        <v>71</v>
      </c>
      <c r="B61" s="17" t="n">
        <f aca="false">-Delta_c*A61</f>
        <v>-7.19025746753833</v>
      </c>
      <c r="D61" s="11" t="n">
        <f aca="false">(-B61/$B$5*D60)/(Rho_a-B61/$B$5)</f>
        <v>-184.502388015164</v>
      </c>
      <c r="E61" s="11" t="n">
        <f aca="false">IF(A61&lt;Floor_F,MAX((-(Cost_k*Ubar_c+Delay_D)*(1-EXP(-Rho_a*LN((Top_c-A61)/(Top_c-Floor_F))/Delta_c))/Rho_a+EXP(-Rho_a*LN((Top_c-A61)/(Top_c-Floor_F))/Delta_c)*(-Cost_k*Delta_c*Floor_F/Rho_a)),(-Delay_D/Rho_a)),(EXP(-Rho_a*LN(A61/Floor_F)/Delta_c)*(-Cost_k*Delta_c*Floor_F/Rho_a)))</f>
        <v>-183.823653457875</v>
      </c>
      <c r="F61" s="22" t="n">
        <f aca="false">ABS(D61-E61)</f>
        <v>0.678734557289005</v>
      </c>
      <c r="H61" s="17" t="n">
        <f aca="false">30+41*$I$5</f>
        <v>50.5</v>
      </c>
      <c r="I61" s="17" t="n">
        <f aca="false">Ubar_c-Delta_c*H61</f>
        <v>5.0129259808894</v>
      </c>
      <c r="J61" s="11" t="n">
        <f aca="false">(-(Cost_k*Ubar_c+Delay_D)+I61/$I$5*J62)/(Rho_a+I61/$I$5)</f>
        <v>-278.533445233763</v>
      </c>
      <c r="K61" s="11" t="n">
        <f aca="false">MAX(J61,-Delay_D/Rho_a)</f>
        <v>-278.533445233763</v>
      </c>
      <c r="L61" s="11" t="n">
        <f aca="false">IF(H61&lt;Floor_F,MAX((-(Cost_k*Ubar_c+Delay_D)*(1-EXP(-Rho_a*LN((Top_c-H61)/(Top_c-Floor_F))/Delta_c))/Rho_a+EXP(-Rho_a*LN((Top_c-H61)/(Top_c-Floor_F))/Delta_c)*(-Cost_k*Delta_c*Floor_F/Rho_a)),(-Delay_D/Rho_a)),(EXP(-Rho_a*LN(H61/Floor_F)/Delta_c)*(-Cost_k*Delta_c*Floor_F/Rho_a)))</f>
        <v>-278.973692592374</v>
      </c>
      <c r="M61" s="22" t="n">
        <f aca="false">ABS(K61-L61)</f>
        <v>0.440247358611373</v>
      </c>
      <c r="O61" s="17" t="n">
        <f aca="false">30+41*$P$5</f>
        <v>40.25</v>
      </c>
      <c r="P61" s="17" t="n">
        <f aca="false">Ubar_c-Delta_c*O61</f>
        <v>6.05095610824529</v>
      </c>
      <c r="Q61" s="11" t="n">
        <f aca="false">(-(Cost_k*Ubar_c+Delay_D)+P61/$P$5*Q62)/(Rho_a+P61/$P$5)</f>
        <v>-356.67413855241</v>
      </c>
      <c r="R61" s="11" t="n">
        <f aca="false">MAX(Q61,-Delay_D/Rho_a)</f>
        <v>-335.745877992226</v>
      </c>
      <c r="S61" s="11" t="n">
        <f aca="false">IF(O61&lt;Floor_F,MAX((-(Cost_k*Ubar_c+Delay_D)*(1-EXP(-Rho_a*LN((Top_c-O61)/(Top_c-Floor_F))/Delta_c))/Rho_a+EXP(-Rho_a*LN((Top_c-O61)/(Top_c-Floor_F))/Delta_c)*(-Cost_k*Delta_c*Floor_F/Rho_a)),(-Delay_D/Rho_a)),(EXP(-Rho_a*LN(O61/Floor_F)/Delta_c)*(-Cost_k*Delta_c*Floor_F/Rho_a)))</f>
        <v>-335.745877992226</v>
      </c>
      <c r="T61" s="22" t="n">
        <f aca="false">ABS(R61-S61)</f>
        <v>0</v>
      </c>
      <c r="V61" s="17" t="n">
        <f aca="false">30+41*$W$5</f>
        <v>35.125</v>
      </c>
      <c r="W61" s="17" t="n">
        <f aca="false">Ubar_c-Delta_c*V61</f>
        <v>6.56997117192323</v>
      </c>
      <c r="X61" s="11" t="n">
        <f aca="false">(-(Cost_k*Ubar_c+Delay_D)+W61/$W$5*X62)/(Rho_a+W61/$W$5)</f>
        <v>-386.965496067126</v>
      </c>
      <c r="Y61" s="11" t="n">
        <f aca="false">MAX(X61,-Delay_D/Rho_a)</f>
        <v>-335.745877992226</v>
      </c>
      <c r="Z61" s="11" t="n">
        <f aca="false">IF(V61&lt;Floor_F,MAX((-(Cost_k*Ubar_c+Delay_D)*(1-EXP(-Rho_a*LN((Top_c-V61)/(Top_c-Floor_F))/Delta_c))/Rho_a+EXP(-Rho_a*LN((Top_c-V61)/(Top_c-Floor_F))/Delta_c)*(-Cost_k*Delta_c*Floor_F/Rho_a)),(-Delay_D/Rho_a)),(EXP(-Rho_a*LN(V61/Floor_F)/Delta_c)*(-Cost_k*Delta_c*Floor_F/Rho_a)))</f>
        <v>-335.745877992226</v>
      </c>
      <c r="AA61" s="22" t="n">
        <f aca="false">ABS(Y61-Z61)</f>
        <v>0</v>
      </c>
      <c r="AC61" s="17" t="n">
        <f aca="false">30+41*$AD$5</f>
        <v>32.5625</v>
      </c>
      <c r="AD61" s="17" t="n">
        <f aca="false">Ubar_c-Delta_c*AC61</f>
        <v>6.8294787037622</v>
      </c>
      <c r="AE61" s="11" t="n">
        <f aca="false">(-(Cost_k*Ubar_c+Delay_D)+AD61/$AD$5*AE62)/(Rho_a+AD61/$AD$5)</f>
        <v>-400.475762866497</v>
      </c>
      <c r="AF61" s="11" t="n">
        <f aca="false">MAX(AE61,-Delay_D/Rho_a)</f>
        <v>-335.745877992226</v>
      </c>
      <c r="AG61" s="11" t="n">
        <f aca="false">IF(AC61&lt;Floor_F,MAX((-(Cost_k*Ubar_c+Delay_D)*(1-EXP(-Rho_a*LN((Top_c-AC61)/(Top_c-Floor_F))/Delta_c))/Rho_a+EXP(-Rho_a*LN((Top_c-AC61)/(Top_c-Floor_F))/Delta_c)*(-Cost_k*Delta_c*Floor_F/Rho_a)),(-Delay_D/Rho_a)),(EXP(-Rho_a*LN(AC61/Floor_F)/Delta_c)*(-Cost_k*Delta_c*Floor_F/Rho_a)))</f>
        <v>-335.745877992226</v>
      </c>
      <c r="AH61" s="22" t="n">
        <f aca="false">ABS(AF61-AG61)</f>
        <v>0</v>
      </c>
    </row>
    <row r="62" customFormat="false" ht="15" hidden="false" customHeight="false" outlineLevel="0" collapsed="false">
      <c r="A62" s="17" t="n">
        <f aca="false">30+42*$B$5</f>
        <v>72</v>
      </c>
      <c r="B62" s="17" t="n">
        <f aca="false">-Delta_c*A62</f>
        <v>-7.29152869947549</v>
      </c>
      <c r="D62" s="11" t="n">
        <f aca="false">(-B62/$B$5*D61)/(Rho_a-B62/$B$5)</f>
        <v>-182.12180870872</v>
      </c>
      <c r="E62" s="11" t="n">
        <f aca="false">IF(A62&lt;Floor_F,MAX((-(Cost_k*Ubar_c+Delay_D)*(1-EXP(-Rho_a*LN((Top_c-A62)/(Top_c-Floor_F))/Delta_c))/Rho_a+EXP(-Rho_a*LN((Top_c-A62)/(Top_c-Floor_F))/Delta_c)*(-Cost_k*Delta_c*Floor_F/Rho_a)),(-Delay_D/Rho_a)),(EXP(-Rho_a*LN(A62/Floor_F)/Delta_c)*(-Cost_k*Delta_c*Floor_F/Rho_a)))</f>
        <v>-181.419841688328</v>
      </c>
      <c r="F62" s="22" t="n">
        <f aca="false">ABS(D62-E62)</f>
        <v>0.70196702039172</v>
      </c>
      <c r="H62" s="17" t="n">
        <f aca="false">30+42*$I$5</f>
        <v>51</v>
      </c>
      <c r="I62" s="17" t="n">
        <f aca="false">Ubar_c-Delta_c*H62</f>
        <v>4.96229036492082</v>
      </c>
      <c r="J62" s="11" t="n">
        <f aca="false">(-(Cost_k*Ubar_c+Delay_D)+I62/$I$5*J63)/(Rho_a+I62/$I$5)</f>
        <v>-273.949154521778</v>
      </c>
      <c r="K62" s="11" t="n">
        <f aca="false">MAX(J62,-Delay_D/Rho_a)</f>
        <v>-273.949154521778</v>
      </c>
      <c r="L62" s="11" t="n">
        <f aca="false">IF(H62&lt;Floor_F,MAX((-(Cost_k*Ubar_c+Delay_D)*(1-EXP(-Rho_a*LN((Top_c-H62)/(Top_c-Floor_F))/Delta_c))/Rho_a+EXP(-Rho_a*LN((Top_c-H62)/(Top_c-Floor_F))/Delta_c)*(-Cost_k*Delta_c*Floor_F/Rho_a)),(-Delay_D/Rho_a)),(EXP(-Rho_a*LN(H62/Floor_F)/Delta_c)*(-Cost_k*Delta_c*Floor_F/Rho_a)))</f>
        <v>-274.348235839119</v>
      </c>
      <c r="M62" s="22" t="n">
        <f aca="false">ABS(K62-L62)</f>
        <v>0.399081317340858</v>
      </c>
      <c r="O62" s="17" t="n">
        <f aca="false">30+42*$P$5</f>
        <v>40.5</v>
      </c>
      <c r="P62" s="17" t="n">
        <f aca="false">Ubar_c-Delta_c*O62</f>
        <v>6.025638300261</v>
      </c>
      <c r="Q62" s="11" t="n">
        <f aca="false">(-(Cost_k*Ubar_c+Delay_D)+P62/$P$5*Q63)/(Rho_a+P62/$P$5)</f>
        <v>-355.082910000719</v>
      </c>
      <c r="R62" s="11" t="n">
        <f aca="false">MAX(Q62,-Delay_D/Rho_a)</f>
        <v>-335.745877992226</v>
      </c>
      <c r="S62" s="11" t="n">
        <f aca="false">IF(O62&lt;Floor_F,MAX((-(Cost_k*Ubar_c+Delay_D)*(1-EXP(-Rho_a*LN((Top_c-O62)/(Top_c-Floor_F))/Delta_c))/Rho_a+EXP(-Rho_a*LN((Top_c-O62)/(Top_c-Floor_F))/Delta_c)*(-Cost_k*Delta_c*Floor_F/Rho_a)),(-Delay_D/Rho_a)),(EXP(-Rho_a*LN(O62/Floor_F)/Delta_c)*(-Cost_k*Delta_c*Floor_F/Rho_a)))</f>
        <v>-335.745877992226</v>
      </c>
      <c r="T62" s="22" t="n">
        <f aca="false">ABS(R62-S62)</f>
        <v>0</v>
      </c>
      <c r="V62" s="17" t="n">
        <f aca="false">30+42*$W$5</f>
        <v>35.25</v>
      </c>
      <c r="W62" s="17" t="n">
        <f aca="false">Ubar_c-Delta_c*V62</f>
        <v>6.55731226793109</v>
      </c>
      <c r="X62" s="11" t="n">
        <f aca="false">(-(Cost_k*Ubar_c+Delay_D)+W62/$W$5*X63)/(Rho_a+W62/$W$5)</f>
        <v>-386.28766315062</v>
      </c>
      <c r="Y62" s="11" t="n">
        <f aca="false">MAX(X62,-Delay_D/Rho_a)</f>
        <v>-335.745877992226</v>
      </c>
      <c r="Z62" s="11" t="n">
        <f aca="false">IF(V62&lt;Floor_F,MAX((-(Cost_k*Ubar_c+Delay_D)*(1-EXP(-Rho_a*LN((Top_c-V62)/(Top_c-Floor_F))/Delta_c))/Rho_a+EXP(-Rho_a*LN((Top_c-V62)/(Top_c-Floor_F))/Delta_c)*(-Cost_k*Delta_c*Floor_F/Rho_a)),(-Delay_D/Rho_a)),(EXP(-Rho_a*LN(V62/Floor_F)/Delta_c)*(-Cost_k*Delta_c*Floor_F/Rho_a)))</f>
        <v>-335.745877992226</v>
      </c>
      <c r="AA62" s="22" t="n">
        <f aca="false">ABS(Y62-Z62)</f>
        <v>0</v>
      </c>
      <c r="AC62" s="17" t="n">
        <f aca="false">30+42*$AD$5</f>
        <v>32.625</v>
      </c>
      <c r="AD62" s="17" t="n">
        <f aca="false">Ubar_c-Delta_c*AC62</f>
        <v>6.82314925176613</v>
      </c>
      <c r="AE62" s="11" t="n">
        <f aca="false">(-(Cost_k*Ubar_c+Delay_D)+AD62/$AD$5*AE63)/(Rho_a+AD62/$AD$5)</f>
        <v>-400.1615086853</v>
      </c>
      <c r="AF62" s="11" t="n">
        <f aca="false">MAX(AE62,-Delay_D/Rho_a)</f>
        <v>-335.745877992226</v>
      </c>
      <c r="AG62" s="11" t="n">
        <f aca="false">IF(AC62&lt;Floor_F,MAX((-(Cost_k*Ubar_c+Delay_D)*(1-EXP(-Rho_a*LN((Top_c-AC62)/(Top_c-Floor_F))/Delta_c))/Rho_a+EXP(-Rho_a*LN((Top_c-AC62)/(Top_c-Floor_F))/Delta_c)*(-Cost_k*Delta_c*Floor_F/Rho_a)),(-Delay_D/Rho_a)),(EXP(-Rho_a*LN(AC62/Floor_F)/Delta_c)*(-Cost_k*Delta_c*Floor_F/Rho_a)))</f>
        <v>-335.745877992226</v>
      </c>
      <c r="AH62" s="22" t="n">
        <f aca="false">ABS(AF62-AG62)</f>
        <v>0</v>
      </c>
    </row>
    <row r="63" customFormat="false" ht="15" hidden="false" customHeight="false" outlineLevel="0" collapsed="false">
      <c r="A63" s="17" t="n">
        <f aca="false">30+43*$B$5</f>
        <v>73</v>
      </c>
      <c r="B63" s="17" t="n">
        <f aca="false">-Delta_c*A63</f>
        <v>-7.39279993141265</v>
      </c>
      <c r="D63" s="11" t="n">
        <f aca="false">(-B63/$B$5*D62)/(Rho_a-B63/$B$5)</f>
        <v>-179.803725497268</v>
      </c>
      <c r="E63" s="11" t="n">
        <f aca="false">IF(A63&lt;Floor_F,MAX((-(Cost_k*Ubar_c+Delay_D)*(1-EXP(-Rho_a*LN((Top_c-A63)/(Top_c-Floor_F))/Delta_c))/Rho_a+EXP(-Rho_a*LN((Top_c-A63)/(Top_c-Floor_F))/Delta_c)*(-Cost_k*Delta_c*Floor_F/Rho_a)),(-Delay_D/Rho_a)),(EXP(-Rho_a*LN(A63/Floor_F)/Delta_c)*(-Cost_k*Delta_c*Floor_F/Rho_a)))</f>
        <v>-179.079975461014</v>
      </c>
      <c r="F63" s="22" t="n">
        <f aca="false">ABS(D63-E63)</f>
        <v>0.723750036253108</v>
      </c>
      <c r="H63" s="17" t="n">
        <f aca="false">30+43*$I$5</f>
        <v>51.5</v>
      </c>
      <c r="I63" s="17" t="n">
        <f aca="false">Ubar_c-Delta_c*H63</f>
        <v>4.91165474895224</v>
      </c>
      <c r="J63" s="11" t="n">
        <f aca="false">(-(Cost_k*Ubar_c+Delay_D)+I63/$I$5*J64)/(Rho_a+I63/$I$5)</f>
        <v>-269.274060342672</v>
      </c>
      <c r="K63" s="11" t="n">
        <f aca="false">MAX(J63,-Delay_D/Rho_a)</f>
        <v>-269.274060342672</v>
      </c>
      <c r="L63" s="11" t="n">
        <f aca="false">IF(H63&lt;Floor_F,MAX((-(Cost_k*Ubar_c+Delay_D)*(1-EXP(-Rho_a*LN((Top_c-H63)/(Top_c-Floor_F))/Delta_c))/Rho_a+EXP(-Rho_a*LN((Top_c-H63)/(Top_c-Floor_F))/Delta_c)*(-Cost_k*Delta_c*Floor_F/Rho_a)),(-Delay_D/Rho_a)),(EXP(-Rho_a*LN(H63/Floor_F)/Delta_c)*(-Cost_k*Delta_c*Floor_F/Rho_a)))</f>
        <v>-269.630243632922</v>
      </c>
      <c r="M63" s="22" t="n">
        <f aca="false">ABS(K63-L63)</f>
        <v>0.356183290249817</v>
      </c>
      <c r="O63" s="17" t="n">
        <f aca="false">30+43*$P$5</f>
        <v>40.75</v>
      </c>
      <c r="P63" s="17" t="n">
        <f aca="false">Ubar_c-Delta_c*O63</f>
        <v>6.00032049227671</v>
      </c>
      <c r="Q63" s="11" t="n">
        <f aca="false">(-(Cost_k*Ubar_c+Delay_D)+P63/$P$5*Q64)/(Rho_a+P63/$P$5)</f>
        <v>-353.478703323744</v>
      </c>
      <c r="R63" s="11" t="n">
        <f aca="false">MAX(Q63,-Delay_D/Rho_a)</f>
        <v>-335.745877992226</v>
      </c>
      <c r="S63" s="11" t="n">
        <f aca="false">IF(O63&lt;Floor_F,MAX((-(Cost_k*Ubar_c+Delay_D)*(1-EXP(-Rho_a*LN((Top_c-O63)/(Top_c-Floor_F))/Delta_c))/Rho_a+EXP(-Rho_a*LN((Top_c-O63)/(Top_c-Floor_F))/Delta_c)*(-Cost_k*Delta_c*Floor_F/Rho_a)),(-Delay_D/Rho_a)),(EXP(-Rho_a*LN(O63/Floor_F)/Delta_c)*(-Cost_k*Delta_c*Floor_F/Rho_a)))</f>
        <v>-335.745877992226</v>
      </c>
      <c r="T63" s="22" t="n">
        <f aca="false">ABS(R63-S63)</f>
        <v>0</v>
      </c>
      <c r="V63" s="17" t="n">
        <f aca="false">30+43*$W$5</f>
        <v>35.375</v>
      </c>
      <c r="W63" s="17" t="n">
        <f aca="false">Ubar_c-Delta_c*V63</f>
        <v>6.54465336393894</v>
      </c>
      <c r="X63" s="11" t="n">
        <f aca="false">(-(Cost_k*Ubar_c+Delay_D)+W63/$W$5*X64)/(Rho_a+W63/$W$5)</f>
        <v>-385.607290143253</v>
      </c>
      <c r="Y63" s="11" t="n">
        <f aca="false">MAX(X63,-Delay_D/Rho_a)</f>
        <v>-335.745877992226</v>
      </c>
      <c r="Z63" s="11" t="n">
        <f aca="false">IF(V63&lt;Floor_F,MAX((-(Cost_k*Ubar_c+Delay_D)*(1-EXP(-Rho_a*LN((Top_c-V63)/(Top_c-Floor_F))/Delta_c))/Rho_a+EXP(-Rho_a*LN((Top_c-V63)/(Top_c-Floor_F))/Delta_c)*(-Cost_k*Delta_c*Floor_F/Rho_a)),(-Delay_D/Rho_a)),(EXP(-Rho_a*LN(V63/Floor_F)/Delta_c)*(-Cost_k*Delta_c*Floor_F/Rho_a)))</f>
        <v>-335.745877992226</v>
      </c>
      <c r="AA63" s="22" t="n">
        <f aca="false">ABS(Y63-Z63)</f>
        <v>0</v>
      </c>
      <c r="AC63" s="17" t="n">
        <f aca="false">30+43*$AD$5</f>
        <v>32.6875</v>
      </c>
      <c r="AD63" s="17" t="n">
        <f aca="false">Ubar_c-Delta_c*AC63</f>
        <v>6.81681979977006</v>
      </c>
      <c r="AE63" s="11" t="n">
        <f aca="false">(-(Cost_k*Ubar_c+Delay_D)+AD63/$AD$5*AE64)/(Rho_a+AD63/$AD$5)</f>
        <v>-399.846688631511</v>
      </c>
      <c r="AF63" s="11" t="n">
        <f aca="false">MAX(AE63,-Delay_D/Rho_a)</f>
        <v>-335.745877992226</v>
      </c>
      <c r="AG63" s="11" t="n">
        <f aca="false">IF(AC63&lt;Floor_F,MAX((-(Cost_k*Ubar_c+Delay_D)*(1-EXP(-Rho_a*LN((Top_c-AC63)/(Top_c-Floor_F))/Delta_c))/Rho_a+EXP(-Rho_a*LN((Top_c-AC63)/(Top_c-Floor_F))/Delta_c)*(-Cost_k*Delta_c*Floor_F/Rho_a)),(-Delay_D/Rho_a)),(EXP(-Rho_a*LN(AC63/Floor_F)/Delta_c)*(-Cost_k*Delta_c*Floor_F/Rho_a)))</f>
        <v>-335.745877992226</v>
      </c>
      <c r="AH63" s="22" t="n">
        <f aca="false">ABS(AF63-AG63)</f>
        <v>0</v>
      </c>
    </row>
    <row r="64" customFormat="false" ht="15" hidden="false" customHeight="false" outlineLevel="0" collapsed="false">
      <c r="A64" s="17" t="n">
        <f aca="false">30+44*$B$5</f>
        <v>74</v>
      </c>
      <c r="B64" s="17" t="n">
        <f aca="false">-Delta_c*A64</f>
        <v>-7.49407116334981</v>
      </c>
      <c r="D64" s="11" t="n">
        <f aca="false">(-B64/$B$5*D63)/(Rho_a-B64/$B$5)</f>
        <v>-177.545685660847</v>
      </c>
      <c r="E64" s="11" t="n">
        <f aca="false">IF(A64&lt;Floor_F,MAX((-(Cost_k*Ubar_c+Delay_D)*(1-EXP(-Rho_a*LN((Top_c-A64)/(Top_c-Floor_F))/Delta_c))/Rho_a+EXP(-Rho_a*LN((Top_c-A64)/(Top_c-Floor_F))/Delta_c)*(-Cost_k*Delta_c*Floor_F/Rho_a)),(-Delay_D/Rho_a)),(EXP(-Rho_a*LN(A64/Floor_F)/Delta_c)*(-Cost_k*Delta_c*Floor_F/Rho_a)))</f>
        <v>-176.80151223328</v>
      </c>
      <c r="F64" s="22" t="n">
        <f aca="false">ABS(D64-E64)</f>
        <v>0.744173427566466</v>
      </c>
      <c r="H64" s="17" t="n">
        <f aca="false">30+44*$I$5</f>
        <v>52</v>
      </c>
      <c r="I64" s="17" t="n">
        <f aca="false">Ubar_c-Delta_c*H64</f>
        <v>4.86101913298366</v>
      </c>
      <c r="J64" s="11" t="n">
        <f aca="false">(-(Cost_k*Ubar_c+Delay_D)+I64/$I$5*J65)/(Rho_a+I64/$I$5)</f>
        <v>-264.505409443812</v>
      </c>
      <c r="K64" s="11" t="n">
        <f aca="false">MAX(J64,-Delay_D/Rho_a)</f>
        <v>-264.505409443812</v>
      </c>
      <c r="L64" s="11" t="n">
        <f aca="false">IF(H64&lt;Floor_F,MAX((-(Cost_k*Ubar_c+Delay_D)*(1-EXP(-Rho_a*LN((Top_c-H64)/(Top_c-Floor_F))/Delta_c))/Rho_a+EXP(-Rho_a*LN((Top_c-H64)/(Top_c-Floor_F))/Delta_c)*(-Cost_k*Delta_c*Floor_F/Rho_a)),(-Delay_D/Rho_a)),(EXP(-Rho_a*LN(H64/Floor_F)/Delta_c)*(-Cost_k*Delta_c*Floor_F/Rho_a)))</f>
        <v>-264.81688184186</v>
      </c>
      <c r="M64" s="22" t="n">
        <f aca="false">ABS(K64-L64)</f>
        <v>0.311472398048352</v>
      </c>
      <c r="O64" s="17" t="n">
        <f aca="false">30+44*$P$5</f>
        <v>41</v>
      </c>
      <c r="P64" s="17" t="n">
        <f aca="false">Ubar_c-Delta_c*O64</f>
        <v>5.97500268429242</v>
      </c>
      <c r="Q64" s="11" t="n">
        <f aca="false">(-(Cost_k*Ubar_c+Delay_D)+P64/$P$5*Q65)/(Rho_a+P64/$P$5)</f>
        <v>-351.861357464717</v>
      </c>
      <c r="R64" s="11" t="n">
        <f aca="false">MAX(Q64,-Delay_D/Rho_a)</f>
        <v>-335.745877992226</v>
      </c>
      <c r="S64" s="11" t="n">
        <f aca="false">IF(O64&lt;Floor_F,MAX((-(Cost_k*Ubar_c+Delay_D)*(1-EXP(-Rho_a*LN((Top_c-O64)/(Top_c-Floor_F))/Delta_c))/Rho_a+EXP(-Rho_a*LN((Top_c-O64)/(Top_c-Floor_F))/Delta_c)*(-Cost_k*Delta_c*Floor_F/Rho_a)),(-Delay_D/Rho_a)),(EXP(-Rho_a*LN(O64/Floor_F)/Delta_c)*(-Cost_k*Delta_c*Floor_F/Rho_a)))</f>
        <v>-335.745877992226</v>
      </c>
      <c r="T64" s="22" t="n">
        <f aca="false">ABS(R64-S64)</f>
        <v>0</v>
      </c>
      <c r="V64" s="17" t="n">
        <f aca="false">30+44*$W$5</f>
        <v>35.5</v>
      </c>
      <c r="W64" s="17" t="n">
        <f aca="false">Ubar_c-Delta_c*V64</f>
        <v>6.53199445994679</v>
      </c>
      <c r="X64" s="11" t="n">
        <f aca="false">(-(Cost_k*Ubar_c+Delay_D)+W64/$W$5*X65)/(Rho_a+W64/$W$5)</f>
        <v>-384.92436259482</v>
      </c>
      <c r="Y64" s="11" t="n">
        <f aca="false">MAX(X64,-Delay_D/Rho_a)</f>
        <v>-335.745877992226</v>
      </c>
      <c r="Z64" s="11" t="n">
        <f aca="false">IF(V64&lt;Floor_F,MAX((-(Cost_k*Ubar_c+Delay_D)*(1-EXP(-Rho_a*LN((Top_c-V64)/(Top_c-Floor_F))/Delta_c))/Rho_a+EXP(-Rho_a*LN((Top_c-V64)/(Top_c-Floor_F))/Delta_c)*(-Cost_k*Delta_c*Floor_F/Rho_a)),(-Delay_D/Rho_a)),(EXP(-Rho_a*LN(V64/Floor_F)/Delta_c)*(-Cost_k*Delta_c*Floor_F/Rho_a)))</f>
        <v>-335.745877992226</v>
      </c>
      <c r="AA64" s="22" t="n">
        <f aca="false">ABS(Y64-Z64)</f>
        <v>0</v>
      </c>
      <c r="AC64" s="17" t="n">
        <f aca="false">30+44*$AD$5</f>
        <v>32.75</v>
      </c>
      <c r="AD64" s="17" t="n">
        <f aca="false">Ubar_c-Delta_c*AC64</f>
        <v>6.81049034777398</v>
      </c>
      <c r="AE64" s="11" t="n">
        <f aca="false">(-(Cost_k*Ubar_c+Delay_D)+AD64/$AD$5*AE65)/(Rho_a+AD64/$AD$5)</f>
        <v>-399.531301159808</v>
      </c>
      <c r="AF64" s="11" t="n">
        <f aca="false">MAX(AE64,-Delay_D/Rho_a)</f>
        <v>-335.745877992226</v>
      </c>
      <c r="AG64" s="11" t="n">
        <f aca="false">IF(AC64&lt;Floor_F,MAX((-(Cost_k*Ubar_c+Delay_D)*(1-EXP(-Rho_a*LN((Top_c-AC64)/(Top_c-Floor_F))/Delta_c))/Rho_a+EXP(-Rho_a*LN((Top_c-AC64)/(Top_c-Floor_F))/Delta_c)*(-Cost_k*Delta_c*Floor_F/Rho_a)),(-Delay_D/Rho_a)),(EXP(-Rho_a*LN(AC64/Floor_F)/Delta_c)*(-Cost_k*Delta_c*Floor_F/Rho_a)))</f>
        <v>-335.745877992226</v>
      </c>
      <c r="AH64" s="22" t="n">
        <f aca="false">ABS(AF64-AG64)</f>
        <v>0</v>
      </c>
    </row>
    <row r="65" customFormat="false" ht="15" hidden="false" customHeight="false" outlineLevel="0" collapsed="false">
      <c r="A65" s="17" t="n">
        <f aca="false">30+45*$B$5</f>
        <v>75</v>
      </c>
      <c r="B65" s="17" t="n">
        <f aca="false">-Delta_c*A65</f>
        <v>-7.59534239528697</v>
      </c>
      <c r="D65" s="11" t="n">
        <f aca="false">(-B65/$B$5*D64)/(Rho_a-B65/$B$5)</f>
        <v>-175.345363768966</v>
      </c>
      <c r="E65" s="11" t="n">
        <f aca="false">IF(A65&lt;Floor_F,MAX((-(Cost_k*Ubar_c+Delay_D)*(1-EXP(-Rho_a*LN((Top_c-A65)/(Top_c-Floor_F))/Delta_c))/Rho_a+EXP(-Rho_a*LN((Top_c-A65)/(Top_c-Floor_F))/Delta_c)*(-Cost_k*Delta_c*Floor_F/Rho_a)),(-Delay_D/Rho_a)),(EXP(-Rho_a*LN(A65/Floor_F)/Delta_c)*(-Cost_k*Delta_c*Floor_F/Rho_a)))</f>
        <v>-174.582043122324</v>
      </c>
      <c r="F65" s="22" t="n">
        <f aca="false">ABS(D65-E65)</f>
        <v>0.76332064664274</v>
      </c>
      <c r="H65" s="17" t="n">
        <f aca="false">30+45*$I$5</f>
        <v>52.5</v>
      </c>
      <c r="I65" s="17" t="n">
        <f aca="false">Ubar_c-Delta_c*H65</f>
        <v>4.81038351701508</v>
      </c>
      <c r="J65" s="11" t="n">
        <f aca="false">(-(Cost_k*Ubar_c+Delay_D)+I65/$I$5*J66)/(Rho_a+I65/$I$5)</f>
        <v>-259.640335541858</v>
      </c>
      <c r="K65" s="11" t="n">
        <f aca="false">MAX(J65,-Delay_D/Rho_a)</f>
        <v>-259.640335541858</v>
      </c>
      <c r="L65" s="11" t="n">
        <f aca="false">IF(H65&lt;Floor_F,MAX((-(Cost_k*Ubar_c+Delay_D)*(1-EXP(-Rho_a*LN((Top_c-H65)/(Top_c-Floor_F))/Delta_c))/Rho_a+EXP(-Rho_a*LN((Top_c-H65)/(Top_c-Floor_F))/Delta_c)*(-Cost_k*Delta_c*Floor_F/Rho_a)),(-Delay_D/Rho_a)),(EXP(-Rho_a*LN(H65/Floor_F)/Delta_c)*(-Cost_k*Delta_c*Floor_F/Rho_a)))</f>
        <v>-259.905198794282</v>
      </c>
      <c r="M65" s="22" t="n">
        <f aca="false">ABS(K65-L65)</f>
        <v>0.264863252423709</v>
      </c>
      <c r="O65" s="17" t="n">
        <f aca="false">30+45*$P$5</f>
        <v>41.25</v>
      </c>
      <c r="P65" s="17" t="n">
        <f aca="false">Ubar_c-Delta_c*O65</f>
        <v>5.94968487630813</v>
      </c>
      <c r="Q65" s="11" t="n">
        <f aca="false">(-(Cost_k*Ubar_c+Delay_D)+P65/$P$5*Q66)/(Rho_a+P65/$P$5)</f>
        <v>-350.230708677263</v>
      </c>
      <c r="R65" s="11" t="n">
        <f aca="false">MAX(Q65,-Delay_D/Rho_a)</f>
        <v>-335.745877992226</v>
      </c>
      <c r="S65" s="11" t="n">
        <f aca="false">IF(O65&lt;Floor_F,MAX((-(Cost_k*Ubar_c+Delay_D)*(1-EXP(-Rho_a*LN((Top_c-O65)/(Top_c-Floor_F))/Delta_c))/Rho_a+EXP(-Rho_a*LN((Top_c-O65)/(Top_c-Floor_F))/Delta_c)*(-Cost_k*Delta_c*Floor_F/Rho_a)),(-Delay_D/Rho_a)),(EXP(-Rho_a*LN(O65/Floor_F)/Delta_c)*(-Cost_k*Delta_c*Floor_F/Rho_a)))</f>
        <v>-335.745877992226</v>
      </c>
      <c r="T65" s="22" t="n">
        <f aca="false">ABS(R65-S65)</f>
        <v>0</v>
      </c>
      <c r="V65" s="17" t="n">
        <f aca="false">30+45*$W$5</f>
        <v>35.625</v>
      </c>
      <c r="W65" s="17" t="n">
        <f aca="false">Ubar_c-Delta_c*V65</f>
        <v>6.51933555595465</v>
      </c>
      <c r="X65" s="11" t="n">
        <f aca="false">(-(Cost_k*Ubar_c+Delay_D)+W65/$W$5*X66)/(Rho_a+W65/$W$5)</f>
        <v>-384.238865944743</v>
      </c>
      <c r="Y65" s="11" t="n">
        <f aca="false">MAX(X65,-Delay_D/Rho_a)</f>
        <v>-335.745877992226</v>
      </c>
      <c r="Z65" s="11" t="n">
        <f aca="false">IF(V65&lt;Floor_F,MAX((-(Cost_k*Ubar_c+Delay_D)*(1-EXP(-Rho_a*LN((Top_c-V65)/(Top_c-Floor_F))/Delta_c))/Rho_a+EXP(-Rho_a*LN((Top_c-V65)/(Top_c-Floor_F))/Delta_c)*(-Cost_k*Delta_c*Floor_F/Rho_a)),(-Delay_D/Rho_a)),(EXP(-Rho_a*LN(V65/Floor_F)/Delta_c)*(-Cost_k*Delta_c*Floor_F/Rho_a)))</f>
        <v>-335.745877992226</v>
      </c>
      <c r="AA65" s="22" t="n">
        <f aca="false">ABS(Y65-Z65)</f>
        <v>0</v>
      </c>
      <c r="AC65" s="17" t="n">
        <f aca="false">30+45*$AD$5</f>
        <v>32.8125</v>
      </c>
      <c r="AD65" s="17" t="n">
        <f aca="false">Ubar_c-Delta_c*AC65</f>
        <v>6.80416089577791</v>
      </c>
      <c r="AE65" s="11" t="n">
        <f aca="false">(-(Cost_k*Ubar_c+Delay_D)+AD65/$AD$5*AE66)/(Rho_a+AD65/$AD$5)</f>
        <v>-399.215344719213</v>
      </c>
      <c r="AF65" s="11" t="n">
        <f aca="false">MAX(AE65,-Delay_D/Rho_a)</f>
        <v>-335.745877992226</v>
      </c>
      <c r="AG65" s="11" t="n">
        <f aca="false">IF(AC65&lt;Floor_F,MAX((-(Cost_k*Ubar_c+Delay_D)*(1-EXP(-Rho_a*LN((Top_c-AC65)/(Top_c-Floor_F))/Delta_c))/Rho_a+EXP(-Rho_a*LN((Top_c-AC65)/(Top_c-Floor_F))/Delta_c)*(-Cost_k*Delta_c*Floor_F/Rho_a)),(-Delay_D/Rho_a)),(EXP(-Rho_a*LN(AC65/Floor_F)/Delta_c)*(-Cost_k*Delta_c*Floor_F/Rho_a)))</f>
        <v>-335.745877992226</v>
      </c>
      <c r="AH65" s="22" t="n">
        <f aca="false">ABS(AF65-AG65)</f>
        <v>0</v>
      </c>
    </row>
    <row r="66" customFormat="false" ht="15" hidden="false" customHeight="false" outlineLevel="0" collapsed="false">
      <c r="A66" s="17" t="n">
        <f aca="false">30+46*$B$5</f>
        <v>76</v>
      </c>
      <c r="B66" s="17" t="n">
        <f aca="false">-Delta_c*A66</f>
        <v>-7.69661362722413</v>
      </c>
      <c r="D66" s="11" t="n">
        <f aca="false">(-B66/$B$5*D65)/(Rho_a-B66/$B$5)</f>
        <v>-173.200553506115</v>
      </c>
      <c r="E66" s="11" t="n">
        <f aca="false">IF(A66&lt;Floor_F,MAX((-(Cost_k*Ubar_c+Delay_D)*(1-EXP(-Rho_a*LN((Top_c-A66)/(Top_c-Floor_F))/Delta_c))/Rho_a+EXP(-Rho_a*LN((Top_c-A66)/(Top_c-Floor_F))/Delta_c)*(-Cost_k*Delta_c*Floor_F/Rho_a)),(-Delay_D/Rho_a)),(EXP(-Rho_a*LN(A66/Floor_F)/Delta_c)*(-Cost_k*Delta_c*Floor_F/Rho_a)))</f>
        <v>-172.419284211894</v>
      </c>
      <c r="F66" s="22" t="n">
        <f aca="false">ABS(D66-E66)</f>
        <v>0.781269294220465</v>
      </c>
      <c r="H66" s="17" t="n">
        <f aca="false">30+46*$I$5</f>
        <v>53</v>
      </c>
      <c r="I66" s="17" t="n">
        <f aca="false">Ubar_c-Delta_c*H66</f>
        <v>4.7597479010465</v>
      </c>
      <c r="J66" s="11" t="n">
        <f aca="false">(-(Cost_k*Ubar_c+Delay_D)+I66/$I$5*J67)/(Rho_a+I66/$I$5)</f>
        <v>-254.675853443812</v>
      </c>
      <c r="K66" s="11" t="n">
        <f aca="false">MAX(J66,-Delay_D/Rho_a)</f>
        <v>-254.675853443812</v>
      </c>
      <c r="L66" s="11" t="n">
        <f aca="false">IF(H66&lt;Floor_F,MAX((-(Cost_k*Ubar_c+Delay_D)*(1-EXP(-Rho_a*LN((Top_c-H66)/(Top_c-Floor_F))/Delta_c))/Rho_a+EXP(-Rho_a*LN((Top_c-H66)/(Top_c-Floor_F))/Delta_c)*(-Cost_k*Delta_c*Floor_F/Rho_a)),(-Delay_D/Rho_a)),(EXP(-Rho_a*LN(H66/Floor_F)/Delta_c)*(-Cost_k*Delta_c*Floor_F/Rho_a)))</f>
        <v>-254.892119102206</v>
      </c>
      <c r="M66" s="22" t="n">
        <f aca="false">ABS(K66-L66)</f>
        <v>0.216265658394207</v>
      </c>
      <c r="O66" s="17" t="n">
        <f aca="false">30+46*$P$5</f>
        <v>41.5</v>
      </c>
      <c r="P66" s="17" t="n">
        <f aca="false">Ubar_c-Delta_c*O66</f>
        <v>5.92436706832384</v>
      </c>
      <c r="Q66" s="11" t="n">
        <f aca="false">(-(Cost_k*Ubar_c+Delay_D)+P66/$P$5*Q67)/(Rho_a+P66/$P$5)</f>
        <v>-348.58659046885</v>
      </c>
      <c r="R66" s="11" t="n">
        <f aca="false">MAX(Q66,-Delay_D/Rho_a)</f>
        <v>-335.745877992226</v>
      </c>
      <c r="S66" s="11" t="n">
        <f aca="false">IF(O66&lt;Floor_F,MAX((-(Cost_k*Ubar_c+Delay_D)*(1-EXP(-Rho_a*LN((Top_c-O66)/(Top_c-Floor_F))/Delta_c))/Rho_a+EXP(-Rho_a*LN((Top_c-O66)/(Top_c-Floor_F))/Delta_c)*(-Cost_k*Delta_c*Floor_F/Rho_a)),(-Delay_D/Rho_a)),(EXP(-Rho_a*LN(O66/Floor_F)/Delta_c)*(-Cost_k*Delta_c*Floor_F/Rho_a)))</f>
        <v>-335.745877992226</v>
      </c>
      <c r="T66" s="22" t="n">
        <f aca="false">ABS(R66-S66)</f>
        <v>0</v>
      </c>
      <c r="V66" s="17" t="n">
        <f aca="false">30+46*$W$5</f>
        <v>35.75</v>
      </c>
      <c r="W66" s="17" t="n">
        <f aca="false">Ubar_c-Delta_c*V66</f>
        <v>6.5066766519625</v>
      </c>
      <c r="X66" s="11" t="n">
        <f aca="false">(-(Cost_k*Ubar_c+Delay_D)+W66/$W$5*X67)/(Rho_a+W66/$W$5)</f>
        <v>-383.55078552102</v>
      </c>
      <c r="Y66" s="11" t="n">
        <f aca="false">MAX(X66,-Delay_D/Rho_a)</f>
        <v>-335.745877992226</v>
      </c>
      <c r="Z66" s="11" t="n">
        <f aca="false">IF(V66&lt;Floor_F,MAX((-(Cost_k*Ubar_c+Delay_D)*(1-EXP(-Rho_a*LN((Top_c-V66)/(Top_c-Floor_F))/Delta_c))/Rho_a+EXP(-Rho_a*LN((Top_c-V66)/(Top_c-Floor_F))/Delta_c)*(-Cost_k*Delta_c*Floor_F/Rho_a)),(-Delay_D/Rho_a)),(EXP(-Rho_a*LN(V66/Floor_F)/Delta_c)*(-Cost_k*Delta_c*Floor_F/Rho_a)))</f>
        <v>-335.745877992226</v>
      </c>
      <c r="AA66" s="22" t="n">
        <f aca="false">ABS(Y66-Z66)</f>
        <v>0</v>
      </c>
      <c r="AC66" s="17" t="n">
        <f aca="false">30+46*$AD$5</f>
        <v>32.875</v>
      </c>
      <c r="AD66" s="17" t="n">
        <f aca="false">Ubar_c-Delta_c*AC66</f>
        <v>6.79783144378184</v>
      </c>
      <c r="AE66" s="11" t="n">
        <f aca="false">(-(Cost_k*Ubar_c+Delay_D)+AD66/$AD$5*AE67)/(Rho_a+AD66/$AD$5)</f>
        <v>-398.898817753059</v>
      </c>
      <c r="AF66" s="11" t="n">
        <f aca="false">MAX(AE66,-Delay_D/Rho_a)</f>
        <v>-335.745877992226</v>
      </c>
      <c r="AG66" s="11" t="n">
        <f aca="false">IF(AC66&lt;Floor_F,MAX((-(Cost_k*Ubar_c+Delay_D)*(1-EXP(-Rho_a*LN((Top_c-AC66)/(Top_c-Floor_F))/Delta_c))/Rho_a+EXP(-Rho_a*LN((Top_c-AC66)/(Top_c-Floor_F))/Delta_c)*(-Cost_k*Delta_c*Floor_F/Rho_a)),(-Delay_D/Rho_a)),(EXP(-Rho_a*LN(AC66/Floor_F)/Delta_c)*(-Cost_k*Delta_c*Floor_F/Rho_a)))</f>
        <v>-335.745877992226</v>
      </c>
      <c r="AH66" s="22" t="n">
        <f aca="false">ABS(AF66-AG66)</f>
        <v>0</v>
      </c>
    </row>
    <row r="67" customFormat="false" ht="15" hidden="false" customHeight="false" outlineLevel="0" collapsed="false">
      <c r="A67" s="17" t="n">
        <f aca="false">30+47*$B$5</f>
        <v>77</v>
      </c>
      <c r="B67" s="17" t="n">
        <f aca="false">-Delta_c*A67</f>
        <v>-7.79788485916129</v>
      </c>
      <c r="D67" s="11" t="n">
        <f aca="false">(-B67/$B$5*D66)/(Rho_a-B67/$B$5)</f>
        <v>-171.109160120371</v>
      </c>
      <c r="E67" s="11" t="n">
        <f aca="false">IF(A67&lt;Floor_F,MAX((-(Cost_k*Ubar_c+Delay_D)*(1-EXP(-Rho_a*LN((Top_c-A67)/(Top_c-Floor_F))/Delta_c))/Rho_a+EXP(-Rho_a*LN((Top_c-A67)/(Top_c-Floor_F))/Delta_c)*(-Cost_k*Delta_c*Floor_F/Rho_a)),(-Delay_D/Rho_a)),(EXP(-Rho_a*LN(A67/Floor_F)/Delta_c)*(-Cost_k*Delta_c*Floor_F/Rho_a)))</f>
        <v>-170.311068530002</v>
      </c>
      <c r="F67" s="22" t="n">
        <f aca="false">ABS(D67-E67)</f>
        <v>0.798091590369154</v>
      </c>
      <c r="H67" s="17" t="n">
        <f aca="false">30+47*$I$5</f>
        <v>53.5</v>
      </c>
      <c r="I67" s="17" t="n">
        <f aca="false">Ubar_c-Delta_c*H67</f>
        <v>4.70911228507792</v>
      </c>
      <c r="J67" s="11" t="n">
        <f aca="false">(-(Cost_k*Ubar_c+Delay_D)+I67/$I$5*J68)/(Rho_a+I67/$I$5)</f>
        <v>-249.608852796497</v>
      </c>
      <c r="K67" s="11" t="n">
        <f aca="false">MAX(J67,-Delay_D/Rho_a)</f>
        <v>-249.608852796497</v>
      </c>
      <c r="L67" s="11" t="n">
        <f aca="false">IF(H67&lt;Floor_F,MAX((-(Cost_k*Ubar_c+Delay_D)*(1-EXP(-Rho_a*LN((Top_c-H67)/(Top_c-Floor_F))/Delta_c))/Rho_a+EXP(-Rho_a*LN((Top_c-H67)/(Top_c-Floor_F))/Delta_c)*(-Cost_k*Delta_c*Floor_F/Rho_a)),(-Delay_D/Rho_a)),(EXP(-Rho_a*LN(H67/Floor_F)/Delta_c)*(-Cost_k*Delta_c*Floor_F/Rho_a)))</f>
        <v>-249.774437090273</v>
      </c>
      <c r="M67" s="22" t="n">
        <f aca="false">ABS(K67-L67)</f>
        <v>0.165584293776163</v>
      </c>
      <c r="O67" s="17" t="n">
        <f aca="false">30+47*$P$5</f>
        <v>41.75</v>
      </c>
      <c r="P67" s="17" t="n">
        <f aca="false">Ubar_c-Delta_c*O67</f>
        <v>5.89904926033955</v>
      </c>
      <c r="Q67" s="11" t="n">
        <f aca="false">(-(Cost_k*Ubar_c+Delay_D)+P67/$P$5*Q68)/(Rho_a+P67/$P$5)</f>
        <v>-346.9288335428</v>
      </c>
      <c r="R67" s="11" t="n">
        <f aca="false">MAX(Q67,-Delay_D/Rho_a)</f>
        <v>-335.745877992226</v>
      </c>
      <c r="S67" s="11" t="n">
        <f aca="false">IF(O67&lt;Floor_F,MAX((-(Cost_k*Ubar_c+Delay_D)*(1-EXP(-Rho_a*LN((Top_c-O67)/(Top_c-Floor_F))/Delta_c))/Rho_a+EXP(-Rho_a*LN((Top_c-O67)/(Top_c-Floor_F))/Delta_c)*(-Cost_k*Delta_c*Floor_F/Rho_a)),(-Delay_D/Rho_a)),(EXP(-Rho_a*LN(O67/Floor_F)/Delta_c)*(-Cost_k*Delta_c*Floor_F/Rho_a)))</f>
        <v>-335.745877992226</v>
      </c>
      <c r="T67" s="22" t="n">
        <f aca="false">ABS(R67-S67)</f>
        <v>0</v>
      </c>
      <c r="V67" s="17" t="n">
        <f aca="false">30+47*$W$5</f>
        <v>35.875</v>
      </c>
      <c r="W67" s="17" t="n">
        <f aca="false">Ubar_c-Delta_c*V67</f>
        <v>6.49401774797036</v>
      </c>
      <c r="X67" s="11" t="n">
        <f aca="false">(-(Cost_k*Ubar_c+Delay_D)+W67/$W$5*X68)/(Rho_a+W67/$W$5)</f>
        <v>-382.860106539149</v>
      </c>
      <c r="Y67" s="11" t="n">
        <f aca="false">MAX(X67,-Delay_D/Rho_a)</f>
        <v>-335.745877992226</v>
      </c>
      <c r="Z67" s="11" t="n">
        <f aca="false">IF(V67&lt;Floor_F,MAX((-(Cost_k*Ubar_c+Delay_D)*(1-EXP(-Rho_a*LN((Top_c-V67)/(Top_c-Floor_F))/Delta_c))/Rho_a+EXP(-Rho_a*LN((Top_c-V67)/(Top_c-Floor_F))/Delta_c)*(-Cost_k*Delta_c*Floor_F/Rho_a)),(-Delay_D/Rho_a)),(EXP(-Rho_a*LN(V67/Floor_F)/Delta_c)*(-Cost_k*Delta_c*Floor_F/Rho_a)))</f>
        <v>-335.745877992226</v>
      </c>
      <c r="AA67" s="22" t="n">
        <f aca="false">ABS(Y67-Z67)</f>
        <v>0</v>
      </c>
      <c r="AC67" s="17" t="n">
        <f aca="false">30+47*$AD$5</f>
        <v>32.9375</v>
      </c>
      <c r="AD67" s="17" t="n">
        <f aca="false">Ubar_c-Delta_c*AC67</f>
        <v>6.79150199178577</v>
      </c>
      <c r="AE67" s="11" t="n">
        <f aca="false">(-(Cost_k*Ubar_c+Delay_D)+AD67/$AD$5*AE68)/(Rho_a+AD67/$AD$5)</f>
        <v>-398.581718698968</v>
      </c>
      <c r="AF67" s="11" t="n">
        <f aca="false">MAX(AE67,-Delay_D/Rho_a)</f>
        <v>-335.745877992226</v>
      </c>
      <c r="AG67" s="11" t="n">
        <f aca="false">IF(AC67&lt;Floor_F,MAX((-(Cost_k*Ubar_c+Delay_D)*(1-EXP(-Rho_a*LN((Top_c-AC67)/(Top_c-Floor_F))/Delta_c))/Rho_a+EXP(-Rho_a*LN((Top_c-AC67)/(Top_c-Floor_F))/Delta_c)*(-Cost_k*Delta_c*Floor_F/Rho_a)),(-Delay_D/Rho_a)),(EXP(-Rho_a*LN(AC67/Floor_F)/Delta_c)*(-Cost_k*Delta_c*Floor_F/Rho_a)))</f>
        <v>-335.745877992226</v>
      </c>
      <c r="AH67" s="22" t="n">
        <f aca="false">ABS(AF67-AG67)</f>
        <v>0</v>
      </c>
    </row>
    <row r="68" customFormat="false" ht="15" hidden="false" customHeight="false" outlineLevel="0" collapsed="false">
      <c r="A68" s="17" t="n">
        <f aca="false">30+48*$B$5</f>
        <v>78</v>
      </c>
      <c r="B68" s="17" t="n">
        <f aca="false">-Delta_c*A68</f>
        <v>-7.89915609109845</v>
      </c>
      <c r="D68" s="11" t="n">
        <f aca="false">(-B68/$B$5*D67)/(Rho_a-B68/$B$5)</f>
        <v>-169.069193440344</v>
      </c>
      <c r="E68" s="11" t="n">
        <f aca="false">IF(A68&lt;Floor_F,MAX((-(Cost_k*Ubar_c+Delay_D)*(1-EXP(-Rho_a*LN((Top_c-A68)/(Top_c-Floor_F))/Delta_c))/Rho_a+EXP(-Rho_a*LN((Top_c-A68)/(Top_c-Floor_F))/Delta_c)*(-Cost_k*Delta_c*Floor_F/Rho_a)),(-Delay_D/Rho_a)),(EXP(-Rho_a*LN(A68/Floor_F)/Delta_c)*(-Cost_k*Delta_c*Floor_F/Rho_a)))</f>
        <v>-168.255338637911</v>
      </c>
      <c r="F68" s="22" t="n">
        <f aca="false">ABS(D68-E68)</f>
        <v>0.813854802433411</v>
      </c>
      <c r="H68" s="17" t="n">
        <f aca="false">30+48*$I$5</f>
        <v>54</v>
      </c>
      <c r="I68" s="17" t="n">
        <f aca="false">Ubar_c-Delta_c*H68</f>
        <v>4.65847666910934</v>
      </c>
      <c r="J68" s="11" t="n">
        <f aca="false">(-(Cost_k*Ubar_c+Delay_D)+I68/$I$5*J69)/(Rho_a+I68/$I$5)</f>
        <v>-244.436091436734</v>
      </c>
      <c r="K68" s="11" t="n">
        <f aca="false">MAX(J68,-Delay_D/Rho_a)</f>
        <v>-244.436091436734</v>
      </c>
      <c r="L68" s="11" t="n">
        <f aca="false">IF(H68&lt;Floor_F,MAX((-(Cost_k*Ubar_c+Delay_D)*(1-EXP(-Rho_a*LN((Top_c-H68)/(Top_c-Floor_F))/Delta_c))/Rho_a+EXP(-Rho_a*LN((Top_c-H68)/(Top_c-Floor_F))/Delta_c)*(-Cost_k*Delta_c*Floor_F/Rho_a)),(-Delay_D/Rho_a)),(EXP(-Rho_a*LN(H68/Floor_F)/Delta_c)*(-Cost_k*Delta_c*Floor_F/Rho_a)))</f>
        <v>-244.548809800479</v>
      </c>
      <c r="M68" s="22" t="n">
        <f aca="false">ABS(K68-L68)</f>
        <v>0.112718363745842</v>
      </c>
      <c r="O68" s="17" t="n">
        <f aca="false">30+48*$P$5</f>
        <v>42</v>
      </c>
      <c r="P68" s="17" t="n">
        <f aca="false">Ubar_c-Delta_c*O68</f>
        <v>5.87373145235526</v>
      </c>
      <c r="Q68" s="11" t="n">
        <f aca="false">(-(Cost_k*Ubar_c+Delay_D)+P68/$P$5*Q69)/(Rho_a+P68/$P$5)</f>
        <v>-345.257265738825</v>
      </c>
      <c r="R68" s="11" t="n">
        <f aca="false">MAX(Q68,-Delay_D/Rho_a)</f>
        <v>-335.745877992226</v>
      </c>
      <c r="S68" s="11" t="n">
        <f aca="false">IF(O68&lt;Floor_F,MAX((-(Cost_k*Ubar_c+Delay_D)*(1-EXP(-Rho_a*LN((Top_c-O68)/(Top_c-Floor_F))/Delta_c))/Rho_a+EXP(-Rho_a*LN((Top_c-O68)/(Top_c-Floor_F))/Delta_c)*(-Cost_k*Delta_c*Floor_F/Rho_a)),(-Delay_D/Rho_a)),(EXP(-Rho_a*LN(O68/Floor_F)/Delta_c)*(-Cost_k*Delta_c*Floor_F/Rho_a)))</f>
        <v>-335.745877992226</v>
      </c>
      <c r="T68" s="22" t="n">
        <f aca="false">ABS(R68-S68)</f>
        <v>0</v>
      </c>
      <c r="V68" s="17" t="n">
        <f aca="false">30+48*$W$5</f>
        <v>36</v>
      </c>
      <c r="W68" s="17" t="n">
        <f aca="false">Ubar_c-Delta_c*V68</f>
        <v>6.48135884397822</v>
      </c>
      <c r="X68" s="11" t="n">
        <f aca="false">(-(Cost_k*Ubar_c+Delay_D)+W68/$W$5*X69)/(Rho_a+W68/$W$5)</f>
        <v>-382.166814101043</v>
      </c>
      <c r="Y68" s="11" t="n">
        <f aca="false">MAX(X68,-Delay_D/Rho_a)</f>
        <v>-335.745877992226</v>
      </c>
      <c r="Z68" s="11" t="n">
        <f aca="false">IF(V68&lt;Floor_F,MAX((-(Cost_k*Ubar_c+Delay_D)*(1-EXP(-Rho_a*LN((Top_c-V68)/(Top_c-Floor_F))/Delta_c))/Rho_a+EXP(-Rho_a*LN((Top_c-V68)/(Top_c-Floor_F))/Delta_c)*(-Cost_k*Delta_c*Floor_F/Rho_a)),(-Delay_D/Rho_a)),(EXP(-Rho_a*LN(V68/Floor_F)/Delta_c)*(-Cost_k*Delta_c*Floor_F/Rho_a)))</f>
        <v>-335.745877992226</v>
      </c>
      <c r="AA68" s="22" t="n">
        <f aca="false">ABS(Y68-Z68)</f>
        <v>0</v>
      </c>
      <c r="AC68" s="17" t="n">
        <f aca="false">30+48*$AD$5</f>
        <v>33</v>
      </c>
      <c r="AD68" s="17" t="n">
        <f aca="false">Ubar_c-Delta_c*AC68</f>
        <v>6.78517253978969</v>
      </c>
      <c r="AE68" s="11" t="n">
        <f aca="false">(-(Cost_k*Ubar_c+Delay_D)+AD68/$AD$5*AE69)/(Rho_a+AD68/$AD$5)</f>
        <v>-398.264045988823</v>
      </c>
      <c r="AF68" s="11" t="n">
        <f aca="false">MAX(AE68,-Delay_D/Rho_a)</f>
        <v>-335.745877992226</v>
      </c>
      <c r="AG68" s="11" t="n">
        <f aca="false">IF(AC68&lt;Floor_F,MAX((-(Cost_k*Ubar_c+Delay_D)*(1-EXP(-Rho_a*LN((Top_c-AC68)/(Top_c-Floor_F))/Delta_c))/Rho_a+EXP(-Rho_a*LN((Top_c-AC68)/(Top_c-Floor_F))/Delta_c)*(-Cost_k*Delta_c*Floor_F/Rho_a)),(-Delay_D/Rho_a)),(EXP(-Rho_a*LN(AC68/Floor_F)/Delta_c)*(-Cost_k*Delta_c*Floor_F/Rho_a)))</f>
        <v>-335.745877992226</v>
      </c>
      <c r="AH68" s="22" t="n">
        <f aca="false">ABS(AF68-AG68)</f>
        <v>0</v>
      </c>
    </row>
    <row r="69" customFormat="false" ht="15" hidden="false" customHeight="false" outlineLevel="0" collapsed="false">
      <c r="A69" s="17" t="n">
        <f aca="false">30+49*$B$5</f>
        <v>79</v>
      </c>
      <c r="B69" s="17" t="n">
        <f aca="false">-Delta_c*A69</f>
        <v>-8.00042732303561</v>
      </c>
      <c r="D69" s="11" t="n">
        <f aca="false">(-B69/$B$5*D68)/(Rho_a-B69/$B$5)</f>
        <v>-167.07876141108</v>
      </c>
      <c r="E69" s="11" t="n">
        <f aca="false">IF(A69&lt;Floor_F,MAX((-(Cost_k*Ubar_c+Delay_D)*(1-EXP(-Rho_a*LN((Top_c-A69)/(Top_c-Floor_F))/Delta_c))/Rho_a+EXP(-Rho_a*LN((Top_c-A69)/(Top_c-Floor_F))/Delta_c)*(-Cost_k*Delta_c*Floor_F/Rho_a)),(-Delay_D/Rho_a)),(EXP(-Rho_a*LN(A69/Floor_F)/Delta_c)*(-Cost_k*Delta_c*Floor_F/Rho_a)))</f>
        <v>-166.25013977668</v>
      </c>
      <c r="F69" s="22" t="n">
        <f aca="false">ABS(D69-E69)</f>
        <v>0.828621634399781</v>
      </c>
      <c r="H69" s="17" t="n">
        <f aca="false">30+49*$I$5</f>
        <v>54.5</v>
      </c>
      <c r="I69" s="17" t="n">
        <f aca="false">Ubar_c-Delta_c*H69</f>
        <v>4.60784105314076</v>
      </c>
      <c r="J69" s="11" t="n">
        <f aca="false">(-(Cost_k*Ubar_c+Delay_D)+I69/$I$5*J70)/(Rho_a+I69/$I$5)</f>
        <v>-239.154188312083</v>
      </c>
      <c r="K69" s="11" t="n">
        <f aca="false">MAX(J69,-Delay_D/Rho_a)</f>
        <v>-239.154188312083</v>
      </c>
      <c r="L69" s="11" t="n">
        <f aca="false">IF(H69&lt;Floor_F,MAX((-(Cost_k*Ubar_c+Delay_D)*(1-EXP(-Rho_a*LN((Top_c-H69)/(Top_c-Floor_F))/Delta_c))/Rho_a+EXP(-Rho_a*LN((Top_c-H69)/(Top_c-Floor_F))/Delta_c)*(-Cost_k*Delta_c*Floor_F/Rho_a)),(-Delay_D/Rho_a)),(EXP(-Rho_a*LN(H69/Floor_F)/Delta_c)*(-Cost_k*Delta_c*Floor_F/Rho_a)))</f>
        <v>-239.211749540359</v>
      </c>
      <c r="M69" s="22" t="n">
        <f aca="false">ABS(K69-L69)</f>
        <v>0.0575612282759721</v>
      </c>
      <c r="O69" s="17" t="n">
        <f aca="false">30+49*$P$5</f>
        <v>42.25</v>
      </c>
      <c r="P69" s="17" t="n">
        <f aca="false">Ubar_c-Delta_c*O69</f>
        <v>5.84841364437097</v>
      </c>
      <c r="Q69" s="11" t="n">
        <f aca="false">(-(Cost_k*Ubar_c+Delay_D)+P69/$P$5*Q70)/(Rho_a+P69/$P$5)</f>
        <v>-343.571711972034</v>
      </c>
      <c r="R69" s="11" t="n">
        <f aca="false">MAX(Q69,-Delay_D/Rho_a)</f>
        <v>-335.745877992226</v>
      </c>
      <c r="S69" s="11" t="n">
        <f aca="false">IF(O69&lt;Floor_F,MAX((-(Cost_k*Ubar_c+Delay_D)*(1-EXP(-Rho_a*LN((Top_c-O69)/(Top_c-Floor_F))/Delta_c))/Rho_a+EXP(-Rho_a*LN((Top_c-O69)/(Top_c-Floor_F))/Delta_c)*(-Cost_k*Delta_c*Floor_F/Rho_a)),(-Delay_D/Rho_a)),(EXP(-Rho_a*LN(O69/Floor_F)/Delta_c)*(-Cost_k*Delta_c*Floor_F/Rho_a)))</f>
        <v>-335.745877992226</v>
      </c>
      <c r="T69" s="22" t="n">
        <f aca="false">ABS(R69-S69)</f>
        <v>0</v>
      </c>
      <c r="V69" s="17" t="n">
        <f aca="false">30+49*$W$5</f>
        <v>36.125</v>
      </c>
      <c r="W69" s="17" t="n">
        <f aca="false">Ubar_c-Delta_c*V69</f>
        <v>6.46869993998607</v>
      </c>
      <c r="X69" s="11" t="n">
        <f aca="false">(-(Cost_k*Ubar_c+Delay_D)+W69/$W$5*X70)/(Rho_a+W69/$W$5)</f>
        <v>-381.470893193941</v>
      </c>
      <c r="Y69" s="11" t="n">
        <f aca="false">MAX(X69,-Delay_D/Rho_a)</f>
        <v>-335.745877992226</v>
      </c>
      <c r="Z69" s="11" t="n">
        <f aca="false">IF(V69&lt;Floor_F,MAX((-(Cost_k*Ubar_c+Delay_D)*(1-EXP(-Rho_a*LN((Top_c-V69)/(Top_c-Floor_F))/Delta_c))/Rho_a+EXP(-Rho_a*LN((Top_c-V69)/(Top_c-Floor_F))/Delta_c)*(-Cost_k*Delta_c*Floor_F/Rho_a)),(-Delay_D/Rho_a)),(EXP(-Rho_a*LN(V69/Floor_F)/Delta_c)*(-Cost_k*Delta_c*Floor_F/Rho_a)))</f>
        <v>-335.745877992226</v>
      </c>
      <c r="AA69" s="22" t="n">
        <f aca="false">ABS(Y69-Z69)</f>
        <v>0</v>
      </c>
      <c r="AC69" s="17" t="n">
        <f aca="false">30+49*$AD$5</f>
        <v>33.0625</v>
      </c>
      <c r="AD69" s="17" t="n">
        <f aca="false">Ubar_c-Delta_c*AC69</f>
        <v>6.77884308779362</v>
      </c>
      <c r="AE69" s="11" t="n">
        <f aca="false">(-(Cost_k*Ubar_c+Delay_D)+AD69/$AD$5*AE70)/(Rho_a+AD69/$AD$5)</f>
        <v>-397.945798048743</v>
      </c>
      <c r="AF69" s="11" t="n">
        <f aca="false">MAX(AE69,-Delay_D/Rho_a)</f>
        <v>-335.745877992226</v>
      </c>
      <c r="AG69" s="11" t="n">
        <f aca="false">IF(AC69&lt;Floor_F,MAX((-(Cost_k*Ubar_c+Delay_D)*(1-EXP(-Rho_a*LN((Top_c-AC69)/(Top_c-Floor_F))/Delta_c))/Rho_a+EXP(-Rho_a*LN((Top_c-AC69)/(Top_c-Floor_F))/Delta_c)*(-Cost_k*Delta_c*Floor_F/Rho_a)),(-Delay_D/Rho_a)),(EXP(-Rho_a*LN(AC69/Floor_F)/Delta_c)*(-Cost_k*Delta_c*Floor_F/Rho_a)))</f>
        <v>-335.745877992226</v>
      </c>
      <c r="AH69" s="22" t="n">
        <f aca="false">ABS(AF69-AG69)</f>
        <v>0</v>
      </c>
    </row>
    <row r="70" customFormat="false" ht="15" hidden="false" customHeight="false" outlineLevel="0" collapsed="false">
      <c r="A70" s="17" t="n">
        <f aca="false">30+50*$B$5</f>
        <v>80</v>
      </c>
      <c r="B70" s="17" t="n">
        <f aca="false">-Delta_c*A70</f>
        <v>-8.10169855497277</v>
      </c>
      <c r="D70" s="11" t="n">
        <f aca="false">(-B70/$B$5*D69)/(Rho_a-B70/$B$5)</f>
        <v>-165.136064104437</v>
      </c>
      <c r="E70" s="11" t="n">
        <f aca="false">IF(A70&lt;Floor_F,MAX((-(Cost_k*Ubar_c+Delay_D)*(1-EXP(-Rho_a*LN((Top_c-A70)/(Top_c-Floor_F))/Delta_c))/Rho_a+EXP(-Rho_a*LN((Top_c-A70)/(Top_c-Floor_F))/Delta_c)*(-Cost_k*Delta_c*Floor_F/Rho_a)),(-Delay_D/Rho_a)),(EXP(-Rho_a*LN(A70/Floor_F)/Delta_c)*(-Cost_k*Delta_c*Floor_F/Rho_a)))</f>
        <v>-164.293613522861</v>
      </c>
      <c r="F70" s="22" t="n">
        <f aca="false">ABS(D70-E70)</f>
        <v>0.842450581576799</v>
      </c>
      <c r="H70" s="17" t="n">
        <f aca="false">30+50*$I$5</f>
        <v>55</v>
      </c>
      <c r="I70" s="17" t="n">
        <v>0</v>
      </c>
      <c r="J70" s="11" t="n">
        <f aca="false">-Cost_k*Delta_c*Floor_F/Rho_a</f>
        <v>-233.75961593941</v>
      </c>
      <c r="K70" s="11" t="n">
        <f aca="false">J70</f>
        <v>-233.75961593941</v>
      </c>
      <c r="L70" s="11" t="n">
        <f aca="false">IF(H70&lt;Floor_F,MAX((-(Cost_k*Ubar_c+Delay_D)*(1-EXP(-Rho_a*LN((Top_c-H70)/(Top_c-Floor_F))/Delta_c))/Rho_a+EXP(-Rho_a*LN((Top_c-H70)/(Top_c-Floor_F))/Delta_c)*(-Cost_k*Delta_c*Floor_F/Rho_a)),(-Delay_D/Rho_a)),(EXP(-Rho_a*LN(H70/Floor_F)/Delta_c)*(-Cost_k*Delta_c*Floor_F/Rho_a)))</f>
        <v>-233.75961593941</v>
      </c>
      <c r="M70" s="22" t="n">
        <f aca="false">ABS(K70-L70)</f>
        <v>0</v>
      </c>
      <c r="O70" s="17" t="n">
        <f aca="false">30+50*$P$5</f>
        <v>42.5</v>
      </c>
      <c r="P70" s="17" t="n">
        <f aca="false">Ubar_c-Delta_c*O70</f>
        <v>5.82309583638668</v>
      </c>
      <c r="Q70" s="11" t="n">
        <f aca="false">(-(Cost_k*Ubar_c+Delay_D)+P70/$P$5*Q71)/(Rho_a+P70/$P$5)</f>
        <v>-341.871994170378</v>
      </c>
      <c r="R70" s="11" t="n">
        <f aca="false">MAX(Q70,-Delay_D/Rho_a)</f>
        <v>-335.745877992226</v>
      </c>
      <c r="S70" s="11" t="n">
        <f aca="false">IF(O70&lt;Floor_F,MAX((-(Cost_k*Ubar_c+Delay_D)*(1-EXP(-Rho_a*LN((Top_c-O70)/(Top_c-Floor_F))/Delta_c))/Rho_a+EXP(-Rho_a*LN((Top_c-O70)/(Top_c-Floor_F))/Delta_c)*(-Cost_k*Delta_c*Floor_F/Rho_a)),(-Delay_D/Rho_a)),(EXP(-Rho_a*LN(O70/Floor_F)/Delta_c)*(-Cost_k*Delta_c*Floor_F/Rho_a)))</f>
        <v>-335.745877992226</v>
      </c>
      <c r="T70" s="22" t="n">
        <f aca="false">ABS(R70-S70)</f>
        <v>0</v>
      </c>
      <c r="V70" s="17" t="n">
        <f aca="false">30+50*$W$5</f>
        <v>36.25</v>
      </c>
      <c r="W70" s="17" t="n">
        <f aca="false">Ubar_c-Delta_c*V70</f>
        <v>6.45604103599393</v>
      </c>
      <c r="X70" s="11" t="n">
        <f aca="false">(-(Cost_k*Ubar_c+Delay_D)+W70/$W$5*X71)/(Rho_a+W70/$W$5)</f>
        <v>-380.772328689291</v>
      </c>
      <c r="Y70" s="11" t="n">
        <f aca="false">MAX(X70,-Delay_D/Rho_a)</f>
        <v>-335.745877992226</v>
      </c>
      <c r="Z70" s="11" t="n">
        <f aca="false">IF(V70&lt;Floor_F,MAX((-(Cost_k*Ubar_c+Delay_D)*(1-EXP(-Rho_a*LN((Top_c-V70)/(Top_c-Floor_F))/Delta_c))/Rho_a+EXP(-Rho_a*LN((Top_c-V70)/(Top_c-Floor_F))/Delta_c)*(-Cost_k*Delta_c*Floor_F/Rho_a)),(-Delay_D/Rho_a)),(EXP(-Rho_a*LN(V70/Floor_F)/Delta_c)*(-Cost_k*Delta_c*Floor_F/Rho_a)))</f>
        <v>-335.745877992226</v>
      </c>
      <c r="AA70" s="22" t="n">
        <f aca="false">ABS(Y70-Z70)</f>
        <v>0</v>
      </c>
      <c r="AC70" s="17" t="n">
        <f aca="false">30+50*$AD$5</f>
        <v>33.125</v>
      </c>
      <c r="AD70" s="17" t="n">
        <f aca="false">Ubar_c-Delta_c*AC70</f>
        <v>6.77251363579755</v>
      </c>
      <c r="AE70" s="11" t="n">
        <f aca="false">(-(Cost_k*Ubar_c+Delay_D)+AD70/$AD$5*AE71)/(Rho_a+AD70/$AD$5)</f>
        <v>-397.626973299053</v>
      </c>
      <c r="AF70" s="11" t="n">
        <f aca="false">MAX(AE70,-Delay_D/Rho_a)</f>
        <v>-335.745877992226</v>
      </c>
      <c r="AG70" s="11" t="n">
        <f aca="false">IF(AC70&lt;Floor_F,MAX((-(Cost_k*Ubar_c+Delay_D)*(1-EXP(-Rho_a*LN((Top_c-AC70)/(Top_c-Floor_F))/Delta_c))/Rho_a+EXP(-Rho_a*LN((Top_c-AC70)/(Top_c-Floor_F))/Delta_c)*(-Cost_k*Delta_c*Floor_F/Rho_a)),(-Delay_D/Rho_a)),(EXP(-Rho_a*LN(AC70/Floor_F)/Delta_c)*(-Cost_k*Delta_c*Floor_F/Rho_a)))</f>
        <v>-335.745877992226</v>
      </c>
      <c r="AH70" s="22" t="n">
        <f aca="false">ABS(AF70-AG70)</f>
        <v>0</v>
      </c>
    </row>
    <row r="71" customFormat="false" ht="15" hidden="false" customHeight="false" outlineLevel="0" collapsed="false">
      <c r="H71" s="17" t="n">
        <f aca="false">30+51*$I$5</f>
        <v>55.5</v>
      </c>
      <c r="I71" s="17" t="n">
        <f aca="false">-Delta_c*H71</f>
        <v>-5.62055337251236</v>
      </c>
      <c r="K71" s="11" t="n">
        <f aca="false">(-I71/$I$5*K70)/(Rho_a-I71/$I$5)</f>
        <v>-231.794297340605</v>
      </c>
      <c r="L71" s="11" t="n">
        <f aca="false">IF(H71&lt;Floor_F,MAX((-(Cost_k*Ubar_c+Delay_D)*(1-EXP(-Rho_a*LN((Top_c-H71)/(Top_c-Floor_F))/Delta_c))/Rho_a+EXP(-Rho_a*LN((Top_c-H71)/(Top_c-Floor_F))/Delta_c)*(-Cost_k*Delta_c*Floor_F/Rho_a)),(-Delay_D/Rho_a)),(EXP(-Rho_a*LN(H71/Floor_F)/Delta_c)*(-Cost_k*Delta_c*Floor_F/Rho_a)))</f>
        <v>-231.777106765518</v>
      </c>
      <c r="M71" s="22" t="n">
        <f aca="false">ABS(K71-L71)</f>
        <v>0.0171905750869712</v>
      </c>
      <c r="O71" s="17" t="n">
        <f aca="false">30+51*$P$5</f>
        <v>42.75</v>
      </c>
      <c r="P71" s="17" t="n">
        <f aca="false">Ubar_c-Delta_c*O71</f>
        <v>5.79777802840239</v>
      </c>
      <c r="Q71" s="11" t="n">
        <f aca="false">(-(Cost_k*Ubar_c+Delay_D)+P71/$P$5*Q72)/(Rho_a+P71/$P$5)</f>
        <v>-340.157931210477</v>
      </c>
      <c r="R71" s="11" t="n">
        <f aca="false">MAX(Q71,-Delay_D/Rho_a)</f>
        <v>-335.745877992226</v>
      </c>
      <c r="S71" s="11" t="n">
        <f aca="false">IF(O71&lt;Floor_F,MAX((-(Cost_k*Ubar_c+Delay_D)*(1-EXP(-Rho_a*LN((Top_c-O71)/(Top_c-Floor_F))/Delta_c))/Rho_a+EXP(-Rho_a*LN((Top_c-O71)/(Top_c-Floor_F))/Delta_c)*(-Cost_k*Delta_c*Floor_F/Rho_a)),(-Delay_D/Rho_a)),(EXP(-Rho_a*LN(O71/Floor_F)/Delta_c)*(-Cost_k*Delta_c*Floor_F/Rho_a)))</f>
        <v>-335.745877992226</v>
      </c>
      <c r="T71" s="22" t="n">
        <f aca="false">ABS(R71-S71)</f>
        <v>0</v>
      </c>
      <c r="V71" s="17" t="n">
        <f aca="false">30+51*$W$5</f>
        <v>36.375</v>
      </c>
      <c r="W71" s="17" t="n">
        <f aca="false">Ubar_c-Delta_c*V71</f>
        <v>6.44338213200178</v>
      </c>
      <c r="X71" s="11" t="n">
        <f aca="false">(-(Cost_k*Ubar_c+Delay_D)+W71/$W$5*X72)/(Rho_a+W71/$W$5)</f>
        <v>-380.071105341634</v>
      </c>
      <c r="Y71" s="11" t="n">
        <f aca="false">MAX(X71,-Delay_D/Rho_a)</f>
        <v>-335.745877992226</v>
      </c>
      <c r="Z71" s="11" t="n">
        <f aca="false">IF(V71&lt;Floor_F,MAX((-(Cost_k*Ubar_c+Delay_D)*(1-EXP(-Rho_a*LN((Top_c-V71)/(Top_c-Floor_F))/Delta_c))/Rho_a+EXP(-Rho_a*LN((Top_c-V71)/(Top_c-Floor_F))/Delta_c)*(-Cost_k*Delta_c*Floor_F/Rho_a)),(-Delay_D/Rho_a)),(EXP(-Rho_a*LN(V71/Floor_F)/Delta_c)*(-Cost_k*Delta_c*Floor_F/Rho_a)))</f>
        <v>-335.745877992226</v>
      </c>
      <c r="AA71" s="22" t="n">
        <f aca="false">ABS(Y71-Z71)</f>
        <v>0</v>
      </c>
      <c r="AC71" s="17" t="n">
        <f aca="false">30+51*$AD$5</f>
        <v>33.1875</v>
      </c>
      <c r="AD71" s="17" t="n">
        <f aca="false">Ubar_c-Delta_c*AC71</f>
        <v>6.76618418380148</v>
      </c>
      <c r="AE71" s="11" t="n">
        <f aca="false">(-(Cost_k*Ubar_c+Delay_D)+AD71/$AD$5*AE72)/(Rho_a+AD71/$AD$5)</f>
        <v>-397.307570154261</v>
      </c>
      <c r="AF71" s="11" t="n">
        <f aca="false">MAX(AE71,-Delay_D/Rho_a)</f>
        <v>-335.745877992226</v>
      </c>
      <c r="AG71" s="11" t="n">
        <f aca="false">IF(AC71&lt;Floor_F,MAX((-(Cost_k*Ubar_c+Delay_D)*(1-EXP(-Rho_a*LN((Top_c-AC71)/(Top_c-Floor_F))/Delta_c))/Rho_a+EXP(-Rho_a*LN((Top_c-AC71)/(Top_c-Floor_F))/Delta_c)*(-Cost_k*Delta_c*Floor_F/Rho_a)),(-Delay_D/Rho_a)),(EXP(-Rho_a*LN(AC71/Floor_F)/Delta_c)*(-Cost_k*Delta_c*Floor_F/Rho_a)))</f>
        <v>-335.745877992226</v>
      </c>
      <c r="AH71" s="22" t="n">
        <f aca="false">ABS(AF71-AG71)</f>
        <v>0</v>
      </c>
    </row>
    <row r="72" customFormat="false" ht="15" hidden="false" customHeight="false" outlineLevel="0" collapsed="false">
      <c r="H72" s="17" t="n">
        <f aca="false">30+52*$I$5</f>
        <v>56</v>
      </c>
      <c r="I72" s="17" t="n">
        <f aca="false">-Delta_c*H72</f>
        <v>-5.67118898848094</v>
      </c>
      <c r="K72" s="11" t="n">
        <f aca="false">(-I72/$I$5*K71)/(Rho_a-I72/$I$5)</f>
        <v>-229.862756993084</v>
      </c>
      <c r="L72" s="11" t="n">
        <f aca="false">IF(H72&lt;Floor_F,MAX((-(Cost_k*Ubar_c+Delay_D)*(1-EXP(-Rho_a*LN((Top_c-H72)/(Top_c-Floor_F))/Delta_c))/Rho_a+EXP(-Rho_a*LN((Top_c-H72)/(Top_c-Floor_F))/Delta_c)*(-Cost_k*Delta_c*Floor_F/Rho_a)),(-Delay_D/Rho_a)),(EXP(-Rho_a*LN(H72/Floor_F)/Delta_c)*(-Cost_k*Delta_c*Floor_F/Rho_a)))</f>
        <v>-229.828966693359</v>
      </c>
      <c r="M72" s="22" t="n">
        <f aca="false">ABS(K72-L72)</f>
        <v>0.03379029972524</v>
      </c>
      <c r="O72" s="17" t="n">
        <f aca="false">30+52*$P$5</f>
        <v>43</v>
      </c>
      <c r="P72" s="17" t="n">
        <f aca="false">Ubar_c-Delta_c*O72</f>
        <v>5.7724602204181</v>
      </c>
      <c r="Q72" s="11" t="n">
        <f aca="false">(-(Cost_k*Ubar_c+Delay_D)+P72/$P$5*Q73)/(Rho_a+P72/$P$5)</f>
        <v>-338.429338851777</v>
      </c>
      <c r="R72" s="11" t="n">
        <f aca="false">MAX(Q72,-Delay_D/Rho_a)</f>
        <v>-335.745877992226</v>
      </c>
      <c r="S72" s="11" t="n">
        <f aca="false">IF(O72&lt;Floor_F,MAX((-(Cost_k*Ubar_c+Delay_D)*(1-EXP(-Rho_a*LN((Top_c-O72)/(Top_c-Floor_F))/Delta_c))/Rho_a+EXP(-Rho_a*LN((Top_c-O72)/(Top_c-Floor_F))/Delta_c)*(-Cost_k*Delta_c*Floor_F/Rho_a)),(-Delay_D/Rho_a)),(EXP(-Rho_a*LN(O72/Floor_F)/Delta_c)*(-Cost_k*Delta_c*Floor_F/Rho_a)))</f>
        <v>-335.745877992226</v>
      </c>
      <c r="T72" s="22" t="n">
        <f aca="false">ABS(R72-S72)</f>
        <v>0</v>
      </c>
      <c r="V72" s="17" t="n">
        <f aca="false">30+52*$W$5</f>
        <v>36.5</v>
      </c>
      <c r="W72" s="17" t="n">
        <f aca="false">Ubar_c-Delta_c*V72</f>
        <v>6.43072322800964</v>
      </c>
      <c r="X72" s="11" t="n">
        <f aca="false">(-(Cost_k*Ubar_c+Delay_D)+W72/$W$5*X73)/(Rho_a+W72/$W$5)</f>
        <v>-379.367207787465</v>
      </c>
      <c r="Y72" s="11" t="n">
        <f aca="false">MAX(X72,-Delay_D/Rho_a)</f>
        <v>-335.745877992226</v>
      </c>
      <c r="Z72" s="11" t="n">
        <f aca="false">IF(V72&lt;Floor_F,MAX((-(Cost_k*Ubar_c+Delay_D)*(1-EXP(-Rho_a*LN((Top_c-V72)/(Top_c-Floor_F))/Delta_c))/Rho_a+EXP(-Rho_a*LN((Top_c-V72)/(Top_c-Floor_F))/Delta_c)*(-Cost_k*Delta_c*Floor_F/Rho_a)),(-Delay_D/Rho_a)),(EXP(-Rho_a*LN(V72/Floor_F)/Delta_c)*(-Cost_k*Delta_c*Floor_F/Rho_a)))</f>
        <v>-335.745877992226</v>
      </c>
      <c r="AA72" s="22" t="n">
        <f aca="false">ABS(Y72-Z72)</f>
        <v>0</v>
      </c>
      <c r="AC72" s="17" t="n">
        <f aca="false">30+52*$AD$5</f>
        <v>33.25</v>
      </c>
      <c r="AD72" s="17" t="n">
        <f aca="false">Ubar_c-Delta_c*AC72</f>
        <v>6.7598547318054</v>
      </c>
      <c r="AE72" s="11" t="n">
        <f aca="false">(-(Cost_k*Ubar_c+Delay_D)+AD72/$AD$5*AE73)/(Rho_a+AD72/$AD$5)</f>
        <v>-396.987587023031</v>
      </c>
      <c r="AF72" s="11" t="n">
        <f aca="false">MAX(AE72,-Delay_D/Rho_a)</f>
        <v>-335.745877992226</v>
      </c>
      <c r="AG72" s="11" t="n">
        <f aca="false">IF(AC72&lt;Floor_F,MAX((-(Cost_k*Ubar_c+Delay_D)*(1-EXP(-Rho_a*LN((Top_c-AC72)/(Top_c-Floor_F))/Delta_c))/Rho_a+EXP(-Rho_a*LN((Top_c-AC72)/(Top_c-Floor_F))/Delta_c)*(-Cost_k*Delta_c*Floor_F/Rho_a)),(-Delay_D/Rho_a)),(EXP(-Rho_a*LN(AC72/Floor_F)/Delta_c)*(-Cost_k*Delta_c*Floor_F/Rho_a)))</f>
        <v>-335.745877992226</v>
      </c>
      <c r="AH72" s="22" t="n">
        <f aca="false">ABS(AF72-AG72)</f>
        <v>0</v>
      </c>
    </row>
    <row r="73" customFormat="false" ht="15" hidden="false" customHeight="false" outlineLevel="0" collapsed="false">
      <c r="H73" s="17" t="n">
        <f aca="false">30+53*$I$5</f>
        <v>56.5</v>
      </c>
      <c r="I73" s="17" t="n">
        <f aca="false">-Delta_c*H73</f>
        <v>-5.72182460444952</v>
      </c>
      <c r="K73" s="11" t="n">
        <f aca="false">(-I73/$I$5*K72)/(Rho_a-I73/$I$5)</f>
        <v>-227.964122986211</v>
      </c>
      <c r="L73" s="11" t="n">
        <f aca="false">IF(H73&lt;Floor_F,MAX((-(Cost_k*Ubar_c+Delay_D)*(1-EXP(-Rho_a*LN((Top_c-H73)/(Top_c-Floor_F))/Delta_c))/Rho_a+EXP(-Rho_a*LN((Top_c-H73)/(Top_c-Floor_F))/Delta_c)*(-Cost_k*Delta_c*Floor_F/Rho_a)),(-Delay_D/Rho_a)),(EXP(-Rho_a*LN(H73/Floor_F)/Delta_c)*(-Cost_k*Delta_c*Floor_F/Rho_a)))</f>
        <v>-227.914300937515</v>
      </c>
      <c r="M73" s="22" t="n">
        <f aca="false">ABS(K73-L73)</f>
        <v>0.0498220486959724</v>
      </c>
      <c r="O73" s="17" t="n">
        <f aca="false">30+53*$P$5</f>
        <v>43.25</v>
      </c>
      <c r="P73" s="17" t="n">
        <f aca="false">Ubar_c-Delta_c*O73</f>
        <v>5.74714241243381</v>
      </c>
      <c r="Q73" s="11" t="n">
        <f aca="false">(-(Cost_k*Ubar_c+Delay_D)+P73/$P$5*Q74)/(Rho_a+P73/$P$5)</f>
        <v>-336.686029669002</v>
      </c>
      <c r="R73" s="11" t="n">
        <f aca="false">MAX(Q73,-Delay_D/Rho_a)</f>
        <v>-335.745877992226</v>
      </c>
      <c r="S73" s="11" t="n">
        <f aca="false">IF(O73&lt;Floor_F,MAX((-(Cost_k*Ubar_c+Delay_D)*(1-EXP(-Rho_a*LN((Top_c-O73)/(Top_c-Floor_F))/Delta_c))/Rho_a+EXP(-Rho_a*LN((Top_c-O73)/(Top_c-Floor_F))/Delta_c)*(-Cost_k*Delta_c*Floor_F/Rho_a)),(-Delay_D/Rho_a)),(EXP(-Rho_a*LN(O73/Floor_F)/Delta_c)*(-Cost_k*Delta_c*Floor_F/Rho_a)))</f>
        <v>-335.745877992226</v>
      </c>
      <c r="T73" s="22" t="n">
        <f aca="false">ABS(R73-S73)</f>
        <v>0</v>
      </c>
      <c r="V73" s="17" t="n">
        <f aca="false">30+53*$W$5</f>
        <v>36.625</v>
      </c>
      <c r="W73" s="17" t="n">
        <f aca="false">Ubar_c-Delta_c*V73</f>
        <v>6.41806432401749</v>
      </c>
      <c r="X73" s="11" t="n">
        <f aca="false">(-(Cost_k*Ubar_c+Delay_D)+W73/$W$5*X74)/(Rho_a+W73/$W$5)</f>
        <v>-378.660620544089</v>
      </c>
      <c r="Y73" s="11" t="n">
        <f aca="false">MAX(X73,-Delay_D/Rho_a)</f>
        <v>-335.745877992226</v>
      </c>
      <c r="Z73" s="11" t="n">
        <f aca="false">IF(V73&lt;Floor_F,MAX((-(Cost_k*Ubar_c+Delay_D)*(1-EXP(-Rho_a*LN((Top_c-V73)/(Top_c-Floor_F))/Delta_c))/Rho_a+EXP(-Rho_a*LN((Top_c-V73)/(Top_c-Floor_F))/Delta_c)*(-Cost_k*Delta_c*Floor_F/Rho_a)),(-Delay_D/Rho_a)),(EXP(-Rho_a*LN(V73/Floor_F)/Delta_c)*(-Cost_k*Delta_c*Floor_F/Rho_a)))</f>
        <v>-335.745877992226</v>
      </c>
      <c r="AA73" s="22" t="n">
        <f aca="false">ABS(Y73-Z73)</f>
        <v>0</v>
      </c>
      <c r="AC73" s="17" t="n">
        <f aca="false">30+53*$AD$5</f>
        <v>33.3125</v>
      </c>
      <c r="AD73" s="17" t="n">
        <f aca="false">Ubar_c-Delta_c*AC73</f>
        <v>6.75352527980933</v>
      </c>
      <c r="AE73" s="11" t="n">
        <f aca="false">(-(Cost_k*Ubar_c+Delay_D)+AD73/$AD$5*AE74)/(Rho_a+AD73/$AD$5)</f>
        <v>-396.667022308151</v>
      </c>
      <c r="AF73" s="11" t="n">
        <f aca="false">MAX(AE73,-Delay_D/Rho_a)</f>
        <v>-335.745877992226</v>
      </c>
      <c r="AG73" s="11" t="n">
        <f aca="false">IF(AC73&lt;Floor_F,MAX((-(Cost_k*Ubar_c+Delay_D)*(1-EXP(-Rho_a*LN((Top_c-AC73)/(Top_c-Floor_F))/Delta_c))/Rho_a+EXP(-Rho_a*LN((Top_c-AC73)/(Top_c-Floor_F))/Delta_c)*(-Cost_k*Delta_c*Floor_F/Rho_a)),(-Delay_D/Rho_a)),(EXP(-Rho_a*LN(AC73/Floor_F)/Delta_c)*(-Cost_k*Delta_c*Floor_F/Rho_a)))</f>
        <v>-335.745877992226</v>
      </c>
      <c r="AH73" s="22" t="n">
        <f aca="false">ABS(AF73-AG73)</f>
        <v>0</v>
      </c>
    </row>
    <row r="74" customFormat="false" ht="15" hidden="false" customHeight="false" outlineLevel="0" collapsed="false">
      <c r="H74" s="17" t="n">
        <f aca="false">30+54*$I$5</f>
        <v>57</v>
      </c>
      <c r="I74" s="17" t="n">
        <f aca="false">-Delta_c*H74</f>
        <v>-5.7724602204181</v>
      </c>
      <c r="K74" s="11" t="n">
        <f aca="false">(-I74/$I$5*K73)/(Rho_a-I74/$I$5)</f>
        <v>-226.09755330569</v>
      </c>
      <c r="L74" s="11" t="n">
        <f aca="false">IF(H74&lt;Floor_F,MAX((-(Cost_k*Ubar_c+Delay_D)*(1-EXP(-Rho_a*LN((Top_c-H74)/(Top_c-Floor_F))/Delta_c))/Rho_a+EXP(-Rho_a*LN((Top_c-H74)/(Top_c-Floor_F))/Delta_c)*(-Cost_k*Delta_c*Floor_F/Rho_a)),(-Delay_D/Rho_a)),(EXP(-Rho_a*LN(H74/Floor_F)/Delta_c)*(-Cost_k*Delta_c*Floor_F/Rho_a)))</f>
        <v>-226.032245654582</v>
      </c>
      <c r="M74" s="22" t="n">
        <f aca="false">ABS(K74-L74)</f>
        <v>0.0653076511083555</v>
      </c>
      <c r="O74" s="17" t="n">
        <f aca="false">30+54*$P$5</f>
        <v>43.5</v>
      </c>
      <c r="P74" s="17" t="n">
        <f aca="false">Ubar_c-Delta_c*O74</f>
        <v>5.72182460444952</v>
      </c>
      <c r="Q74" s="11" t="n">
        <f aca="false">(-(Cost_k*Ubar_c+Delay_D)+P74/$P$5*Q75)/(Rho_a+P74/$P$5)</f>
        <v>-334.927812982825</v>
      </c>
      <c r="R74" s="11" t="n">
        <f aca="false">MAX(Q74,-Delay_D/Rho_a)</f>
        <v>-334.927812982825</v>
      </c>
      <c r="S74" s="11" t="n">
        <f aca="false">IF(O74&lt;Floor_F,MAX((-(Cost_k*Ubar_c+Delay_D)*(1-EXP(-Rho_a*LN((Top_c-O74)/(Top_c-Floor_F))/Delta_c))/Rho_a+EXP(-Rho_a*LN((Top_c-O74)/(Top_c-Floor_F))/Delta_c)*(-Cost_k*Delta_c*Floor_F/Rho_a)),(-Delay_D/Rho_a)),(EXP(-Rho_a*LN(O74/Floor_F)/Delta_c)*(-Cost_k*Delta_c*Floor_F/Rho_a)))</f>
        <v>-335.365332985087</v>
      </c>
      <c r="T74" s="22" t="n">
        <f aca="false">ABS(R74-S74)</f>
        <v>0.437520002261749</v>
      </c>
      <c r="V74" s="17" t="n">
        <f aca="false">30+54*$W$5</f>
        <v>36.75</v>
      </c>
      <c r="W74" s="17" t="n">
        <f aca="false">Ubar_c-Delta_c*V74</f>
        <v>6.40540542002534</v>
      </c>
      <c r="X74" s="11" t="n">
        <f aca="false">(-(Cost_k*Ubar_c+Delay_D)+W74/$W$5*X75)/(Rho_a+W74/$W$5)</f>
        <v>-377.951328008454</v>
      </c>
      <c r="Y74" s="11" t="n">
        <f aca="false">MAX(X74,-Delay_D/Rho_a)</f>
        <v>-335.745877992226</v>
      </c>
      <c r="Z74" s="11" t="n">
        <f aca="false">IF(V74&lt;Floor_F,MAX((-(Cost_k*Ubar_c+Delay_D)*(1-EXP(-Rho_a*LN((Top_c-V74)/(Top_c-Floor_F))/Delta_c))/Rho_a+EXP(-Rho_a*LN((Top_c-V74)/(Top_c-Floor_F))/Delta_c)*(-Cost_k*Delta_c*Floor_F/Rho_a)),(-Delay_D/Rho_a)),(EXP(-Rho_a*LN(V74/Floor_F)/Delta_c)*(-Cost_k*Delta_c*Floor_F/Rho_a)))</f>
        <v>-335.745877992226</v>
      </c>
      <c r="AA74" s="22" t="n">
        <f aca="false">ABS(Y74-Z74)</f>
        <v>0</v>
      </c>
      <c r="AC74" s="17" t="n">
        <f aca="false">30+54*$AD$5</f>
        <v>33.375</v>
      </c>
      <c r="AD74" s="17" t="n">
        <f aca="false">Ubar_c-Delta_c*AC74</f>
        <v>6.74719582781326</v>
      </c>
      <c r="AE74" s="11" t="n">
        <f aca="false">(-(Cost_k*Ubar_c+Delay_D)+AD74/$AD$5*AE75)/(Rho_a+AD74/$AD$5)</f>
        <v>-396.345874406514</v>
      </c>
      <c r="AF74" s="11" t="n">
        <f aca="false">MAX(AE74,-Delay_D/Rho_a)</f>
        <v>-335.745877992226</v>
      </c>
      <c r="AG74" s="11" t="n">
        <f aca="false">IF(AC74&lt;Floor_F,MAX((-(Cost_k*Ubar_c+Delay_D)*(1-EXP(-Rho_a*LN((Top_c-AC74)/(Top_c-Floor_F))/Delta_c))/Rho_a+EXP(-Rho_a*LN((Top_c-AC74)/(Top_c-Floor_F))/Delta_c)*(-Cost_k*Delta_c*Floor_F/Rho_a)),(-Delay_D/Rho_a)),(EXP(-Rho_a*LN(AC74/Floor_F)/Delta_c)*(-Cost_k*Delta_c*Floor_F/Rho_a)))</f>
        <v>-335.745877992226</v>
      </c>
      <c r="AH74" s="22" t="n">
        <f aca="false">ABS(AF74-AG74)</f>
        <v>0</v>
      </c>
    </row>
    <row r="75" customFormat="false" ht="15" hidden="false" customHeight="false" outlineLevel="0" collapsed="false">
      <c r="H75" s="17" t="n">
        <f aca="false">30+55*$I$5</f>
        <v>57.5</v>
      </c>
      <c r="I75" s="17" t="n">
        <f aca="false">-Delta_c*H75</f>
        <v>-5.82309583638668</v>
      </c>
      <c r="K75" s="11" t="n">
        <f aca="false">(-I75/$I$5*K74)/(Rho_a-I75/$I$5)</f>
        <v>-224.262234559464</v>
      </c>
      <c r="L75" s="11" t="n">
        <f aca="false">IF(H75&lt;Floor_F,MAX((-(Cost_k*Ubar_c+Delay_D)*(1-EXP(-Rho_a*LN((Top_c-H75)/(Top_c-Floor_F))/Delta_c))/Rho_a+EXP(-Rho_a*LN((Top_c-H75)/(Top_c-Floor_F))/Delta_c)*(-Cost_k*Delta_c*Floor_F/Rho_a)),(-Delay_D/Rho_a)),(EXP(-Rho_a*LN(H75/Floor_F)/Delta_c)*(-Cost_k*Delta_c*Floor_F/Rho_a)))</f>
        <v>-224.181966613365</v>
      </c>
      <c r="M75" s="22" t="n">
        <f aca="false">ABS(K75-L75)</f>
        <v>0.0802679460988998</v>
      </c>
      <c r="O75" s="17" t="n">
        <f aca="false">30+55*$P$5</f>
        <v>43.75</v>
      </c>
      <c r="P75" s="17" t="n">
        <f aca="false">Ubar_c-Delta_c*O75</f>
        <v>5.69650679646523</v>
      </c>
      <c r="Q75" s="11" t="n">
        <f aca="false">(-(Cost_k*Ubar_c+Delay_D)+P75/$P$5*Q76)/(Rho_a+P75/$P$5)</f>
        <v>-333.154494788728</v>
      </c>
      <c r="R75" s="11" t="n">
        <f aca="false">MAX(Q75,-Delay_D/Rho_a)</f>
        <v>-333.154494788728</v>
      </c>
      <c r="S75" s="11" t="n">
        <f aca="false">IF(O75&lt;Floor_F,MAX((-(Cost_k*Ubar_c+Delay_D)*(1-EXP(-Rho_a*LN((Top_c-O75)/(Top_c-Floor_F))/Delta_c))/Rho_a+EXP(-Rho_a*LN((Top_c-O75)/(Top_c-Floor_F))/Delta_c)*(-Cost_k*Delta_c*Floor_F/Rho_a)),(-Delay_D/Rho_a)),(EXP(-Rho_a*LN(O75/Floor_F)/Delta_c)*(-Cost_k*Delta_c*Floor_F/Rho_a)))</f>
        <v>-333.586195836674</v>
      </c>
      <c r="T75" s="22" t="n">
        <f aca="false">ABS(R75-S75)</f>
        <v>0.431701047945637</v>
      </c>
      <c r="V75" s="17" t="n">
        <f aca="false">30+55*$W$5</f>
        <v>36.875</v>
      </c>
      <c r="W75" s="17" t="n">
        <f aca="false">Ubar_c-Delta_c*V75</f>
        <v>6.3927465160332</v>
      </c>
      <c r="X75" s="11" t="n">
        <f aca="false">(-(Cost_k*Ubar_c+Delay_D)+W75/$W$5*X76)/(Rho_a+W75/$W$5)</f>
        <v>-377.239314455982</v>
      </c>
      <c r="Y75" s="11" t="n">
        <f aca="false">MAX(X75,-Delay_D/Rho_a)</f>
        <v>-335.745877992226</v>
      </c>
      <c r="Z75" s="11" t="n">
        <f aca="false">IF(V75&lt;Floor_F,MAX((-(Cost_k*Ubar_c+Delay_D)*(1-EXP(-Rho_a*LN((Top_c-V75)/(Top_c-Floor_F))/Delta_c))/Rho_a+EXP(-Rho_a*LN((Top_c-V75)/(Top_c-Floor_F))/Delta_c)*(-Cost_k*Delta_c*Floor_F/Rho_a)),(-Delay_D/Rho_a)),(EXP(-Rho_a*LN(V75/Floor_F)/Delta_c)*(-Cost_k*Delta_c*Floor_F/Rho_a)))</f>
        <v>-335.745877992226</v>
      </c>
      <c r="AA75" s="22" t="n">
        <f aca="false">ABS(Y75-Z75)</f>
        <v>0</v>
      </c>
      <c r="AC75" s="17" t="n">
        <f aca="false">30+55*$AD$5</f>
        <v>33.4375</v>
      </c>
      <c r="AD75" s="17" t="n">
        <f aca="false">Ubar_c-Delta_c*AC75</f>
        <v>6.74086637581719</v>
      </c>
      <c r="AE75" s="11" t="n">
        <f aca="false">(-(Cost_k*Ubar_c+Delay_D)+AD75/$AD$5*AE76)/(Rho_a+AD75/$AD$5)</f>
        <v>-396.024141709083</v>
      </c>
      <c r="AF75" s="11" t="n">
        <f aca="false">MAX(AE75,-Delay_D/Rho_a)</f>
        <v>-335.745877992226</v>
      </c>
      <c r="AG75" s="11" t="n">
        <f aca="false">IF(AC75&lt;Floor_F,MAX((-(Cost_k*Ubar_c+Delay_D)*(1-EXP(-Rho_a*LN((Top_c-AC75)/(Top_c-Floor_F))/Delta_c))/Rho_a+EXP(-Rho_a*LN((Top_c-AC75)/(Top_c-Floor_F))/Delta_c)*(-Cost_k*Delta_c*Floor_F/Rho_a)),(-Delay_D/Rho_a)),(EXP(-Rho_a*LN(AC75/Floor_F)/Delta_c)*(-Cost_k*Delta_c*Floor_F/Rho_a)))</f>
        <v>-335.745877992226</v>
      </c>
      <c r="AH75" s="22" t="n">
        <f aca="false">ABS(AF75-AG75)</f>
        <v>0</v>
      </c>
    </row>
    <row r="76" customFormat="false" ht="15" hidden="false" customHeight="false" outlineLevel="0" collapsed="false">
      <c r="H76" s="17" t="n">
        <f aca="false">30+56*$I$5</f>
        <v>58</v>
      </c>
      <c r="I76" s="17" t="n">
        <f aca="false">-Delta_c*H76</f>
        <v>-5.87373145235526</v>
      </c>
      <c r="K76" s="11" t="n">
        <f aca="false">(-I76/$I$5*K75)/(Rho_a-I76/$I$5)</f>
        <v>-222.457380768326</v>
      </c>
      <c r="L76" s="11" t="n">
        <f aca="false">IF(H76&lt;Floor_F,MAX((-(Cost_k*Ubar_c+Delay_D)*(1-EXP(-Rho_a*LN((Top_c-H76)/(Top_c-Floor_F))/Delta_c))/Rho_a+EXP(-Rho_a*LN((Top_c-H76)/(Top_c-Floor_F))/Delta_c)*(-Cost_k*Delta_c*Floor_F/Rho_a)),(-Delay_D/Rho_a)),(EXP(-Rho_a*LN(H76/Floor_F)/Delta_c)*(-Cost_k*Delta_c*Floor_F/Rho_a)))</f>
        <v>-222.36265793319</v>
      </c>
      <c r="M76" s="22" t="n">
        <f aca="false">ABS(K76-L76)</f>
        <v>0.094722835135201</v>
      </c>
      <c r="O76" s="17" t="n">
        <f aca="false">30+56*$P$5</f>
        <v>44</v>
      </c>
      <c r="P76" s="17" t="n">
        <f aca="false">Ubar_c-Delta_c*O76</f>
        <v>5.67118898848094</v>
      </c>
      <c r="Q76" s="11" t="n">
        <f aca="false">(-(Cost_k*Ubar_c+Delay_D)+P76/$P$5*Q77)/(Rho_a+P76/$P$5)</f>
        <v>-331.365877683978</v>
      </c>
      <c r="R76" s="11" t="n">
        <f aca="false">MAX(Q76,-Delay_D/Rho_a)</f>
        <v>-331.365877683978</v>
      </c>
      <c r="S76" s="11" t="n">
        <f aca="false">IF(O76&lt;Floor_F,MAX((-(Cost_k*Ubar_c+Delay_D)*(1-EXP(-Rho_a*LN((Top_c-O76)/(Top_c-Floor_F))/Delta_c))/Rho_a+EXP(-Rho_a*LN((Top_c-O76)/(Top_c-Floor_F))/Delta_c)*(-Cost_k*Delta_c*Floor_F/Rho_a)),(-Delay_D/Rho_a)),(EXP(-Rho_a*LN(O76/Floor_F)/Delta_c)*(-Cost_k*Delta_c*Floor_F/Rho_a)))</f>
        <v>-331.791643074071</v>
      </c>
      <c r="T76" s="22" t="n">
        <f aca="false">ABS(R76-S76)</f>
        <v>0.425765390092863</v>
      </c>
      <c r="V76" s="17" t="n">
        <f aca="false">30+56*$W$5</f>
        <v>37</v>
      </c>
      <c r="W76" s="17" t="n">
        <f aca="false">Ubar_c-Delta_c*V76</f>
        <v>6.38008761204106</v>
      </c>
      <c r="X76" s="11" t="n">
        <f aca="false">(-(Cost_k*Ubar_c+Delay_D)+W76/$W$5*X77)/(Rho_a+W76/$W$5)</f>
        <v>-376.524564039374</v>
      </c>
      <c r="Y76" s="11" t="n">
        <f aca="false">MAX(X76,-Delay_D/Rho_a)</f>
        <v>-335.745877992226</v>
      </c>
      <c r="Z76" s="11" t="n">
        <f aca="false">IF(V76&lt;Floor_F,MAX((-(Cost_k*Ubar_c+Delay_D)*(1-EXP(-Rho_a*LN((Top_c-V76)/(Top_c-Floor_F))/Delta_c))/Rho_a+EXP(-Rho_a*LN((Top_c-V76)/(Top_c-Floor_F))/Delta_c)*(-Cost_k*Delta_c*Floor_F/Rho_a)),(-Delay_D/Rho_a)),(EXP(-Rho_a*LN(V76/Floor_F)/Delta_c)*(-Cost_k*Delta_c*Floor_F/Rho_a)))</f>
        <v>-335.745877992226</v>
      </c>
      <c r="AA76" s="22" t="n">
        <f aca="false">ABS(Y76-Z76)</f>
        <v>0</v>
      </c>
      <c r="AC76" s="17" t="n">
        <f aca="false">30+56*$AD$5</f>
        <v>33.5</v>
      </c>
      <c r="AD76" s="17" t="n">
        <f aca="false">Ubar_c-Delta_c*AC76</f>
        <v>6.73453692382111</v>
      </c>
      <c r="AE76" s="11" t="n">
        <f aca="false">(-(Cost_k*Ubar_c+Delay_D)+AD76/$AD$5*AE77)/(Rho_a+AD76/$AD$5)</f>
        <v>-395.701822600867</v>
      </c>
      <c r="AF76" s="11" t="n">
        <f aca="false">MAX(AE76,-Delay_D/Rho_a)</f>
        <v>-335.745877992226</v>
      </c>
      <c r="AG76" s="11" t="n">
        <f aca="false">IF(AC76&lt;Floor_F,MAX((-(Cost_k*Ubar_c+Delay_D)*(1-EXP(-Rho_a*LN((Top_c-AC76)/(Top_c-Floor_F))/Delta_c))/Rho_a+EXP(-Rho_a*LN((Top_c-AC76)/(Top_c-Floor_F))/Delta_c)*(-Cost_k*Delta_c*Floor_F/Rho_a)),(-Delay_D/Rho_a)),(EXP(-Rho_a*LN(AC76/Floor_F)/Delta_c)*(-Cost_k*Delta_c*Floor_F/Rho_a)))</f>
        <v>-335.745877992226</v>
      </c>
      <c r="AH76" s="22" t="n">
        <f aca="false">ABS(AF76-AG76)</f>
        <v>0</v>
      </c>
    </row>
    <row r="77" customFormat="false" ht="15" hidden="false" customHeight="false" outlineLevel="0" collapsed="false">
      <c r="H77" s="17" t="n">
        <f aca="false">30+57*$I$5</f>
        <v>58.5</v>
      </c>
      <c r="I77" s="17" t="n">
        <f aca="false">-Delta_c*H77</f>
        <v>-5.92436706832384</v>
      </c>
      <c r="K77" s="11" t="n">
        <f aca="false">(-I77/$I$5*K76)/(Rho_a-I77/$I$5)</f>
        <v>-220.68223221746</v>
      </c>
      <c r="L77" s="11" t="n">
        <f aca="false">IF(H77&lt;Floor_F,MAX((-(Cost_k*Ubar_c+Delay_D)*(1-EXP(-Rho_a*LN((Top_c-H77)/(Top_c-Floor_F))/Delta_c))/Rho_a+EXP(-Rho_a*LN((Top_c-H77)/(Top_c-Floor_F))/Delta_c)*(-Cost_k*Delta_c*Floor_F/Rho_a)),(-Delay_D/Rho_a)),(EXP(-Rho_a*LN(H77/Floor_F)/Delta_c)*(-Cost_k*Delta_c*Floor_F/Rho_a)))</f>
        <v>-220.573540886302</v>
      </c>
      <c r="M77" s="22" t="n">
        <f aca="false">ABS(K77-L77)</f>
        <v>0.108691331157559</v>
      </c>
      <c r="O77" s="17" t="n">
        <f aca="false">30+57*$P$5</f>
        <v>44.25</v>
      </c>
      <c r="P77" s="17" t="n">
        <f aca="false">Ubar_c-Delta_c*O77</f>
        <v>5.64587118049665</v>
      </c>
      <c r="Q77" s="11" t="n">
        <f aca="false">(-(Cost_k*Ubar_c+Delay_D)+P77/$P$5*Q78)/(Rho_a+P77/$P$5)</f>
        <v>-329.561760792665</v>
      </c>
      <c r="R77" s="11" t="n">
        <f aca="false">MAX(Q77,-Delay_D/Rho_a)</f>
        <v>-329.561760792665</v>
      </c>
      <c r="S77" s="11" t="n">
        <f aca="false">IF(O77&lt;Floor_F,MAX((-(Cost_k*Ubar_c+Delay_D)*(1-EXP(-Rho_a*LN((Top_c-O77)/(Top_c-Floor_F))/Delta_c))/Rho_a+EXP(-Rho_a*LN((Top_c-O77)/(Top_c-Floor_F))/Delta_c)*(-Cost_k*Delta_c*Floor_F/Rho_a)),(-Delay_D/Rho_a)),(EXP(-Rho_a*LN(O77/Floor_F)/Delta_c)*(-Cost_k*Delta_c*Floor_F/Rho_a)))</f>
        <v>-329.981471408133</v>
      </c>
      <c r="T77" s="22" t="n">
        <f aca="false">ABS(R77-S77)</f>
        <v>0.41971061546792</v>
      </c>
      <c r="V77" s="17" t="n">
        <f aca="false">30+57*$W$5</f>
        <v>37.125</v>
      </c>
      <c r="W77" s="17" t="n">
        <f aca="false">Ubar_c-Delta_c*V77</f>
        <v>6.36742870804891</v>
      </c>
      <c r="X77" s="11" t="n">
        <f aca="false">(-(Cost_k*Ubar_c+Delay_D)+W77/$W$5*X78)/(Rho_a+W77/$W$5)</f>
        <v>-375.807060787412</v>
      </c>
      <c r="Y77" s="11" t="n">
        <f aca="false">MAX(X77,-Delay_D/Rho_a)</f>
        <v>-335.745877992226</v>
      </c>
      <c r="Z77" s="11" t="n">
        <f aca="false">IF(V77&lt;Floor_F,MAX((-(Cost_k*Ubar_c+Delay_D)*(1-EXP(-Rho_a*LN((Top_c-V77)/(Top_c-Floor_F))/Delta_c))/Rho_a+EXP(-Rho_a*LN((Top_c-V77)/(Top_c-Floor_F))/Delta_c)*(-Cost_k*Delta_c*Floor_F/Rho_a)),(-Delay_D/Rho_a)),(EXP(-Rho_a*LN(V77/Floor_F)/Delta_c)*(-Cost_k*Delta_c*Floor_F/Rho_a)))</f>
        <v>-335.745877992226</v>
      </c>
      <c r="AA77" s="22" t="n">
        <f aca="false">ABS(Y77-Z77)</f>
        <v>0</v>
      </c>
      <c r="AC77" s="17" t="n">
        <f aca="false">30+57*$AD$5</f>
        <v>33.5625</v>
      </c>
      <c r="AD77" s="17" t="n">
        <f aca="false">Ubar_c-Delta_c*AC77</f>
        <v>6.72820747182504</v>
      </c>
      <c r="AE77" s="11" t="n">
        <f aca="false">(-(Cost_k*Ubar_c+Delay_D)+AD77/$AD$5*AE78)/(Rho_a+AD77/$AD$5)</f>
        <v>-395.378915460893</v>
      </c>
      <c r="AF77" s="11" t="n">
        <f aca="false">MAX(AE77,-Delay_D/Rho_a)</f>
        <v>-335.745877992226</v>
      </c>
      <c r="AG77" s="11" t="n">
        <f aca="false">IF(AC77&lt;Floor_F,MAX((-(Cost_k*Ubar_c+Delay_D)*(1-EXP(-Rho_a*LN((Top_c-AC77)/(Top_c-Floor_F))/Delta_c))/Rho_a+EXP(-Rho_a*LN((Top_c-AC77)/(Top_c-Floor_F))/Delta_c)*(-Cost_k*Delta_c*Floor_F/Rho_a)),(-Delay_D/Rho_a)),(EXP(-Rho_a*LN(AC77/Floor_F)/Delta_c)*(-Cost_k*Delta_c*Floor_F/Rho_a)))</f>
        <v>-335.745877992226</v>
      </c>
      <c r="AH77" s="22" t="n">
        <f aca="false">ABS(AF77-AG77)</f>
        <v>0</v>
      </c>
    </row>
    <row r="78" customFormat="false" ht="15" hidden="false" customHeight="false" outlineLevel="0" collapsed="false">
      <c r="H78" s="17" t="n">
        <f aca="false">30+58*$I$5</f>
        <v>59</v>
      </c>
      <c r="I78" s="17" t="n">
        <f aca="false">-Delta_c*H78</f>
        <v>-5.97500268429242</v>
      </c>
      <c r="K78" s="11" t="n">
        <f aca="false">(-I78/$I$5*K77)/(Rho_a-I78/$I$5)</f>
        <v>-218.93605436535</v>
      </c>
      <c r="L78" s="11" t="n">
        <f aca="false">IF(H78&lt;Floor_F,MAX((-(Cost_k*Ubar_c+Delay_D)*(1-EXP(-Rho_a*LN((Top_c-H78)/(Top_c-Floor_F))/Delta_c))/Rho_a+EXP(-Rho_a*LN((Top_c-H78)/(Top_c-Floor_F))/Delta_c)*(-Cost_k*Delta_c*Floor_F/Rho_a)),(-Delay_D/Rho_a)),(EXP(-Rho_a*LN(H78/Floor_F)/Delta_c)*(-Cost_k*Delta_c*Floor_F/Rho_a)))</f>
        <v>-218.813862760577</v>
      </c>
      <c r="M78" s="22" t="n">
        <f aca="false">ABS(K78-L78)</f>
        <v>0.122191604773406</v>
      </c>
      <c r="O78" s="17" t="n">
        <f aca="false">30+58*$P$5</f>
        <v>44.5</v>
      </c>
      <c r="P78" s="17" t="n">
        <f aca="false">Ubar_c-Delta_c*O78</f>
        <v>5.62055337251236</v>
      </c>
      <c r="Q78" s="11" t="n">
        <f aca="false">(-(Cost_k*Ubar_c+Delay_D)+P78/$P$5*Q79)/(Rho_a+P78/$P$5)</f>
        <v>-327.741939688747</v>
      </c>
      <c r="R78" s="11" t="n">
        <f aca="false">MAX(Q78,-Delay_D/Rho_a)</f>
        <v>-327.741939688747</v>
      </c>
      <c r="S78" s="11" t="n">
        <f aca="false">IF(O78&lt;Floor_F,MAX((-(Cost_k*Ubar_c+Delay_D)*(1-EXP(-Rho_a*LN((Top_c-O78)/(Top_c-Floor_F))/Delta_c))/Rho_a+EXP(-Rho_a*LN((Top_c-O78)/(Top_c-Floor_F))/Delta_c)*(-Cost_k*Delta_c*Floor_F/Rho_a)),(-Delay_D/Rho_a)),(EXP(-Rho_a*LN(O78/Floor_F)/Delta_c)*(-Cost_k*Delta_c*Floor_F/Rho_a)))</f>
        <v>-328.155473941225</v>
      </c>
      <c r="T78" s="22" t="n">
        <f aca="false">ABS(R78-S78)</f>
        <v>0.413534252478257</v>
      </c>
      <c r="V78" s="17" t="n">
        <f aca="false">30+58*$W$5</f>
        <v>37.25</v>
      </c>
      <c r="W78" s="17" t="n">
        <f aca="false">Ubar_c-Delta_c*V78</f>
        <v>6.35476980405677</v>
      </c>
      <c r="X78" s="11" t="n">
        <f aca="false">(-(Cost_k*Ubar_c+Delay_D)+W78/$W$5*X79)/(Rho_a+W78/$W$5)</f>
        <v>-375.086788603738</v>
      </c>
      <c r="Y78" s="11" t="n">
        <f aca="false">MAX(X78,-Delay_D/Rho_a)</f>
        <v>-335.745877992226</v>
      </c>
      <c r="Z78" s="11" t="n">
        <f aca="false">IF(V78&lt;Floor_F,MAX((-(Cost_k*Ubar_c+Delay_D)*(1-EXP(-Rho_a*LN((Top_c-V78)/(Top_c-Floor_F))/Delta_c))/Rho_a+EXP(-Rho_a*LN((Top_c-V78)/(Top_c-Floor_F))/Delta_c)*(-Cost_k*Delta_c*Floor_F/Rho_a)),(-Delay_D/Rho_a)),(EXP(-Rho_a*LN(V78/Floor_F)/Delta_c)*(-Cost_k*Delta_c*Floor_F/Rho_a)))</f>
        <v>-335.745877992226</v>
      </c>
      <c r="AA78" s="22" t="n">
        <f aca="false">ABS(Y78-Z78)</f>
        <v>0</v>
      </c>
      <c r="AC78" s="17" t="n">
        <f aca="false">30+58*$AD$5</f>
        <v>33.625</v>
      </c>
      <c r="AD78" s="17" t="n">
        <f aca="false">Ubar_c-Delta_c*AC78</f>
        <v>6.72187801982897</v>
      </c>
      <c r="AE78" s="11" t="n">
        <f aca="false">(-(Cost_k*Ubar_c+Delay_D)+AD78/$AD$5*AE79)/(Rho_a+AD78/$AD$5)</f>
        <v>-395.05541866218</v>
      </c>
      <c r="AF78" s="11" t="n">
        <f aca="false">MAX(AE78,-Delay_D/Rho_a)</f>
        <v>-335.745877992226</v>
      </c>
      <c r="AG78" s="11" t="n">
        <f aca="false">IF(AC78&lt;Floor_F,MAX((-(Cost_k*Ubar_c+Delay_D)*(1-EXP(-Rho_a*LN((Top_c-AC78)/(Top_c-Floor_F))/Delta_c))/Rho_a+EXP(-Rho_a*LN((Top_c-AC78)/(Top_c-Floor_F))/Delta_c)*(-Cost_k*Delta_c*Floor_F/Rho_a)),(-Delay_D/Rho_a)),(EXP(-Rho_a*LN(AC78/Floor_F)/Delta_c)*(-Cost_k*Delta_c*Floor_F/Rho_a)))</f>
        <v>-335.745877992226</v>
      </c>
      <c r="AH78" s="22" t="n">
        <f aca="false">ABS(AF78-AG78)</f>
        <v>0</v>
      </c>
    </row>
    <row r="79" customFormat="false" ht="15" hidden="false" customHeight="false" outlineLevel="0" collapsed="false">
      <c r="H79" s="17" t="n">
        <f aca="false">30+59*$I$5</f>
        <v>59.5</v>
      </c>
      <c r="I79" s="17" t="n">
        <f aca="false">-Delta_c*H79</f>
        <v>-6.025638300261</v>
      </c>
      <c r="K79" s="11" t="n">
        <f aca="false">(-I79/$I$5*K78)/(Rho_a-I79/$I$5)</f>
        <v>-217.218136806731</v>
      </c>
      <c r="L79" s="11" t="n">
        <f aca="false">IF(H79&lt;Floor_F,MAX((-(Cost_k*Ubar_c+Delay_D)*(1-EXP(-Rho_a*LN((Top_c-H79)/(Top_c-Floor_F))/Delta_c))/Rho_a+EXP(-Rho_a*LN((Top_c-H79)/(Top_c-Floor_F))/Delta_c)*(-Cost_k*Delta_c*Floor_F/Rho_a)),(-Delay_D/Rho_a)),(EXP(-Rho_a*LN(H79/Floor_F)/Delta_c)*(-Cost_k*Delta_c*Floor_F/Rho_a)))</f>
        <v>-217.082895779027</v>
      </c>
      <c r="M79" s="22" t="n">
        <f aca="false">ABS(K79-L79)</f>
        <v>0.135241027704211</v>
      </c>
      <c r="O79" s="17" t="n">
        <f aca="false">30+59*$P$5</f>
        <v>44.75</v>
      </c>
      <c r="P79" s="17" t="n">
        <f aca="false">Ubar_c-Delta_c*O79</f>
        <v>5.59523556452807</v>
      </c>
      <c r="Q79" s="11" t="n">
        <f aca="false">(-(Cost_k*Ubar_c+Delay_D)+P79/$P$5*Q80)/(Rho_a+P79/$P$5)</f>
        <v>-325.906206317032</v>
      </c>
      <c r="R79" s="11" t="n">
        <f aca="false">MAX(Q79,-Delay_D/Rho_a)</f>
        <v>-325.906206317032</v>
      </c>
      <c r="S79" s="11" t="n">
        <f aca="false">IF(O79&lt;Floor_F,MAX((-(Cost_k*Ubar_c+Delay_D)*(1-EXP(-Rho_a*LN((Top_c-O79)/(Top_c-Floor_F))/Delta_c))/Rho_a+EXP(-Rho_a*LN((Top_c-O79)/(Top_c-Floor_F))/Delta_c)*(-Cost_k*Delta_c*Floor_F/Rho_a)),(-Delay_D/Rho_a)),(EXP(-Rho_a*LN(O79/Floor_F)/Delta_c)*(-Cost_k*Delta_c*Floor_F/Rho_a)))</f>
        <v>-326.313440086555</v>
      </c>
      <c r="T79" s="22" t="n">
        <f aca="false">ABS(R79-S79)</f>
        <v>0.407233769522861</v>
      </c>
      <c r="V79" s="17" t="n">
        <f aca="false">30+59*$W$5</f>
        <v>37.375</v>
      </c>
      <c r="W79" s="17" t="n">
        <f aca="false">Ubar_c-Delta_c*V79</f>
        <v>6.34211090006462</v>
      </c>
      <c r="X79" s="11" t="n">
        <f aca="false">(-(Cost_k*Ubar_c+Delay_D)+W79/$W$5*X80)/(Rho_a+W79/$W$5)</f>
        <v>-374.363731265624</v>
      </c>
      <c r="Y79" s="11" t="n">
        <f aca="false">MAX(X79,-Delay_D/Rho_a)</f>
        <v>-335.745877992226</v>
      </c>
      <c r="Z79" s="11" t="n">
        <f aca="false">IF(V79&lt;Floor_F,MAX((-(Cost_k*Ubar_c+Delay_D)*(1-EXP(-Rho_a*LN((Top_c-V79)/(Top_c-Floor_F))/Delta_c))/Rho_a+EXP(-Rho_a*LN((Top_c-V79)/(Top_c-Floor_F))/Delta_c)*(-Cost_k*Delta_c*Floor_F/Rho_a)),(-Delay_D/Rho_a)),(EXP(-Rho_a*LN(V79/Floor_F)/Delta_c)*(-Cost_k*Delta_c*Floor_F/Rho_a)))</f>
        <v>-335.745877992226</v>
      </c>
      <c r="AA79" s="22" t="n">
        <f aca="false">ABS(Y79-Z79)</f>
        <v>0</v>
      </c>
      <c r="AC79" s="17" t="n">
        <f aca="false">30+59*$AD$5</f>
        <v>33.6875</v>
      </c>
      <c r="AD79" s="17" t="n">
        <f aca="false">Ubar_c-Delta_c*AC79</f>
        <v>6.7155485678329</v>
      </c>
      <c r="AE79" s="11" t="n">
        <f aca="false">(-(Cost_k*Ubar_c+Delay_D)+AD79/$AD$5*AE80)/(Rho_a+AD79/$AD$5)</f>
        <v>-394.731330571706</v>
      </c>
      <c r="AF79" s="11" t="n">
        <f aca="false">MAX(AE79,-Delay_D/Rho_a)</f>
        <v>-335.745877992226</v>
      </c>
      <c r="AG79" s="11" t="n">
        <f aca="false">IF(AC79&lt;Floor_F,MAX((-(Cost_k*Ubar_c+Delay_D)*(1-EXP(-Rho_a*LN((Top_c-AC79)/(Top_c-Floor_F))/Delta_c))/Rho_a+EXP(-Rho_a*LN((Top_c-AC79)/(Top_c-Floor_F))/Delta_c)*(-Cost_k*Delta_c*Floor_F/Rho_a)),(-Delay_D/Rho_a)),(EXP(-Rho_a*LN(AC79/Floor_F)/Delta_c)*(-Cost_k*Delta_c*Floor_F/Rho_a)))</f>
        <v>-335.745877992226</v>
      </c>
      <c r="AH79" s="22" t="n">
        <f aca="false">ABS(AF79-AG79)</f>
        <v>0</v>
      </c>
    </row>
    <row r="80" customFormat="false" ht="15" hidden="false" customHeight="false" outlineLevel="0" collapsed="false">
      <c r="H80" s="17" t="n">
        <f aca="false">30+60*$I$5</f>
        <v>60</v>
      </c>
      <c r="I80" s="17" t="n">
        <f aca="false">-Delta_c*H80</f>
        <v>-6.07627391622958</v>
      </c>
      <c r="K80" s="11" t="n">
        <f aca="false">(-I80/$I$5*K79)/(Rho_a-I80/$I$5)</f>
        <v>-215.527792286483</v>
      </c>
      <c r="L80" s="11" t="n">
        <f aca="false">IF(H80&lt;Floor_F,MAX((-(Cost_k*Ubar_c+Delay_D)*(1-EXP(-Rho_a*LN((Top_c-H80)/(Top_c-Floor_F))/Delta_c))/Rho_a+EXP(-Rho_a*LN((Top_c-H80)/(Top_c-Floor_F))/Delta_c)*(-Cost_k*Delta_c*Floor_F/Rho_a)),(-Delay_D/Rho_a)),(EXP(-Rho_a*LN(H80/Floor_F)/Delta_c)*(-Cost_k*Delta_c*Floor_F/Rho_a)))</f>
        <v>-215.379936072815</v>
      </c>
      <c r="M80" s="22" t="n">
        <f aca="false">ABS(K80-L80)</f>
        <v>0.147856213668348</v>
      </c>
      <c r="O80" s="17" t="n">
        <f aca="false">30+60*$P$5</f>
        <v>45</v>
      </c>
      <c r="P80" s="17" t="n">
        <f aca="false">Ubar_c-Delta_c*O80</f>
        <v>5.56991775654378</v>
      </c>
      <c r="Q80" s="11" t="n">
        <f aca="false">(-(Cost_k*Ubar_c+Delay_D)+P80/$P$5*Q81)/(Rho_a+P80/$P$5)</f>
        <v>-324.054348912037</v>
      </c>
      <c r="R80" s="11" t="n">
        <f aca="false">MAX(Q80,-Delay_D/Rho_a)</f>
        <v>-324.054348912037</v>
      </c>
      <c r="S80" s="11" t="n">
        <f aca="false">IF(O80&lt;Floor_F,MAX((-(Cost_k*Ubar_c+Delay_D)*(1-EXP(-Rho_a*LN((Top_c-O80)/(Top_c-Floor_F))/Delta_c))/Rho_a+EXP(-Rho_a*LN((Top_c-O80)/(Top_c-Floor_F))/Delta_c)*(-Cost_k*Delta_c*Floor_F/Rho_a)),(-Delay_D/Rho_a)),(EXP(-Rho_a*LN(O80/Floor_F)/Delta_c)*(-Cost_k*Delta_c*Floor_F/Rho_a)))</f>
        <v>-324.455155485324</v>
      </c>
      <c r="T80" s="22" t="n">
        <f aca="false">ABS(R80-S80)</f>
        <v>0.400806573286729</v>
      </c>
      <c r="V80" s="17" t="n">
        <f aca="false">30+60*$W$5</f>
        <v>37.5</v>
      </c>
      <c r="W80" s="17" t="n">
        <f aca="false">Ubar_c-Delta_c*V80</f>
        <v>6.32945199607248</v>
      </c>
      <c r="X80" s="11" t="n">
        <f aca="false">(-(Cost_k*Ubar_c+Delay_D)+W80/$W$5*X81)/(Rho_a+W80/$W$5)</f>
        <v>-373.637872422724</v>
      </c>
      <c r="Y80" s="11" t="n">
        <f aca="false">MAX(X80,-Delay_D/Rho_a)</f>
        <v>-335.745877992226</v>
      </c>
      <c r="Z80" s="11" t="n">
        <f aca="false">IF(V80&lt;Floor_F,MAX((-(Cost_k*Ubar_c+Delay_D)*(1-EXP(-Rho_a*LN((Top_c-V80)/(Top_c-Floor_F))/Delta_c))/Rho_a+EXP(-Rho_a*LN((Top_c-V80)/(Top_c-Floor_F))/Delta_c)*(-Cost_k*Delta_c*Floor_F/Rho_a)),(-Delay_D/Rho_a)),(EXP(-Rho_a*LN(V80/Floor_F)/Delta_c)*(-Cost_k*Delta_c*Floor_F/Rho_a)))</f>
        <v>-335.745877992226</v>
      </c>
      <c r="AA80" s="22" t="n">
        <f aca="false">ABS(Y80-Z80)</f>
        <v>0</v>
      </c>
      <c r="AC80" s="17" t="n">
        <f aca="false">30+60*$AD$5</f>
        <v>33.75</v>
      </c>
      <c r="AD80" s="17" t="n">
        <f aca="false">Ubar_c-Delta_c*AC80</f>
        <v>6.70921911583682</v>
      </c>
      <c r="AE80" s="11" t="n">
        <f aca="false">(-(Cost_k*Ubar_c+Delay_D)+AD80/$AD$5*AE81)/(Rho_a+AD80/$AD$5)</f>
        <v>-394.406649550386</v>
      </c>
      <c r="AF80" s="11" t="n">
        <f aca="false">MAX(AE80,-Delay_D/Rho_a)</f>
        <v>-335.745877992226</v>
      </c>
      <c r="AG80" s="11" t="n">
        <f aca="false">IF(AC80&lt;Floor_F,MAX((-(Cost_k*Ubar_c+Delay_D)*(1-EXP(-Rho_a*LN((Top_c-AC80)/(Top_c-Floor_F))/Delta_c))/Rho_a+EXP(-Rho_a*LN((Top_c-AC80)/(Top_c-Floor_F))/Delta_c)*(-Cost_k*Delta_c*Floor_F/Rho_a)),(-Delay_D/Rho_a)),(EXP(-Rho_a*LN(AC80/Floor_F)/Delta_c)*(-Cost_k*Delta_c*Floor_F/Rho_a)))</f>
        <v>-335.745877992226</v>
      </c>
      <c r="AH80" s="22" t="n">
        <f aca="false">ABS(AF80-AG80)</f>
        <v>0</v>
      </c>
    </row>
    <row r="81" customFormat="false" ht="15" hidden="false" customHeight="false" outlineLevel="0" collapsed="false">
      <c r="H81" s="17" t="n">
        <f aca="false">30+61*$I$5</f>
        <v>60.5</v>
      </c>
      <c r="I81" s="17" t="n">
        <f aca="false">-Delta_c*H81</f>
        <v>-6.12690953219816</v>
      </c>
      <c r="K81" s="11" t="n">
        <f aca="false">(-I81/$I$5*K80)/(Rho_a-I81/$I$5)</f>
        <v>-213.864355761572</v>
      </c>
      <c r="L81" s="11" t="n">
        <f aca="false">IF(H81&lt;Floor_F,MAX((-(Cost_k*Ubar_c+Delay_D)*(1-EXP(-Rho_a*LN((Top_c-H81)/(Top_c-Floor_F))/Delta_c))/Rho_a+EXP(-Rho_a*LN((Top_c-H81)/(Top_c-Floor_F))/Delta_c)*(-Cost_k*Delta_c*Floor_F/Rho_a)),(-Delay_D/Rho_a)),(EXP(-Rho_a*LN(H81/Floor_F)/Delta_c)*(-Cost_k*Delta_c*Floor_F/Rho_a)))</f>
        <v>-213.704302704701</v>
      </c>
      <c r="M81" s="22" t="n">
        <f aca="false">ABS(K81-L81)</f>
        <v>0.160053056870339</v>
      </c>
      <c r="O81" s="17" t="n">
        <f aca="false">30+61*$P$5</f>
        <v>45.25</v>
      </c>
      <c r="P81" s="17" t="n">
        <f aca="false">Ubar_c-Delta_c*O81</f>
        <v>5.54459994855949</v>
      </c>
      <c r="Q81" s="11" t="n">
        <f aca="false">(-(Cost_k*Ubar_c+Delay_D)+P81/$P$5*Q82)/(Rho_a+P81/$P$5)</f>
        <v>-322.186151914659</v>
      </c>
      <c r="R81" s="11" t="n">
        <f aca="false">MAX(Q81,-Delay_D/Rho_a)</f>
        <v>-322.186151914659</v>
      </c>
      <c r="S81" s="11" t="n">
        <f aca="false">IF(O81&lt;Floor_F,MAX((-(Cost_k*Ubar_c+Delay_D)*(1-EXP(-Rho_a*LN((Top_c-O81)/(Top_c-Floor_F))/Delta_c))/Rho_a+EXP(-Rho_a*LN((Top_c-O81)/(Top_c-Floor_F))/Delta_c)*(-Cost_k*Delta_c*Floor_F/Rho_a)),(-Delay_D/Rho_a)),(EXP(-Rho_a*LN(O81/Floor_F)/Delta_c)*(-Cost_k*Delta_c*Floor_F/Rho_a)))</f>
        <v>-322.580401921638</v>
      </c>
      <c r="T81" s="22" t="n">
        <f aca="false">ABS(R81-S81)</f>
        <v>0.394250006979348</v>
      </c>
      <c r="V81" s="17" t="n">
        <f aca="false">30+61*$W$5</f>
        <v>37.625</v>
      </c>
      <c r="W81" s="17" t="n">
        <f aca="false">Ubar_c-Delta_c*V81</f>
        <v>6.31679309208033</v>
      </c>
      <c r="X81" s="11" t="n">
        <f aca="false">(-(Cost_k*Ubar_c+Delay_D)+W81/$W$5*X82)/(Rho_a+W81/$W$5)</f>
        <v>-372.909195595815</v>
      </c>
      <c r="Y81" s="11" t="n">
        <f aca="false">MAX(X81,-Delay_D/Rho_a)</f>
        <v>-335.745877992226</v>
      </c>
      <c r="Z81" s="11" t="n">
        <f aca="false">IF(V81&lt;Floor_F,MAX((-(Cost_k*Ubar_c+Delay_D)*(1-EXP(-Rho_a*LN((Top_c-V81)/(Top_c-Floor_F))/Delta_c))/Rho_a+EXP(-Rho_a*LN((Top_c-V81)/(Top_c-Floor_F))/Delta_c)*(-Cost_k*Delta_c*Floor_F/Rho_a)),(-Delay_D/Rho_a)),(EXP(-Rho_a*LN(V81/Floor_F)/Delta_c)*(-Cost_k*Delta_c*Floor_F/Rho_a)))</f>
        <v>-335.745877992226</v>
      </c>
      <c r="AA81" s="22" t="n">
        <f aca="false">ABS(Y81-Z81)</f>
        <v>0</v>
      </c>
      <c r="AC81" s="17" t="n">
        <f aca="false">30+61*$AD$5</f>
        <v>33.8125</v>
      </c>
      <c r="AD81" s="17" t="n">
        <f aca="false">Ubar_c-Delta_c*AC81</f>
        <v>6.70288966384075</v>
      </c>
      <c r="AE81" s="11" t="n">
        <f aca="false">(-(Cost_k*Ubar_c+Delay_D)+AD81/$AD$5*AE82)/(Rho_a+AD81/$AD$5)</f>
        <v>-394.081373953039</v>
      </c>
      <c r="AF81" s="11" t="n">
        <f aca="false">MAX(AE81,-Delay_D/Rho_a)</f>
        <v>-335.745877992226</v>
      </c>
      <c r="AG81" s="11" t="n">
        <f aca="false">IF(AC81&lt;Floor_F,MAX((-(Cost_k*Ubar_c+Delay_D)*(1-EXP(-Rho_a*LN((Top_c-AC81)/(Top_c-Floor_F))/Delta_c))/Rho_a+EXP(-Rho_a*LN((Top_c-AC81)/(Top_c-Floor_F))/Delta_c)*(-Cost_k*Delta_c*Floor_F/Rho_a)),(-Delay_D/Rho_a)),(EXP(-Rho_a*LN(AC81/Floor_F)/Delta_c)*(-Cost_k*Delta_c*Floor_F/Rho_a)))</f>
        <v>-335.745877992226</v>
      </c>
      <c r="AH81" s="22" t="n">
        <f aca="false">ABS(AF81-AG81)</f>
        <v>0</v>
      </c>
    </row>
    <row r="82" customFormat="false" ht="15" hidden="false" customHeight="false" outlineLevel="0" collapsed="false">
      <c r="H82" s="17" t="n">
        <f aca="false">30+62*$I$5</f>
        <v>61</v>
      </c>
      <c r="I82" s="17" t="n">
        <f aca="false">-Delta_c*H82</f>
        <v>-6.17754514816674</v>
      </c>
      <c r="K82" s="11" t="n">
        <f aca="false">(-I82/$I$5*K81)/(Rho_a-I82/$I$5)</f>
        <v>-212.227183508323</v>
      </c>
      <c r="L82" s="11" t="n">
        <f aca="false">IF(H82&lt;Floor_F,MAX((-(Cost_k*Ubar_c+Delay_D)*(1-EXP(-Rho_a*LN((Top_c-H82)/(Top_c-Floor_F))/Delta_c))/Rho_a+EXP(-Rho_a*LN((Top_c-H82)/(Top_c-Floor_F))/Delta_c)*(-Cost_k*Delta_c*Floor_F/Rho_a)),(-Delay_D/Rho_a)),(EXP(-Rho_a*LN(H82/Floor_F)/Delta_c)*(-Cost_k*Delta_c*Floor_F/Rho_a)))</f>
        <v>-212.055336740068</v>
      </c>
      <c r="M82" s="22" t="n">
        <f aca="false">ABS(K82-L82)</f>
        <v>0.171846768254881</v>
      </c>
      <c r="O82" s="17" t="n">
        <f aca="false">30+62*$P$5</f>
        <v>45.5</v>
      </c>
      <c r="P82" s="17" t="n">
        <f aca="false">Ubar_c-Delta_c*O82</f>
        <v>5.5192821405752</v>
      </c>
      <c r="Q82" s="11" t="n">
        <f aca="false">(-(Cost_k*Ubar_c+Delay_D)+P82/$P$5*Q83)/(Rho_a+P82/$P$5)</f>
        <v>-320.301395886576</v>
      </c>
      <c r="R82" s="11" t="n">
        <f aca="false">MAX(Q82,-Delay_D/Rho_a)</f>
        <v>-320.301395886576</v>
      </c>
      <c r="S82" s="11" t="n">
        <f aca="false">IF(O82&lt;Floor_F,MAX((-(Cost_k*Ubar_c+Delay_D)*(1-EXP(-Rho_a*LN((Top_c-O82)/(Top_c-Floor_F))/Delta_c))/Rho_a+EXP(-Rho_a*LN((Top_c-O82)/(Top_c-Floor_F))/Delta_c)*(-Cost_k*Delta_c*Floor_F/Rho_a)),(-Delay_D/Rho_a)),(EXP(-Rho_a*LN(O82/Floor_F)/Delta_c)*(-Cost_k*Delta_c*Floor_F/Rho_a)))</f>
        <v>-320.688957235092</v>
      </c>
      <c r="T82" s="22" t="n">
        <f aca="false">ABS(R82-S82)</f>
        <v>0.387561348515419</v>
      </c>
      <c r="V82" s="17" t="n">
        <f aca="false">30+62*$W$5</f>
        <v>37.75</v>
      </c>
      <c r="W82" s="17" t="n">
        <f aca="false">Ubar_c-Delta_c*V82</f>
        <v>6.30413418808819</v>
      </c>
      <c r="X82" s="11" t="n">
        <f aca="false">(-(Cost_k*Ubar_c+Delay_D)+W82/$W$5*X83)/(Rho_a+W82/$W$5)</f>
        <v>-372.177684175521</v>
      </c>
      <c r="Y82" s="11" t="n">
        <f aca="false">MAX(X82,-Delay_D/Rho_a)</f>
        <v>-335.745877992226</v>
      </c>
      <c r="Z82" s="11" t="n">
        <f aca="false">IF(V82&lt;Floor_F,MAX((-(Cost_k*Ubar_c+Delay_D)*(1-EXP(-Rho_a*LN((Top_c-V82)/(Top_c-Floor_F))/Delta_c))/Rho_a+EXP(-Rho_a*LN((Top_c-V82)/(Top_c-Floor_F))/Delta_c)*(-Cost_k*Delta_c*Floor_F/Rho_a)),(-Delay_D/Rho_a)),(EXP(-Rho_a*LN(V82/Floor_F)/Delta_c)*(-Cost_k*Delta_c*Floor_F/Rho_a)))</f>
        <v>-335.745877992226</v>
      </c>
      <c r="AA82" s="22" t="n">
        <f aca="false">ABS(Y82-Z82)</f>
        <v>0</v>
      </c>
      <c r="AC82" s="17" t="n">
        <f aca="false">30+62*$AD$5</f>
        <v>33.875</v>
      </c>
      <c r="AD82" s="17" t="n">
        <f aca="false">Ubar_c-Delta_c*AC82</f>
        <v>6.69656021184468</v>
      </c>
      <c r="AE82" s="11" t="n">
        <f aca="false">(-(Cost_k*Ubar_c+Delay_D)+AD82/$AD$5*AE83)/(Rho_a+AD82/$AD$5)</f>
        <v>-393.755502128362</v>
      </c>
      <c r="AF82" s="11" t="n">
        <f aca="false">MAX(AE82,-Delay_D/Rho_a)</f>
        <v>-335.745877992226</v>
      </c>
      <c r="AG82" s="11" t="n">
        <f aca="false">IF(AC82&lt;Floor_F,MAX((-(Cost_k*Ubar_c+Delay_D)*(1-EXP(-Rho_a*LN((Top_c-AC82)/(Top_c-Floor_F))/Delta_c))/Rho_a+EXP(-Rho_a*LN((Top_c-AC82)/(Top_c-Floor_F))/Delta_c)*(-Cost_k*Delta_c*Floor_F/Rho_a)),(-Delay_D/Rho_a)),(EXP(-Rho_a*LN(AC82/Floor_F)/Delta_c)*(-Cost_k*Delta_c*Floor_F/Rho_a)))</f>
        <v>-335.745877992226</v>
      </c>
      <c r="AH82" s="22" t="n">
        <f aca="false">ABS(AF82-AG82)</f>
        <v>0</v>
      </c>
    </row>
    <row r="83" customFormat="false" ht="15" hidden="false" customHeight="false" outlineLevel="0" collapsed="false">
      <c r="H83" s="17" t="n">
        <f aca="false">30+63*$I$5</f>
        <v>61.5</v>
      </c>
      <c r="I83" s="17" t="n">
        <f aca="false">-Delta_c*H83</f>
        <v>-6.22818076413532</v>
      </c>
      <c r="K83" s="11" t="n">
        <f aca="false">(-I83/$I$5*K82)/(Rho_a-I83/$I$5)</f>
        <v>-210.615652272485</v>
      </c>
      <c r="L83" s="11" t="n">
        <f aca="false">IF(H83&lt;Floor_F,MAX((-(Cost_k*Ubar_c+Delay_D)*(1-EXP(-Rho_a*LN((Top_c-H83)/(Top_c-Floor_F))/Delta_c))/Rho_a+EXP(-Rho_a*LN((Top_c-H83)/(Top_c-Floor_F))/Delta_c)*(-Cost_k*Delta_c*Floor_F/Rho_a)),(-Delay_D/Rho_a)),(EXP(-Rho_a*LN(H83/Floor_F)/Delta_c)*(-Cost_k*Delta_c*Floor_F/Rho_a)))</f>
        <v>-210.432400362814</v>
      </c>
      <c r="M83" s="22" t="n">
        <f aca="false">ABS(K83-L83)</f>
        <v>0.1832519096711</v>
      </c>
      <c r="O83" s="17" t="n">
        <f aca="false">30+63*$P$5</f>
        <v>45.75</v>
      </c>
      <c r="P83" s="17" t="n">
        <f aca="false">Ubar_c-Delta_c*O83</f>
        <v>5.49396433259091</v>
      </c>
      <c r="Q83" s="11" t="n">
        <f aca="false">(-(Cost_k*Ubar_c+Delay_D)+P83/$P$5*Q84)/(Rho_a+P83/$P$5)</f>
        <v>-318.399857422329</v>
      </c>
      <c r="R83" s="11" t="n">
        <f aca="false">MAX(Q83,-Delay_D/Rho_a)</f>
        <v>-318.399857422329</v>
      </c>
      <c r="S83" s="11" t="n">
        <f aca="false">IF(O83&lt;Floor_F,MAX((-(Cost_k*Ubar_c+Delay_D)*(1-EXP(-Rho_a*LN((Top_c-O83)/(Top_c-Floor_F))/Delta_c))/Rho_a+EXP(-Rho_a*LN((Top_c-O83)/(Top_c-Floor_F))/Delta_c)*(-Cost_k*Delta_c*Floor_F/Rho_a)),(-Delay_D/Rho_a)),(EXP(-Rho_a*LN(O83/Floor_F)/Delta_c)*(-Cost_k*Delta_c*Floor_F/Rho_a)))</f>
        <v>-318.780595230963</v>
      </c>
      <c r="T83" s="22" t="n">
        <f aca="false">ABS(R83-S83)</f>
        <v>0.380737808634194</v>
      </c>
      <c r="V83" s="17" t="n">
        <f aca="false">30+63*$W$5</f>
        <v>37.875</v>
      </c>
      <c r="W83" s="17" t="n">
        <f aca="false">Ubar_c-Delta_c*V83</f>
        <v>6.29147528409604</v>
      </c>
      <c r="X83" s="11" t="n">
        <f aca="false">(-(Cost_k*Ubar_c+Delay_D)+W83/$W$5*X84)/(Rho_a+W83/$W$5)</f>
        <v>-371.443321421018</v>
      </c>
      <c r="Y83" s="11" t="n">
        <f aca="false">MAX(X83,-Delay_D/Rho_a)</f>
        <v>-335.745877992226</v>
      </c>
      <c r="Z83" s="11" t="n">
        <f aca="false">IF(V83&lt;Floor_F,MAX((-(Cost_k*Ubar_c+Delay_D)*(1-EXP(-Rho_a*LN((Top_c-V83)/(Top_c-Floor_F))/Delta_c))/Rho_a+EXP(-Rho_a*LN((Top_c-V83)/(Top_c-Floor_F))/Delta_c)*(-Cost_k*Delta_c*Floor_F/Rho_a)),(-Delay_D/Rho_a)),(EXP(-Rho_a*LN(V83/Floor_F)/Delta_c)*(-Cost_k*Delta_c*Floor_F/Rho_a)))</f>
        <v>-335.745877992226</v>
      </c>
      <c r="AA83" s="22" t="n">
        <f aca="false">ABS(Y83-Z83)</f>
        <v>0</v>
      </c>
      <c r="AC83" s="17" t="n">
        <f aca="false">30+63*$AD$5</f>
        <v>33.9375</v>
      </c>
      <c r="AD83" s="17" t="n">
        <f aca="false">Ubar_c-Delta_c*AC83</f>
        <v>6.69023075984861</v>
      </c>
      <c r="AE83" s="11" t="n">
        <f aca="false">(-(Cost_k*Ubar_c+Delay_D)+AD83/$AD$5*AE84)/(Rho_a+AD83/$AD$5)</f>
        <v>-393.4290324189</v>
      </c>
      <c r="AF83" s="11" t="n">
        <f aca="false">MAX(AE83,-Delay_D/Rho_a)</f>
        <v>-335.745877992226</v>
      </c>
      <c r="AG83" s="11" t="n">
        <f aca="false">IF(AC83&lt;Floor_F,MAX((-(Cost_k*Ubar_c+Delay_D)*(1-EXP(-Rho_a*LN((Top_c-AC83)/(Top_c-Floor_F))/Delta_c))/Rho_a+EXP(-Rho_a*LN((Top_c-AC83)/(Top_c-Floor_F))/Delta_c)*(-Cost_k*Delta_c*Floor_F/Rho_a)),(-Delay_D/Rho_a)),(EXP(-Rho_a*LN(AC83/Floor_F)/Delta_c)*(-Cost_k*Delta_c*Floor_F/Rho_a)))</f>
        <v>-335.745877992226</v>
      </c>
      <c r="AH83" s="22" t="n">
        <f aca="false">ABS(AF83-AG83)</f>
        <v>0</v>
      </c>
    </row>
    <row r="84" customFormat="false" ht="15" hidden="false" customHeight="false" outlineLevel="0" collapsed="false">
      <c r="H84" s="17" t="n">
        <f aca="false">30+64*$I$5</f>
        <v>62</v>
      </c>
      <c r="I84" s="17" t="n">
        <f aca="false">-Delta_c*H84</f>
        <v>-6.27881638010389</v>
      </c>
      <c r="K84" s="11" t="n">
        <f aca="false">(-I84/$I$5*K83)/(Rho_a-I84/$I$5)</f>
        <v>-209.029158459712</v>
      </c>
      <c r="L84" s="11" t="n">
        <f aca="false">IF(H84&lt;Floor_F,MAX((-(Cost_k*Ubar_c+Delay_D)*(1-EXP(-Rho_a*LN((Top_c-H84)/(Top_c-Floor_F))/Delta_c))/Rho_a+EXP(-Rho_a*LN((Top_c-H84)/(Top_c-Floor_F))/Delta_c)*(-Cost_k*Delta_c*Floor_F/Rho_a)),(-Delay_D/Rho_a)),(EXP(-Rho_a*LN(H84/Floor_F)/Delta_c)*(-Cost_k*Delta_c*Floor_F/Rho_a)))</f>
        <v>-208.834876033629</v>
      </c>
      <c r="M84" s="22" t="n">
        <f aca="false">ABS(K84-L84)</f>
        <v>0.194282426083305</v>
      </c>
      <c r="O84" s="17" t="n">
        <f aca="false">30+64*$P$5</f>
        <v>46</v>
      </c>
      <c r="P84" s="17" t="n">
        <f aca="false">Ubar_c-Delta_c*O84</f>
        <v>5.46864652460662</v>
      </c>
      <c r="Q84" s="11" t="n">
        <f aca="false">(-(Cost_k*Ubar_c+Delay_D)+P84/$P$5*Q85)/(Rho_a+P84/$P$5)</f>
        <v>-316.481309058984</v>
      </c>
      <c r="R84" s="11" t="n">
        <f aca="false">MAX(Q84,-Delay_D/Rho_a)</f>
        <v>-316.481309058984</v>
      </c>
      <c r="S84" s="11" t="n">
        <f aca="false">IF(O84&lt;Floor_F,MAX((-(Cost_k*Ubar_c+Delay_D)*(1-EXP(-Rho_a*LN((Top_c-O84)/(Top_c-Floor_F))/Delta_c))/Rho_a+EXP(-Rho_a*LN((Top_c-O84)/(Top_c-Floor_F))/Delta_c)*(-Cost_k*Delta_c*Floor_F/Rho_a)),(-Delay_D/Rho_a)),(EXP(-Rho_a*LN(O84/Floor_F)/Delta_c)*(-Cost_k*Delta_c*Floor_F/Rho_a)))</f>
        <v>-316.855085587942</v>
      </c>
      <c r="T84" s="22" t="n">
        <f aca="false">ABS(R84-S84)</f>
        <v>0.373776528957819</v>
      </c>
      <c r="V84" s="17" t="n">
        <f aca="false">30+64*$W$5</f>
        <v>38</v>
      </c>
      <c r="W84" s="17" t="n">
        <f aca="false">Ubar_c-Delta_c*V84</f>
        <v>6.2788163801039</v>
      </c>
      <c r="X84" s="11" t="n">
        <f aca="false">(-(Cost_k*Ubar_c+Delay_D)+W84/$W$5*X85)/(Rho_a+W84/$W$5)</f>
        <v>-370.706090458733</v>
      </c>
      <c r="Y84" s="11" t="n">
        <f aca="false">MAX(X84,-Delay_D/Rho_a)</f>
        <v>-335.745877992226</v>
      </c>
      <c r="Z84" s="11" t="n">
        <f aca="false">IF(V84&lt;Floor_F,MAX((-(Cost_k*Ubar_c+Delay_D)*(1-EXP(-Rho_a*LN((Top_c-V84)/(Top_c-Floor_F))/Delta_c))/Rho_a+EXP(-Rho_a*LN((Top_c-V84)/(Top_c-Floor_F))/Delta_c)*(-Cost_k*Delta_c*Floor_F/Rho_a)),(-Delay_D/Rho_a)),(EXP(-Rho_a*LN(V84/Floor_F)/Delta_c)*(-Cost_k*Delta_c*Floor_F/Rho_a)))</f>
        <v>-335.745877992226</v>
      </c>
      <c r="AA84" s="22" t="n">
        <f aca="false">ABS(Y84-Z84)</f>
        <v>0</v>
      </c>
      <c r="AC84" s="17" t="n">
        <f aca="false">30+64*$AD$5</f>
        <v>34</v>
      </c>
      <c r="AD84" s="17" t="n">
        <f aca="false">Ubar_c-Delta_c*AC84</f>
        <v>6.68390130785253</v>
      </c>
      <c r="AE84" s="11" t="n">
        <f aca="false">(-(Cost_k*Ubar_c+Delay_D)+AD84/$AD$5*AE85)/(Rho_a+AD84/$AD$5)</f>
        <v>-393.101963161019</v>
      </c>
      <c r="AF84" s="11" t="n">
        <f aca="false">MAX(AE84,-Delay_D/Rho_a)</f>
        <v>-335.745877992226</v>
      </c>
      <c r="AG84" s="11" t="n">
        <f aca="false">IF(AC84&lt;Floor_F,MAX((-(Cost_k*Ubar_c+Delay_D)*(1-EXP(-Rho_a*LN((Top_c-AC84)/(Top_c-Floor_F))/Delta_c))/Rho_a+EXP(-Rho_a*LN((Top_c-AC84)/(Top_c-Floor_F))/Delta_c)*(-Cost_k*Delta_c*Floor_F/Rho_a)),(-Delay_D/Rho_a)),(EXP(-Rho_a*LN(AC84/Floor_F)/Delta_c)*(-Cost_k*Delta_c*Floor_F/Rho_a)))</f>
        <v>-335.745877992226</v>
      </c>
      <c r="AH84" s="22" t="n">
        <f aca="false">ABS(AF84-AG84)</f>
        <v>0</v>
      </c>
    </row>
    <row r="85" customFormat="false" ht="15" hidden="false" customHeight="false" outlineLevel="0" collapsed="false">
      <c r="H85" s="17" t="n">
        <f aca="false">30+65*$I$5</f>
        <v>62.5</v>
      </c>
      <c r="I85" s="17" t="n">
        <f aca="false">-Delta_c*H85</f>
        <v>-6.32945199607247</v>
      </c>
      <c r="K85" s="11" t="n">
        <f aca="false">(-I85/$I$5*K84)/(Rho_a-I85/$I$5)</f>
        <v>-207.467117364232</v>
      </c>
      <c r="L85" s="11" t="n">
        <f aca="false">IF(H85&lt;Floor_F,MAX((-(Cost_k*Ubar_c+Delay_D)*(1-EXP(-Rho_a*LN((Top_c-H85)/(Top_c-Floor_F))/Delta_c))/Rho_a+EXP(-Rho_a*LN((Top_c-H85)/(Top_c-Floor_F))/Delta_c)*(-Cost_k*Delta_c*Floor_F/Rho_a)),(-Delay_D/Rho_a)),(EXP(-Rho_a*LN(H85/Floor_F)/Delta_c)*(-Cost_k*Delta_c*Floor_F/Rho_a)))</f>
        <v>-207.262165688278</v>
      </c>
      <c r="M85" s="22" t="n">
        <f aca="false">ABS(K85-L85)</f>
        <v>0.204951675953453</v>
      </c>
      <c r="O85" s="17" t="n">
        <f aca="false">30+65*$P$5</f>
        <v>46.25</v>
      </c>
      <c r="P85" s="17" t="n">
        <f aca="false">Ubar_c-Delta_c*O85</f>
        <v>5.44332871662233</v>
      </c>
      <c r="Q85" s="11" t="n">
        <f aca="false">(-(Cost_k*Ubar_c+Delay_D)+P85/$P$5*Q86)/(Rho_a+P85/$P$5)</f>
        <v>-314.545519183317</v>
      </c>
      <c r="R85" s="11" t="n">
        <f aca="false">MAX(Q85,-Delay_D/Rho_a)</f>
        <v>-314.545519183317</v>
      </c>
      <c r="S85" s="11" t="n">
        <f aca="false">IF(O85&lt;Floor_F,MAX((-(Cost_k*Ubar_c+Delay_D)*(1-EXP(-Rho_a*LN((Top_c-O85)/(Top_c-Floor_F))/Delta_c))/Rho_a+EXP(-Rho_a*LN((Top_c-O85)/(Top_c-Floor_F))/Delta_c)*(-Cost_k*Delta_c*Floor_F/Rho_a)),(-Delay_D/Rho_a)),(EXP(-Rho_a*LN(O85/Floor_F)/Delta_c)*(-Cost_k*Delta_c*Floor_F/Rho_a)))</f>
        <v>-314.912193763301</v>
      </c>
      <c r="T85" s="22" t="n">
        <f aca="false">ABS(R85-S85)</f>
        <v>0.366674579983851</v>
      </c>
      <c r="V85" s="17" t="n">
        <f aca="false">30+65*$W$5</f>
        <v>38.125</v>
      </c>
      <c r="W85" s="17" t="n">
        <f aca="false">Ubar_c-Delta_c*V85</f>
        <v>6.26615747611175</v>
      </c>
      <c r="X85" s="11" t="n">
        <f aca="false">(-(Cost_k*Ubar_c+Delay_D)+W85/$W$5*X86)/(Rho_a+W85/$W$5)</f>
        <v>-369.965974281015</v>
      </c>
      <c r="Y85" s="11" t="n">
        <f aca="false">MAX(X85,-Delay_D/Rho_a)</f>
        <v>-335.745877992226</v>
      </c>
      <c r="Z85" s="11" t="n">
        <f aca="false">IF(V85&lt;Floor_F,MAX((-(Cost_k*Ubar_c+Delay_D)*(1-EXP(-Rho_a*LN((Top_c-V85)/(Top_c-Floor_F))/Delta_c))/Rho_a+EXP(-Rho_a*LN((Top_c-V85)/(Top_c-Floor_F))/Delta_c)*(-Cost_k*Delta_c*Floor_F/Rho_a)),(-Delay_D/Rho_a)),(EXP(-Rho_a*LN(V85/Floor_F)/Delta_c)*(-Cost_k*Delta_c*Floor_F/Rho_a)))</f>
        <v>-335.745877992226</v>
      </c>
      <c r="AA85" s="22" t="n">
        <f aca="false">ABS(Y85-Z85)</f>
        <v>0</v>
      </c>
      <c r="AC85" s="17" t="n">
        <f aca="false">30+65*$AD$5</f>
        <v>34.0625</v>
      </c>
      <c r="AD85" s="17" t="n">
        <f aca="false">Ubar_c-Delta_c*AC85</f>
        <v>6.67757185585646</v>
      </c>
      <c r="AE85" s="11" t="n">
        <f aca="false">(-(Cost_k*Ubar_c+Delay_D)+AD85/$AD$5*AE86)/(Rho_a+AD85/$AD$5)</f>
        <v>-392.774292684877</v>
      </c>
      <c r="AF85" s="11" t="n">
        <f aca="false">MAX(AE85,-Delay_D/Rho_a)</f>
        <v>-335.745877992226</v>
      </c>
      <c r="AG85" s="11" t="n">
        <f aca="false">IF(AC85&lt;Floor_F,MAX((-(Cost_k*Ubar_c+Delay_D)*(1-EXP(-Rho_a*LN((Top_c-AC85)/(Top_c-Floor_F))/Delta_c))/Rho_a+EXP(-Rho_a*LN((Top_c-AC85)/(Top_c-Floor_F))/Delta_c)*(-Cost_k*Delta_c*Floor_F/Rho_a)),(-Delay_D/Rho_a)),(EXP(-Rho_a*LN(AC85/Floor_F)/Delta_c)*(-Cost_k*Delta_c*Floor_F/Rho_a)))</f>
        <v>-335.745877992226</v>
      </c>
      <c r="AH85" s="22" t="n">
        <f aca="false">ABS(AF85-AG85)</f>
        <v>0</v>
      </c>
    </row>
    <row r="86" customFormat="false" ht="15" hidden="false" customHeight="false" outlineLevel="0" collapsed="false">
      <c r="H86" s="17" t="n">
        <f aca="false">30+66*$I$5</f>
        <v>63</v>
      </c>
      <c r="I86" s="17" t="n">
        <f aca="false">-Delta_c*H86</f>
        <v>-6.38008761204105</v>
      </c>
      <c r="K86" s="11" t="n">
        <f aca="false">(-I86/$I$5*K85)/(Rho_a-I86/$I$5)</f>
        <v>-205.928962433614</v>
      </c>
      <c r="L86" s="11" t="n">
        <f aca="false">IF(H86&lt;Floor_F,MAX((-(Cost_k*Ubar_c+Delay_D)*(1-EXP(-Rho_a*LN((Top_c-H86)/(Top_c-Floor_F))/Delta_c))/Rho_a+EXP(-Rho_a*LN((Top_c-H86)/(Top_c-Floor_F))/Delta_c)*(-Cost_k*Delta_c*Floor_F/Rho_a)),(-Delay_D/Rho_a)),(EXP(-Rho_a*LN(H86/Floor_F)/Delta_c)*(-Cost_k*Delta_c*Floor_F/Rho_a)))</f>
        <v>-205.713689973701</v>
      </c>
      <c r="M86" s="22" t="n">
        <f aca="false">ABS(K86-L86)</f>
        <v>0.215272459912654</v>
      </c>
      <c r="O86" s="17" t="n">
        <f aca="false">30+66*$P$5</f>
        <v>46.5</v>
      </c>
      <c r="P86" s="17" t="n">
        <f aca="false">Ubar_c-Delta_c*O86</f>
        <v>5.41801090863804</v>
      </c>
      <c r="Q86" s="11" t="n">
        <f aca="false">(-(Cost_k*Ubar_c+Delay_D)+P86/$P$5*Q87)/(Rho_a+P86/$P$5)</f>
        <v>-312.592251936431</v>
      </c>
      <c r="R86" s="11" t="n">
        <f aca="false">MAX(Q86,-Delay_D/Rho_a)</f>
        <v>-312.592251936431</v>
      </c>
      <c r="S86" s="11" t="n">
        <f aca="false">IF(O86&lt;Floor_F,MAX((-(Cost_k*Ubar_c+Delay_D)*(1-EXP(-Rho_a*LN((Top_c-O86)/(Top_c-Floor_F))/Delta_c))/Rho_a+EXP(-Rho_a*LN((Top_c-O86)/(Top_c-Floor_F))/Delta_c)*(-Cost_k*Delta_c*Floor_F/Rho_a)),(-Delay_D/Rho_a)),(EXP(-Rho_a*LN(O86/Floor_F)/Delta_c)*(-Cost_k*Delta_c*Floor_F/Rho_a)))</f>
        <v>-312.951680895442</v>
      </c>
      <c r="T86" s="22" t="n">
        <f aca="false">ABS(R86-S86)</f>
        <v>0.359428959010813</v>
      </c>
      <c r="V86" s="17" t="n">
        <f aca="false">30+66*$W$5</f>
        <v>38.25</v>
      </c>
      <c r="W86" s="17" t="n">
        <f aca="false">Ubar_c-Delta_c*V86</f>
        <v>6.25349857211961</v>
      </c>
      <c r="X86" s="11" t="n">
        <f aca="false">(-(Cost_k*Ubar_c+Delay_D)+W86/$W$5*X87)/(Rho_a+W86/$W$5)</f>
        <v>-369.222955744801</v>
      </c>
      <c r="Y86" s="11" t="n">
        <f aca="false">MAX(X86,-Delay_D/Rho_a)</f>
        <v>-335.745877992226</v>
      </c>
      <c r="Z86" s="11" t="n">
        <f aca="false">IF(V86&lt;Floor_F,MAX((-(Cost_k*Ubar_c+Delay_D)*(1-EXP(-Rho_a*LN((Top_c-V86)/(Top_c-Floor_F))/Delta_c))/Rho_a+EXP(-Rho_a*LN((Top_c-V86)/(Top_c-Floor_F))/Delta_c)*(-Cost_k*Delta_c*Floor_F/Rho_a)),(-Delay_D/Rho_a)),(EXP(-Rho_a*LN(V86/Floor_F)/Delta_c)*(-Cost_k*Delta_c*Floor_F/Rho_a)))</f>
        <v>-335.745877992226</v>
      </c>
      <c r="AA86" s="22" t="n">
        <f aca="false">ABS(Y86-Z86)</f>
        <v>0</v>
      </c>
      <c r="AC86" s="17" t="n">
        <f aca="false">30+66*$AD$5</f>
        <v>34.125</v>
      </c>
      <c r="AD86" s="17" t="n">
        <f aca="false">Ubar_c-Delta_c*AC86</f>
        <v>6.67124240386039</v>
      </c>
      <c r="AE86" s="11" t="n">
        <f aca="false">(-(Cost_k*Ubar_c+Delay_D)+AD86/$AD$5*AE87)/(Rho_a+AD86/$AD$5)</f>
        <v>-392.446019314391</v>
      </c>
      <c r="AF86" s="11" t="n">
        <f aca="false">MAX(AE86,-Delay_D/Rho_a)</f>
        <v>-335.745877992226</v>
      </c>
      <c r="AG86" s="11" t="n">
        <f aca="false">IF(AC86&lt;Floor_F,MAX((-(Cost_k*Ubar_c+Delay_D)*(1-EXP(-Rho_a*LN((Top_c-AC86)/(Top_c-Floor_F))/Delta_c))/Rho_a+EXP(-Rho_a*LN((Top_c-AC86)/(Top_c-Floor_F))/Delta_c)*(-Cost_k*Delta_c*Floor_F/Rho_a)),(-Delay_D/Rho_a)),(EXP(-Rho_a*LN(AC86/Floor_F)/Delta_c)*(-Cost_k*Delta_c*Floor_F/Rho_a)))</f>
        <v>-335.745877992226</v>
      </c>
      <c r="AH86" s="22" t="n">
        <f aca="false">ABS(AF86-AG86)</f>
        <v>0</v>
      </c>
    </row>
    <row r="87" customFormat="false" ht="15" hidden="false" customHeight="false" outlineLevel="0" collapsed="false">
      <c r="H87" s="17" t="n">
        <f aca="false">30+67*$I$5</f>
        <v>63.5</v>
      </c>
      <c r="I87" s="17" t="n">
        <f aca="false">-Delta_c*H87</f>
        <v>-6.43072322800963</v>
      </c>
      <c r="K87" s="11" t="n">
        <f aca="false">(-I87/$I$5*K86)/(Rho_a-I87/$I$5)</f>
        <v>-204.414144567683</v>
      </c>
      <c r="L87" s="11" t="n">
        <f aca="false">IF(H87&lt;Floor_F,MAX((-(Cost_k*Ubar_c+Delay_D)*(1-EXP(-Rho_a*LN((Top_c-H87)/(Top_c-Floor_F))/Delta_c))/Rho_a+EXP(-Rho_a*LN((Top_c-H87)/(Top_c-Floor_F))/Delta_c)*(-Cost_k*Delta_c*Floor_F/Rho_a)),(-Delay_D/Rho_a)),(EXP(-Rho_a*LN(H87/Floor_F)/Delta_c)*(-Cost_k*Delta_c*Floor_F/Rho_a)))</f>
        <v>-204.188887519853</v>
      </c>
      <c r="M87" s="22" t="n">
        <f aca="false">ABS(K87-L87)</f>
        <v>0.225257047830041</v>
      </c>
      <c r="O87" s="17" t="n">
        <f aca="false">30+67*$P$5</f>
        <v>46.75</v>
      </c>
      <c r="P87" s="17" t="n">
        <f aca="false">Ubar_c-Delta_c*O87</f>
        <v>5.39269310065375</v>
      </c>
      <c r="Q87" s="11" t="n">
        <f aca="false">(-(Cost_k*Ubar_c+Delay_D)+P87/$P$5*Q88)/(Rho_a+P87/$P$5)</f>
        <v>-310.621267115726</v>
      </c>
      <c r="R87" s="11" t="n">
        <f aca="false">MAX(Q87,-Delay_D/Rho_a)</f>
        <v>-310.621267115726</v>
      </c>
      <c r="S87" s="11" t="n">
        <f aca="false">IF(O87&lt;Floor_F,MAX((-(Cost_k*Ubar_c+Delay_D)*(1-EXP(-Rho_a*LN((Top_c-O87)/(Top_c-Floor_F))/Delta_c))/Rho_a+EXP(-Rho_a*LN((Top_c-O87)/(Top_c-Floor_F))/Delta_c)*(-Cost_k*Delta_c*Floor_F/Rho_a)),(-Delay_D/Rho_a)),(EXP(-Rho_a*LN(O87/Floor_F)/Delta_c)*(-Cost_k*Delta_c*Floor_F/Rho_a)))</f>
        <v>-310.973303703719</v>
      </c>
      <c r="T87" s="22" t="n">
        <f aca="false">ABS(R87-S87)</f>
        <v>0.352036587993211</v>
      </c>
      <c r="V87" s="17" t="n">
        <f aca="false">30+67*$W$5</f>
        <v>38.375</v>
      </c>
      <c r="W87" s="17" t="n">
        <f aca="false">Ubar_c-Delta_c*V87</f>
        <v>6.24083966812746</v>
      </c>
      <c r="X87" s="11" t="n">
        <f aca="false">(-(Cost_k*Ubar_c+Delay_D)+W87/$W$5*X88)/(Rho_a+W87/$W$5)</f>
        <v>-368.477017570263</v>
      </c>
      <c r="Y87" s="11" t="n">
        <f aca="false">MAX(X87,-Delay_D/Rho_a)</f>
        <v>-335.745877992226</v>
      </c>
      <c r="Z87" s="11" t="n">
        <f aca="false">IF(V87&lt;Floor_F,MAX((-(Cost_k*Ubar_c+Delay_D)*(1-EXP(-Rho_a*LN((Top_c-V87)/(Top_c-Floor_F))/Delta_c))/Rho_a+EXP(-Rho_a*LN((Top_c-V87)/(Top_c-Floor_F))/Delta_c)*(-Cost_k*Delta_c*Floor_F/Rho_a)),(-Delay_D/Rho_a)),(EXP(-Rho_a*LN(V87/Floor_F)/Delta_c)*(-Cost_k*Delta_c*Floor_F/Rho_a)))</f>
        <v>-335.745877992226</v>
      </c>
      <c r="AA87" s="22" t="n">
        <f aca="false">ABS(Y87-Z87)</f>
        <v>0</v>
      </c>
      <c r="AC87" s="17" t="n">
        <f aca="false">30+67*$AD$5</f>
        <v>34.1875</v>
      </c>
      <c r="AD87" s="17" t="n">
        <f aca="false">Ubar_c-Delta_c*AC87</f>
        <v>6.66491295186432</v>
      </c>
      <c r="AE87" s="11" t="n">
        <f aca="false">(-(Cost_k*Ubar_c+Delay_D)+AD87/$AD$5*AE88)/(Rho_a+AD87/$AD$5)</f>
        <v>-392.117141367213</v>
      </c>
      <c r="AF87" s="11" t="n">
        <f aca="false">MAX(AE87,-Delay_D/Rho_a)</f>
        <v>-335.745877992226</v>
      </c>
      <c r="AG87" s="11" t="n">
        <f aca="false">IF(AC87&lt;Floor_F,MAX((-(Cost_k*Ubar_c+Delay_D)*(1-EXP(-Rho_a*LN((Top_c-AC87)/(Top_c-Floor_F))/Delta_c))/Rho_a+EXP(-Rho_a*LN((Top_c-AC87)/(Top_c-Floor_F))/Delta_c)*(-Cost_k*Delta_c*Floor_F/Rho_a)),(-Delay_D/Rho_a)),(EXP(-Rho_a*LN(AC87/Floor_F)/Delta_c)*(-Cost_k*Delta_c*Floor_F/Rho_a)))</f>
        <v>-335.745877992226</v>
      </c>
      <c r="AH87" s="22" t="n">
        <f aca="false">ABS(AF87-AG87)</f>
        <v>0</v>
      </c>
    </row>
    <row r="88" customFormat="false" ht="15" hidden="false" customHeight="false" outlineLevel="0" collapsed="false">
      <c r="H88" s="17" t="n">
        <f aca="false">30+68*$I$5</f>
        <v>64</v>
      </c>
      <c r="I88" s="17" t="n">
        <f aca="false">-Delta_c*H88</f>
        <v>-6.48135884397821</v>
      </c>
      <c r="K88" s="11" t="n">
        <f aca="false">(-I88/$I$5*K87)/(Rho_a-I88/$I$5)</f>
        <v>-202.92213144973</v>
      </c>
      <c r="L88" s="11" t="n">
        <f aca="false">IF(H88&lt;Floor_F,MAX((-(Cost_k*Ubar_c+Delay_D)*(1-EXP(-Rho_a*LN((Top_c-H88)/(Top_c-Floor_F))/Delta_c))/Rho_a+EXP(-Rho_a*LN((Top_c-H88)/(Top_c-Floor_F))/Delta_c)*(-Cost_k*Delta_c*Floor_F/Rho_a)),(-Delay_D/Rho_a)),(EXP(-Rho_a*LN(H88/Floor_F)/Delta_c)*(-Cost_k*Delta_c*Floor_F/Rho_a)))</f>
        <v>-202.68721424535</v>
      </c>
      <c r="M88" s="22" t="n">
        <f aca="false">ABS(K88-L88)</f>
        <v>0.234917204379855</v>
      </c>
      <c r="O88" s="17" t="n">
        <f aca="false">30+68*$P$5</f>
        <v>47</v>
      </c>
      <c r="P88" s="17" t="n">
        <f aca="false">Ubar_c-Delta_c*O88</f>
        <v>5.36737529266946</v>
      </c>
      <c r="Q88" s="11" t="n">
        <f aca="false">(-(Cost_k*Ubar_c+Delay_D)+P88/$P$5*Q89)/(Rho_a+P88/$P$5)</f>
        <v>-308.632320074135</v>
      </c>
      <c r="R88" s="11" t="n">
        <f aca="false">MAX(Q88,-Delay_D/Rho_a)</f>
        <v>-308.632320074135</v>
      </c>
      <c r="S88" s="11" t="n">
        <f aca="false">IF(O88&lt;Floor_F,MAX((-(Cost_k*Ubar_c+Delay_D)*(1-EXP(-Rho_a*LN((Top_c-O88)/(Top_c-Floor_F))/Delta_c))/Rho_a+EXP(-Rho_a*LN((Top_c-O88)/(Top_c-Floor_F))/Delta_c)*(-Cost_k*Delta_c*Floor_F/Rho_a)),(-Delay_D/Rho_a)),(EXP(-Rho_a*LN(O88/Floor_F)/Delta_c)*(-Cost_k*Delta_c*Floor_F/Rho_a)))</f>
        <v>-308.97681438546</v>
      </c>
      <c r="T88" s="22" t="n">
        <f aca="false">ABS(R88-S88)</f>
        <v>0.34449431132515</v>
      </c>
      <c r="V88" s="17" t="n">
        <f aca="false">30+68*$W$5</f>
        <v>38.5</v>
      </c>
      <c r="W88" s="17" t="n">
        <f aca="false">Ubar_c-Delta_c*V88</f>
        <v>6.22818076413532</v>
      </c>
      <c r="X88" s="11" t="n">
        <f aca="false">(-(Cost_k*Ubar_c+Delay_D)+W88/$W$5*X89)/(Rho_a+W88/$W$5)</f>
        <v>-367.72814233943</v>
      </c>
      <c r="Y88" s="11" t="n">
        <f aca="false">MAX(X88,-Delay_D/Rho_a)</f>
        <v>-335.745877992226</v>
      </c>
      <c r="Z88" s="11" t="n">
        <f aca="false">IF(V88&lt;Floor_F,MAX((-(Cost_k*Ubar_c+Delay_D)*(1-EXP(-Rho_a*LN((Top_c-V88)/(Top_c-Floor_F))/Delta_c))/Rho_a+EXP(-Rho_a*LN((Top_c-V88)/(Top_c-Floor_F))/Delta_c)*(-Cost_k*Delta_c*Floor_F/Rho_a)),(-Delay_D/Rho_a)),(EXP(-Rho_a*LN(V88/Floor_F)/Delta_c)*(-Cost_k*Delta_c*Floor_F/Rho_a)))</f>
        <v>-335.745877992226</v>
      </c>
      <c r="AA88" s="22" t="n">
        <f aca="false">ABS(Y88-Z88)</f>
        <v>0</v>
      </c>
      <c r="AC88" s="17" t="n">
        <f aca="false">30+68*$AD$5</f>
        <v>34.25</v>
      </c>
      <c r="AD88" s="17" t="n">
        <f aca="false">Ubar_c-Delta_c*AC88</f>
        <v>6.65858349986824</v>
      </c>
      <c r="AE88" s="11" t="n">
        <f aca="false">(-(Cost_k*Ubar_c+Delay_D)+AD88/$AD$5*AE89)/(Rho_a+AD88/$AD$5)</f>
        <v>-391.787657154698</v>
      </c>
      <c r="AF88" s="11" t="n">
        <f aca="false">MAX(AE88,-Delay_D/Rho_a)</f>
        <v>-335.745877992226</v>
      </c>
      <c r="AG88" s="11" t="n">
        <f aca="false">IF(AC88&lt;Floor_F,MAX((-(Cost_k*Ubar_c+Delay_D)*(1-EXP(-Rho_a*LN((Top_c-AC88)/(Top_c-Floor_F))/Delta_c))/Rho_a+EXP(-Rho_a*LN((Top_c-AC88)/(Top_c-Floor_F))/Delta_c)*(-Cost_k*Delta_c*Floor_F/Rho_a)),(-Delay_D/Rho_a)),(EXP(-Rho_a*LN(AC88/Floor_F)/Delta_c)*(-Cost_k*Delta_c*Floor_F/Rho_a)))</f>
        <v>-335.745877992226</v>
      </c>
      <c r="AH88" s="22" t="n">
        <f aca="false">ABS(AF88-AG88)</f>
        <v>0</v>
      </c>
    </row>
    <row r="89" customFormat="false" ht="15" hidden="false" customHeight="false" outlineLevel="0" collapsed="false">
      <c r="H89" s="17" t="n">
        <f aca="false">30+69*$I$5</f>
        <v>64.5</v>
      </c>
      <c r="I89" s="17" t="n">
        <f aca="false">-Delta_c*H89</f>
        <v>-6.53199445994679</v>
      </c>
      <c r="K89" s="11" t="n">
        <f aca="false">(-I89/$I$5*K88)/(Rho_a-I89/$I$5)</f>
        <v>-201.452406908307</v>
      </c>
      <c r="L89" s="11" t="n">
        <f aca="false">IF(H89&lt;Floor_F,MAX((-(Cost_k*Ubar_c+Delay_D)*(1-EXP(-Rho_a*LN((Top_c-H89)/(Top_c-Floor_F))/Delta_c))/Rho_a+EXP(-Rho_a*LN((Top_c-H89)/(Top_c-Floor_F))/Delta_c)*(-Cost_k*Delta_c*Floor_F/Rho_a)),(-Delay_D/Rho_a)),(EXP(-Rho_a*LN(H89/Floor_F)/Delta_c)*(-Cost_k*Delta_c*Floor_F/Rho_a)))</f>
        <v>-201.208142695107</v>
      </c>
      <c r="M89" s="22" t="n">
        <f aca="false">ABS(K89-L89)</f>
        <v>0.244264213200523</v>
      </c>
      <c r="O89" s="17" t="n">
        <f aca="false">30+69*$P$5</f>
        <v>47.25</v>
      </c>
      <c r="P89" s="17" t="n">
        <f aca="false">Ubar_c-Delta_c*O89</f>
        <v>5.34205748468517</v>
      </c>
      <c r="Q89" s="11" t="n">
        <f aca="false">(-(Cost_k*Ubar_c+Delay_D)+P89/$P$5*Q90)/(Rho_a+P89/$P$5)</f>
        <v>-306.625161616535</v>
      </c>
      <c r="R89" s="11" t="n">
        <f aca="false">MAX(Q89,-Delay_D/Rho_a)</f>
        <v>-306.625161616535</v>
      </c>
      <c r="S89" s="11" t="n">
        <f aca="false">IF(O89&lt;Floor_F,MAX((-(Cost_k*Ubar_c+Delay_D)*(1-EXP(-Rho_a*LN((Top_c-O89)/(Top_c-Floor_F))/Delta_c))/Rho_a+EXP(-Rho_a*LN((Top_c-O89)/(Top_c-Floor_F))/Delta_c)*(-Cost_k*Delta_c*Floor_F/Rho_a)),(-Delay_D/Rho_a)),(EXP(-Rho_a*LN(O89/Floor_F)/Delta_c)*(-Cost_k*Delta_c*Floor_F/Rho_a)))</f>
        <v>-306.961960510082</v>
      </c>
      <c r="T89" s="22" t="n">
        <f aca="false">ABS(R89-S89)</f>
        <v>0.336798893547098</v>
      </c>
      <c r="V89" s="17" t="n">
        <f aca="false">30+69*$W$5</f>
        <v>38.625</v>
      </c>
      <c r="W89" s="17" t="n">
        <f aca="false">Ubar_c-Delta_c*V89</f>
        <v>6.21552186014317</v>
      </c>
      <c r="X89" s="11" t="n">
        <f aca="false">(-(Cost_k*Ubar_c+Delay_D)+W89/$W$5*X90)/(Rho_a+W89/$W$5)</f>
        <v>-366.976312494808</v>
      </c>
      <c r="Y89" s="11" t="n">
        <f aca="false">MAX(X89,-Delay_D/Rho_a)</f>
        <v>-335.745877992226</v>
      </c>
      <c r="Z89" s="11" t="n">
        <f aca="false">IF(V89&lt;Floor_F,MAX((-(Cost_k*Ubar_c+Delay_D)*(1-EXP(-Rho_a*LN((Top_c-V89)/(Top_c-Floor_F))/Delta_c))/Rho_a+EXP(-Rho_a*LN((Top_c-V89)/(Top_c-Floor_F))/Delta_c)*(-Cost_k*Delta_c*Floor_F/Rho_a)),(-Delay_D/Rho_a)),(EXP(-Rho_a*LN(V89/Floor_F)/Delta_c)*(-Cost_k*Delta_c*Floor_F/Rho_a)))</f>
        <v>-335.745877992226</v>
      </c>
      <c r="AA89" s="22" t="n">
        <f aca="false">ABS(Y89-Z89)</f>
        <v>0</v>
      </c>
      <c r="AC89" s="17" t="n">
        <f aca="false">30+69*$AD$5</f>
        <v>34.3125</v>
      </c>
      <c r="AD89" s="17" t="n">
        <f aca="false">Ubar_c-Delta_c*AC89</f>
        <v>6.65225404787217</v>
      </c>
      <c r="AE89" s="11" t="n">
        <f aca="false">(-(Cost_k*Ubar_c+Delay_D)+AD89/$AD$5*AE90)/(Rho_a+AD89/$AD$5)</f>
        <v>-391.457564981875</v>
      </c>
      <c r="AF89" s="11" t="n">
        <f aca="false">MAX(AE89,-Delay_D/Rho_a)</f>
        <v>-335.745877992226</v>
      </c>
      <c r="AG89" s="11" t="n">
        <f aca="false">IF(AC89&lt;Floor_F,MAX((-(Cost_k*Ubar_c+Delay_D)*(1-EXP(-Rho_a*LN((Top_c-AC89)/(Top_c-Floor_F))/Delta_c))/Rho_a+EXP(-Rho_a*LN((Top_c-AC89)/(Top_c-Floor_F))/Delta_c)*(-Cost_k*Delta_c*Floor_F/Rho_a)),(-Delay_D/Rho_a)),(EXP(-Rho_a*LN(AC89/Floor_F)/Delta_c)*(-Cost_k*Delta_c*Floor_F/Rho_a)))</f>
        <v>-335.745877992226</v>
      </c>
      <c r="AH89" s="22" t="n">
        <f aca="false">ABS(AF89-AG89)</f>
        <v>0</v>
      </c>
    </row>
    <row r="90" customFormat="false" ht="15" hidden="false" customHeight="false" outlineLevel="0" collapsed="false">
      <c r="H90" s="17" t="n">
        <f aca="false">30+70*$I$5</f>
        <v>65</v>
      </c>
      <c r="I90" s="17" t="n">
        <f aca="false">-Delta_c*H90</f>
        <v>-6.58263007591537</v>
      </c>
      <c r="K90" s="11" t="n">
        <f aca="false">(-I90/$I$5*K89)/(Rho_a-I90/$I$5)</f>
        <v>-200.004470307976</v>
      </c>
      <c r="L90" s="11" t="n">
        <f aca="false">IF(H90&lt;Floor_F,MAX((-(Cost_k*Ubar_c+Delay_D)*(1-EXP(-Rho_a*LN((Top_c-H90)/(Top_c-Floor_F))/Delta_c))/Rho_a+EXP(-Rho_a*LN((Top_c-H90)/(Top_c-Floor_F))/Delta_c)*(-Cost_k*Delta_c*Floor_F/Rho_a)),(-Delay_D/Rho_a)),(EXP(-Rho_a*LN(H90/Floor_F)/Delta_c)*(-Cost_k*Delta_c*Floor_F/Rho_a)))</f>
        <v>-199.751161408243</v>
      </c>
      <c r="M90" s="22" t="n">
        <f aca="false">ABS(K90-L90)</f>
        <v>0.253308899733156</v>
      </c>
      <c r="O90" s="17" t="n">
        <f aca="false">30+70*$P$5</f>
        <v>47.5</v>
      </c>
      <c r="P90" s="17" t="n">
        <f aca="false">Ubar_c-Delta_c*O90</f>
        <v>5.31673967670088</v>
      </c>
      <c r="Q90" s="11" t="n">
        <f aca="false">(-(Cost_k*Ubar_c+Delay_D)+P90/$P$5*Q91)/(Rho_a+P90/$P$5)</f>
        <v>-304.599537893243</v>
      </c>
      <c r="R90" s="11" t="n">
        <f aca="false">MAX(Q90,-Delay_D/Rho_a)</f>
        <v>-304.599537893243</v>
      </c>
      <c r="S90" s="11" t="n">
        <f aca="false">IF(O90&lt;Floor_F,MAX((-(Cost_k*Ubar_c+Delay_D)*(1-EXP(-Rho_a*LN((Top_c-O90)/(Top_c-Floor_F))/Delta_c))/Rho_a+EXP(-Rho_a*LN((Top_c-O90)/(Top_c-Floor_F))/Delta_c)*(-Cost_k*Delta_c*Floor_F/Rho_a)),(-Delay_D/Rho_a)),(EXP(-Rho_a*LN(O90/Floor_F)/Delta_c)*(-Cost_k*Delta_c*Floor_F/Rho_a)))</f>
        <v>-304.928484910219</v>
      </c>
      <c r="T90" s="22" t="n">
        <f aca="false">ABS(R90-S90)</f>
        <v>0.328947016975349</v>
      </c>
      <c r="V90" s="17" t="n">
        <f aca="false">30+70*$W$5</f>
        <v>38.75</v>
      </c>
      <c r="W90" s="17" t="n">
        <f aca="false">Ubar_c-Delta_c*V90</f>
        <v>6.20286295615103</v>
      </c>
      <c r="X90" s="11" t="n">
        <f aca="false">(-(Cost_k*Ubar_c+Delay_D)+W90/$W$5*X91)/(Rho_a+W90/$W$5)</f>
        <v>-366.221510337975</v>
      </c>
      <c r="Y90" s="11" t="n">
        <f aca="false">MAX(X90,-Delay_D/Rho_a)</f>
        <v>-335.745877992226</v>
      </c>
      <c r="Z90" s="11" t="n">
        <f aca="false">IF(V90&lt;Floor_F,MAX((-(Cost_k*Ubar_c+Delay_D)*(1-EXP(-Rho_a*LN((Top_c-V90)/(Top_c-Floor_F))/Delta_c))/Rho_a+EXP(-Rho_a*LN((Top_c-V90)/(Top_c-Floor_F))/Delta_c)*(-Cost_k*Delta_c*Floor_F/Rho_a)),(-Delay_D/Rho_a)),(EXP(-Rho_a*LN(V90/Floor_F)/Delta_c)*(-Cost_k*Delta_c*Floor_F/Rho_a)))</f>
        <v>-335.745877992226</v>
      </c>
      <c r="AA90" s="22" t="n">
        <f aca="false">ABS(Y90-Z90)</f>
        <v>0</v>
      </c>
      <c r="AC90" s="17" t="n">
        <f aca="false">30+70*$AD$5</f>
        <v>34.375</v>
      </c>
      <c r="AD90" s="17" t="n">
        <f aca="false">Ubar_c-Delta_c*AC90</f>
        <v>6.6459245958761</v>
      </c>
      <c r="AE90" s="11" t="n">
        <f aca="false">(-(Cost_k*Ubar_c+Delay_D)+AD90/$AD$5*AE91)/(Rho_a+AD90/$AD$5)</f>
        <v>-391.126863147416</v>
      </c>
      <c r="AF90" s="11" t="n">
        <f aca="false">MAX(AE90,-Delay_D/Rho_a)</f>
        <v>-335.745877992226</v>
      </c>
      <c r="AG90" s="11" t="n">
        <f aca="false">IF(AC90&lt;Floor_F,MAX((-(Cost_k*Ubar_c+Delay_D)*(1-EXP(-Rho_a*LN((Top_c-AC90)/(Top_c-Floor_F))/Delta_c))/Rho_a+EXP(-Rho_a*LN((Top_c-AC90)/(Top_c-Floor_F))/Delta_c)*(-Cost_k*Delta_c*Floor_F/Rho_a)),(-Delay_D/Rho_a)),(EXP(-Rho_a*LN(AC90/Floor_F)/Delta_c)*(-Cost_k*Delta_c*Floor_F/Rho_a)))</f>
        <v>-335.745877992226</v>
      </c>
      <c r="AH90" s="22" t="n">
        <f aca="false">ABS(AF90-AG90)</f>
        <v>0</v>
      </c>
    </row>
    <row r="91" customFormat="false" ht="15" hidden="false" customHeight="false" outlineLevel="0" collapsed="false">
      <c r="H91" s="17" t="n">
        <f aca="false">30+71*$I$5</f>
        <v>65.5</v>
      </c>
      <c r="I91" s="17" t="n">
        <f aca="false">-Delta_c*H91</f>
        <v>-6.63326569188395</v>
      </c>
      <c r="K91" s="11" t="n">
        <f aca="false">(-I91/$I$5*K90)/(Rho_a-I91/$I$5)</f>
        <v>-198.57783596749</v>
      </c>
      <c r="L91" s="11" t="n">
        <f aca="false">IF(H91&lt;Floor_F,MAX((-(Cost_k*Ubar_c+Delay_D)*(1-EXP(-Rho_a*LN((Top_c-H91)/(Top_c-Floor_F))/Delta_c))/Rho_a+EXP(-Rho_a*LN((Top_c-H91)/(Top_c-Floor_F))/Delta_c)*(-Cost_k*Delta_c*Floor_F/Rho_a)),(-Delay_D/Rho_a)),(EXP(-Rho_a*LN(H91/Floor_F)/Delta_c)*(-Cost_k*Delta_c*Floor_F/Rho_a)))</f>
        <v>-198.315774314669</v>
      </c>
      <c r="M91" s="22" t="n">
        <f aca="false">ABS(K91-L91)</f>
        <v>0.262061652820506</v>
      </c>
      <c r="O91" s="17" t="n">
        <f aca="false">30+71*$P$5</f>
        <v>47.75</v>
      </c>
      <c r="P91" s="17" t="n">
        <f aca="false">Ubar_c-Delta_c*O91</f>
        <v>5.29142186871659</v>
      </c>
      <c r="Q91" s="11" t="n">
        <f aca="false">(-(Cost_k*Ubar_c+Delay_D)+P91/$P$5*Q92)/(Rho_a+P91/$P$5)</f>
        <v>-302.555190290498</v>
      </c>
      <c r="R91" s="11" t="n">
        <f aca="false">MAX(Q91,-Delay_D/Rho_a)</f>
        <v>-302.555190290498</v>
      </c>
      <c r="S91" s="11" t="n">
        <f aca="false">IF(O91&lt;Floor_F,MAX((-(Cost_k*Ubar_c+Delay_D)*(1-EXP(-Rho_a*LN((Top_c-O91)/(Top_c-Floor_F))/Delta_c))/Rho_a+EXP(-Rho_a*LN((Top_c-O91)/(Top_c-Floor_F))/Delta_c)*(-Cost_k*Delta_c*Floor_F/Rho_a)),(-Delay_D/Rho_a)),(EXP(-Rho_a*LN(O91/Floor_F)/Delta_c)*(-Cost_k*Delta_c*Floor_F/Rho_a)))</f>
        <v>-302.876125569748</v>
      </c>
      <c r="T91" s="22" t="n">
        <f aca="false">ABS(R91-S91)</f>
        <v>0.320935279249966</v>
      </c>
      <c r="V91" s="17" t="n">
        <f aca="false">30+71*$W$5</f>
        <v>38.875</v>
      </c>
      <c r="W91" s="17" t="n">
        <f aca="false">Ubar_c-Delta_c*V91</f>
        <v>6.19020405215888</v>
      </c>
      <c r="X91" s="11" t="n">
        <f aca="false">(-(Cost_k*Ubar_c+Delay_D)+W91/$W$5*X92)/(Rho_a+W91/$W$5)</f>
        <v>-365.463718028154</v>
      </c>
      <c r="Y91" s="11" t="n">
        <f aca="false">MAX(X91,-Delay_D/Rho_a)</f>
        <v>-335.745877992226</v>
      </c>
      <c r="Z91" s="11" t="n">
        <f aca="false">IF(V91&lt;Floor_F,MAX((-(Cost_k*Ubar_c+Delay_D)*(1-EXP(-Rho_a*LN((Top_c-V91)/(Top_c-Floor_F))/Delta_c))/Rho_a+EXP(-Rho_a*LN((Top_c-V91)/(Top_c-Floor_F))/Delta_c)*(-Cost_k*Delta_c*Floor_F/Rho_a)),(-Delay_D/Rho_a)),(EXP(-Rho_a*LN(V91/Floor_F)/Delta_c)*(-Cost_k*Delta_c*Floor_F/Rho_a)))</f>
        <v>-335.745877992226</v>
      </c>
      <c r="AA91" s="22" t="n">
        <f aca="false">ABS(Y91-Z91)</f>
        <v>0</v>
      </c>
      <c r="AC91" s="17" t="n">
        <f aca="false">30+71*$AD$5</f>
        <v>34.4375</v>
      </c>
      <c r="AD91" s="17" t="n">
        <f aca="false">Ubar_c-Delta_c*AC91</f>
        <v>6.63959514388003</v>
      </c>
      <c r="AE91" s="11" t="n">
        <f aca="false">(-(Cost_k*Ubar_c+Delay_D)+AD91/$AD$5*AE92)/(Rho_a+AD91/$AD$5)</f>
        <v>-390.795549943609</v>
      </c>
      <c r="AF91" s="11" t="n">
        <f aca="false">MAX(AE91,-Delay_D/Rho_a)</f>
        <v>-335.745877992226</v>
      </c>
      <c r="AG91" s="11" t="n">
        <f aca="false">IF(AC91&lt;Floor_F,MAX((-(Cost_k*Ubar_c+Delay_D)*(1-EXP(-Rho_a*LN((Top_c-AC91)/(Top_c-Floor_F))/Delta_c))/Rho_a+EXP(-Rho_a*LN((Top_c-AC91)/(Top_c-Floor_F))/Delta_c)*(-Cost_k*Delta_c*Floor_F/Rho_a)),(-Delay_D/Rho_a)),(EXP(-Rho_a*LN(AC91/Floor_F)/Delta_c)*(-Cost_k*Delta_c*Floor_F/Rho_a)))</f>
        <v>-335.745877992226</v>
      </c>
      <c r="AH91" s="22" t="n">
        <f aca="false">ABS(AF91-AG91)</f>
        <v>0</v>
      </c>
    </row>
    <row r="92" customFormat="false" ht="15" hidden="false" customHeight="false" outlineLevel="0" collapsed="false">
      <c r="H92" s="17" t="n">
        <f aca="false">30+72*$I$5</f>
        <v>66</v>
      </c>
      <c r="I92" s="17" t="n">
        <f aca="false">-Delta_c*H92</f>
        <v>-6.68390130785253</v>
      </c>
      <c r="K92" s="11" t="n">
        <f aca="false">(-I92/$I$5*K91)/(Rho_a-I92/$I$5)</f>
        <v>-197.172032603982</v>
      </c>
      <c r="L92" s="11" t="n">
        <f aca="false">IF(H92&lt;Floor_F,MAX((-(Cost_k*Ubar_c+Delay_D)*(1-EXP(-Rho_a*LN((Top_c-H92)/(Top_c-Floor_F))/Delta_c))/Rho_a+EXP(-Rho_a*LN((Top_c-H92)/(Top_c-Floor_F))/Delta_c)*(-Cost_k*Delta_c*Floor_F/Rho_a)),(-Delay_D/Rho_a)),(EXP(-Rho_a*LN(H92/Floor_F)/Delta_c)*(-Cost_k*Delta_c*Floor_F/Rho_a)))</f>
        <v>-196.901500158839</v>
      </c>
      <c r="M92" s="22" t="n">
        <f aca="false">ABS(K92-L92)</f>
        <v>0.270532445142635</v>
      </c>
      <c r="O92" s="17" t="n">
        <f aca="false">30+72*$P$5</f>
        <v>48</v>
      </c>
      <c r="P92" s="17" t="n">
        <f aca="false">Ubar_c-Delta_c*O92</f>
        <v>5.2661040607323</v>
      </c>
      <c r="Q92" s="11" t="n">
        <f aca="false">(-(Cost_k*Ubar_c+Delay_D)+P92/$P$5*Q93)/(Rho_a+P92/$P$5)</f>
        <v>-300.491855317825</v>
      </c>
      <c r="R92" s="11" t="n">
        <f aca="false">MAX(Q92,-Delay_D/Rho_a)</f>
        <v>-300.491855317825</v>
      </c>
      <c r="S92" s="11" t="n">
        <f aca="false">IF(O92&lt;Floor_F,MAX((-(Cost_k*Ubar_c+Delay_D)*(1-EXP(-Rho_a*LN((Top_c-O92)/(Top_c-Floor_F))/Delta_c))/Rho_a+EXP(-Rho_a*LN((Top_c-O92)/(Top_c-Floor_F))/Delta_c)*(-Cost_k*Delta_c*Floor_F/Rho_a)),(-Delay_D/Rho_a)),(EXP(-Rho_a*LN(O92/Floor_F)/Delta_c)*(-Cost_k*Delta_c*Floor_F/Rho_a)))</f>
        <v>-300.804615508623</v>
      </c>
      <c r="T92" s="22" t="n">
        <f aca="false">ABS(R92-S92)</f>
        <v>0.312760190797405</v>
      </c>
      <c r="V92" s="17" t="n">
        <f aca="false">30+72*$W$5</f>
        <v>39</v>
      </c>
      <c r="W92" s="17" t="n">
        <f aca="false">Ubar_c-Delta_c*V92</f>
        <v>6.17754514816674</v>
      </c>
      <c r="X92" s="11" t="n">
        <f aca="false">(-(Cost_k*Ubar_c+Delay_D)+W92/$W$5*X93)/(Rho_a+W92/$W$5)</f>
        <v>-364.702917580782</v>
      </c>
      <c r="Y92" s="11" t="n">
        <f aca="false">MAX(X92,-Delay_D/Rho_a)</f>
        <v>-335.745877992226</v>
      </c>
      <c r="Z92" s="11" t="n">
        <f aca="false">IF(V92&lt;Floor_F,MAX((-(Cost_k*Ubar_c+Delay_D)*(1-EXP(-Rho_a*LN((Top_c-V92)/(Top_c-Floor_F))/Delta_c))/Rho_a+EXP(-Rho_a*LN((Top_c-V92)/(Top_c-Floor_F))/Delta_c)*(-Cost_k*Delta_c*Floor_F/Rho_a)),(-Delay_D/Rho_a)),(EXP(-Rho_a*LN(V92/Floor_F)/Delta_c)*(-Cost_k*Delta_c*Floor_F/Rho_a)))</f>
        <v>-335.745877992226</v>
      </c>
      <c r="AA92" s="22" t="n">
        <f aca="false">ABS(Y92-Z92)</f>
        <v>0</v>
      </c>
      <c r="AC92" s="17" t="n">
        <f aca="false">30+72*$AD$5</f>
        <v>34.5</v>
      </c>
      <c r="AD92" s="17" t="n">
        <f aca="false">Ubar_c-Delta_c*AC92</f>
        <v>6.63326569188395</v>
      </c>
      <c r="AE92" s="11" t="n">
        <f aca="false">(-(Cost_k*Ubar_c+Delay_D)+AD92/$AD$5*AE93)/(Rho_a+AD92/$AD$5)</f>
        <v>-390.463623656323</v>
      </c>
      <c r="AF92" s="11" t="n">
        <f aca="false">MAX(AE92,-Delay_D/Rho_a)</f>
        <v>-335.745877992226</v>
      </c>
      <c r="AG92" s="11" t="n">
        <f aca="false">IF(AC92&lt;Floor_F,MAX((-(Cost_k*Ubar_c+Delay_D)*(1-EXP(-Rho_a*LN((Top_c-AC92)/(Top_c-Floor_F))/Delta_c))/Rho_a+EXP(-Rho_a*LN((Top_c-AC92)/(Top_c-Floor_F))/Delta_c)*(-Cost_k*Delta_c*Floor_F/Rho_a)),(-Delay_D/Rho_a)),(EXP(-Rho_a*LN(AC92/Floor_F)/Delta_c)*(-Cost_k*Delta_c*Floor_F/Rho_a)))</f>
        <v>-335.745877992226</v>
      </c>
      <c r="AH92" s="22" t="n">
        <f aca="false">ABS(AF92-AG92)</f>
        <v>0</v>
      </c>
    </row>
    <row r="93" customFormat="false" ht="15" hidden="false" customHeight="false" outlineLevel="0" collapsed="false">
      <c r="H93" s="17" t="n">
        <f aca="false">30+73*$I$5</f>
        <v>66.5</v>
      </c>
      <c r="I93" s="17" t="n">
        <f aca="false">-Delta_c*H93</f>
        <v>-6.73453692382111</v>
      </c>
      <c r="K93" s="11" t="n">
        <f aca="false">(-I93/$I$5*K92)/(Rho_a-I93/$I$5)</f>
        <v>-195.7866028018</v>
      </c>
      <c r="L93" s="11" t="n">
        <f aca="false">IF(H93&lt;Floor_F,MAX((-(Cost_k*Ubar_c+Delay_D)*(1-EXP(-Rho_a*LN((Top_c-H93)/(Top_c-Floor_F))/Delta_c))/Rho_a+EXP(-Rho_a*LN((Top_c-H93)/(Top_c-Floor_F))/Delta_c)*(-Cost_k*Delta_c*Floor_F/Rho_a)),(-Delay_D/Rho_a)),(EXP(-Rho_a*LN(H93/Floor_F)/Delta_c)*(-Cost_k*Delta_c*Floor_F/Rho_a)))</f>
        <v>-195.507871949241</v>
      </c>
      <c r="M93" s="22" t="n">
        <f aca="false">ABS(K93-L93)</f>
        <v>0.278730852559136</v>
      </c>
      <c r="O93" s="17" t="n">
        <f aca="false">30+73*$P$5</f>
        <v>48.25</v>
      </c>
      <c r="P93" s="17" t="n">
        <f aca="false">Ubar_c-Delta_c*O93</f>
        <v>5.24078625274801</v>
      </c>
      <c r="Q93" s="11" t="n">
        <f aca="false">(-(Cost_k*Ubar_c+Delay_D)+P93/$P$5*Q94)/(Rho_a+P93/$P$5)</f>
        <v>-298.409264492195</v>
      </c>
      <c r="R93" s="11" t="n">
        <f aca="false">MAX(Q93,-Delay_D/Rho_a)</f>
        <v>-298.409264492195</v>
      </c>
      <c r="S93" s="11" t="n">
        <f aca="false">IF(O93&lt;Floor_F,MAX((-(Cost_k*Ubar_c+Delay_D)*(1-EXP(-Rho_a*LN((Top_c-O93)/(Top_c-Floor_F))/Delta_c))/Rho_a+EXP(-Rho_a*LN((Top_c-O93)/(Top_c-Floor_F))/Delta_c)*(-Cost_k*Delta_c*Floor_F/Rho_a)),(-Delay_D/Rho_a)),(EXP(-Rho_a*LN(O93/Floor_F)/Delta_c)*(-Cost_k*Delta_c*Floor_F/Rho_a)))</f>
        <v>-298.713682664401</v>
      </c>
      <c r="T93" s="22" t="n">
        <f aca="false">ABS(R93-S93)</f>
        <v>0.304418172206454</v>
      </c>
      <c r="V93" s="17" t="n">
        <f aca="false">30+73*$W$5</f>
        <v>39.125</v>
      </c>
      <c r="W93" s="17" t="n">
        <f aca="false">Ubar_c-Delta_c*V93</f>
        <v>6.16488624417459</v>
      </c>
      <c r="X93" s="11" t="n">
        <f aca="false">(-(Cost_k*Ubar_c+Delay_D)+W93/$W$5*X94)/(Rho_a+W93/$W$5)</f>
        <v>-363.93909086605</v>
      </c>
      <c r="Y93" s="11" t="n">
        <f aca="false">MAX(X93,-Delay_D/Rho_a)</f>
        <v>-335.745877992226</v>
      </c>
      <c r="Z93" s="11" t="n">
        <f aca="false">IF(V93&lt;Floor_F,MAX((-(Cost_k*Ubar_c+Delay_D)*(1-EXP(-Rho_a*LN((Top_c-V93)/(Top_c-Floor_F))/Delta_c))/Rho_a+EXP(-Rho_a*LN((Top_c-V93)/(Top_c-Floor_F))/Delta_c)*(-Cost_k*Delta_c*Floor_F/Rho_a)),(-Delay_D/Rho_a)),(EXP(-Rho_a*LN(V93/Floor_F)/Delta_c)*(-Cost_k*Delta_c*Floor_F/Rho_a)))</f>
        <v>-335.745877992226</v>
      </c>
      <c r="AA93" s="22" t="n">
        <f aca="false">ABS(Y93-Z93)</f>
        <v>0</v>
      </c>
      <c r="AC93" s="17" t="n">
        <f aca="false">30+73*$AD$5</f>
        <v>34.5625</v>
      </c>
      <c r="AD93" s="17" t="n">
        <f aca="false">Ubar_c-Delta_c*AC93</f>
        <v>6.62693623988788</v>
      </c>
      <c r="AE93" s="11" t="n">
        <f aca="false">(-(Cost_k*Ubar_c+Delay_D)+AD93/$AD$5*AE94)/(Rho_a+AD93/$AD$5)</f>
        <v>-390.131082564984</v>
      </c>
      <c r="AF93" s="11" t="n">
        <f aca="false">MAX(AE93,-Delay_D/Rho_a)</f>
        <v>-335.745877992226</v>
      </c>
      <c r="AG93" s="11" t="n">
        <f aca="false">IF(AC93&lt;Floor_F,MAX((-(Cost_k*Ubar_c+Delay_D)*(1-EXP(-Rho_a*LN((Top_c-AC93)/(Top_c-Floor_F))/Delta_c))/Rho_a+EXP(-Rho_a*LN((Top_c-AC93)/(Top_c-Floor_F))/Delta_c)*(-Cost_k*Delta_c*Floor_F/Rho_a)),(-Delay_D/Rho_a)),(EXP(-Rho_a*LN(AC93/Floor_F)/Delta_c)*(-Cost_k*Delta_c*Floor_F/Rho_a)))</f>
        <v>-335.745877992226</v>
      </c>
      <c r="AH93" s="22" t="n">
        <f aca="false">ABS(AF93-AG93)</f>
        <v>0</v>
      </c>
    </row>
    <row r="94" customFormat="false" ht="15" hidden="false" customHeight="false" outlineLevel="0" collapsed="false">
      <c r="H94" s="17" t="n">
        <f aca="false">30+74*$I$5</f>
        <v>67</v>
      </c>
      <c r="I94" s="17" t="n">
        <f aca="false">-Delta_c*H94</f>
        <v>-6.78517253978969</v>
      </c>
      <c r="K94" s="11" t="n">
        <f aca="false">(-I94/$I$5*K93)/(Rho_a-I94/$I$5)</f>
        <v>-194.421102504732</v>
      </c>
      <c r="L94" s="11" t="n">
        <f aca="false">IF(H94&lt;Floor_F,MAX((-(Cost_k*Ubar_c+Delay_D)*(1-EXP(-Rho_a*LN((Top_c-H94)/(Top_c-Floor_F))/Delta_c))/Rho_a+EXP(-Rho_a*LN((Top_c-H94)/(Top_c-Floor_F))/Delta_c)*(-Cost_k*Delta_c*Floor_F/Rho_a)),(-Delay_D/Rho_a)),(EXP(-Rho_a*LN(H94/Floor_F)/Delta_c)*(-Cost_k*Delta_c*Floor_F/Rho_a)))</f>
        <v>-194.134436432307</v>
      </c>
      <c r="M94" s="22" t="n">
        <f aca="false">ABS(K94-L94)</f>
        <v>0.286666072424481</v>
      </c>
      <c r="O94" s="17" t="n">
        <f aca="false">30+74*$P$5</f>
        <v>48.5</v>
      </c>
      <c r="P94" s="17" t="n">
        <f aca="false">Ubar_c-Delta_c*O94</f>
        <v>5.21546844476372</v>
      </c>
      <c r="Q94" s="11" t="n">
        <f aca="false">(-(Cost_k*Ubar_c+Delay_D)+P94/$P$5*Q95)/(Rho_a+P94/$P$5)</f>
        <v>-296.307144218842</v>
      </c>
      <c r="R94" s="11" t="n">
        <f aca="false">MAX(Q94,-Delay_D/Rho_a)</f>
        <v>-296.307144218842</v>
      </c>
      <c r="S94" s="11" t="n">
        <f aca="false">IF(O94&lt;Floor_F,MAX((-(Cost_k*Ubar_c+Delay_D)*(1-EXP(-Rho_a*LN((Top_c-O94)/(Top_c-Floor_F))/Delta_c))/Rho_a+EXP(-Rho_a*LN((Top_c-O94)/(Top_c-Floor_F))/Delta_c)*(-Cost_k*Delta_c*Floor_F/Rho_a)),(-Delay_D/Rho_a)),(EXP(-Rho_a*LN(O94/Floor_F)/Delta_c)*(-Cost_k*Delta_c*Floor_F/Rho_a)))</f>
        <v>-296.603049770354</v>
      </c>
      <c r="T94" s="22" t="n">
        <f aca="false">ABS(R94-S94)</f>
        <v>0.295905551511851</v>
      </c>
      <c r="V94" s="17" t="n">
        <f aca="false">30+74*$W$5</f>
        <v>39.25</v>
      </c>
      <c r="W94" s="17" t="n">
        <f aca="false">Ubar_c-Delta_c*V94</f>
        <v>6.15222734018245</v>
      </c>
      <c r="X94" s="11" t="n">
        <f aca="false">(-(Cost_k*Ubar_c+Delay_D)+W94/$W$5*X95)/(Rho_a+W94/$W$5)</f>
        <v>-363.172219607429</v>
      </c>
      <c r="Y94" s="11" t="n">
        <f aca="false">MAX(X94,-Delay_D/Rho_a)</f>
        <v>-335.745877992226</v>
      </c>
      <c r="Z94" s="11" t="n">
        <f aca="false">IF(V94&lt;Floor_F,MAX((-(Cost_k*Ubar_c+Delay_D)*(1-EXP(-Rho_a*LN((Top_c-V94)/(Top_c-Floor_F))/Delta_c))/Rho_a+EXP(-Rho_a*LN((Top_c-V94)/(Top_c-Floor_F))/Delta_c)*(-Cost_k*Delta_c*Floor_F/Rho_a)),(-Delay_D/Rho_a)),(EXP(-Rho_a*LN(V94/Floor_F)/Delta_c)*(-Cost_k*Delta_c*Floor_F/Rho_a)))</f>
        <v>-335.745877992226</v>
      </c>
      <c r="AA94" s="22" t="n">
        <f aca="false">ABS(Y94-Z94)</f>
        <v>0</v>
      </c>
      <c r="AC94" s="17" t="n">
        <f aca="false">30+74*$AD$5</f>
        <v>34.625</v>
      </c>
      <c r="AD94" s="17" t="n">
        <f aca="false">Ubar_c-Delta_c*AC94</f>
        <v>6.62060678789181</v>
      </c>
      <c r="AE94" s="11" t="n">
        <f aca="false">(-(Cost_k*Ubar_c+Delay_D)+AD94/$AD$5*AE95)/(Rho_a+AD94/$AD$5)</f>
        <v>-389.79792494254</v>
      </c>
      <c r="AF94" s="11" t="n">
        <f aca="false">MAX(AE94,-Delay_D/Rho_a)</f>
        <v>-335.745877992226</v>
      </c>
      <c r="AG94" s="11" t="n">
        <f aca="false">IF(AC94&lt;Floor_F,MAX((-(Cost_k*Ubar_c+Delay_D)*(1-EXP(-Rho_a*LN((Top_c-AC94)/(Top_c-Floor_F))/Delta_c))/Rho_a+EXP(-Rho_a*LN((Top_c-AC94)/(Top_c-Floor_F))/Delta_c)*(-Cost_k*Delta_c*Floor_F/Rho_a)),(-Delay_D/Rho_a)),(EXP(-Rho_a*LN(AC94/Floor_F)/Delta_c)*(-Cost_k*Delta_c*Floor_F/Rho_a)))</f>
        <v>-335.745877992226</v>
      </c>
      <c r="AH94" s="22" t="n">
        <f aca="false">ABS(AF94-AG94)</f>
        <v>0</v>
      </c>
    </row>
    <row r="95" customFormat="false" ht="15" hidden="false" customHeight="false" outlineLevel="0" collapsed="false">
      <c r="H95" s="17" t="n">
        <f aca="false">30+75*$I$5</f>
        <v>67.5</v>
      </c>
      <c r="I95" s="17" t="n">
        <f aca="false">-Delta_c*H95</f>
        <v>-6.83580815575827</v>
      </c>
      <c r="K95" s="11" t="n">
        <f aca="false">(-I95/$I$5*K94)/(Rho_a-I95/$I$5)</f>
        <v>-193.075100530423</v>
      </c>
      <c r="L95" s="11" t="n">
        <f aca="false">IF(H95&lt;Floor_F,MAX((-(Cost_k*Ubar_c+Delay_D)*(1-EXP(-Rho_a*LN((Top_c-H95)/(Top_c-Floor_F))/Delta_c))/Rho_a+EXP(-Rho_a*LN((Top_c-H95)/(Top_c-Floor_F))/Delta_c)*(-Cost_k*Delta_c*Floor_F/Rho_a)),(-Delay_D/Rho_a)),(EXP(-Rho_a*LN(H95/Floor_F)/Delta_c)*(-Cost_k*Delta_c*Floor_F/Rho_a)))</f>
        <v>-192.780753589486</v>
      </c>
      <c r="M95" s="22" t="n">
        <f aca="false">ABS(K95-L95)</f>
        <v>0.294346940937118</v>
      </c>
      <c r="O95" s="17" t="n">
        <f aca="false">30+75*$P$5</f>
        <v>48.75</v>
      </c>
      <c r="P95" s="17" t="n">
        <f aca="false">Ubar_c-Delta_c*O95</f>
        <v>5.19015063677943</v>
      </c>
      <c r="Q95" s="11" t="n">
        <f aca="false">(-(Cost_k*Ubar_c+Delay_D)+P95/$P$5*Q96)/(Rho_a+P95/$P$5)</f>
        <v>-294.185215668661</v>
      </c>
      <c r="R95" s="11" t="n">
        <f aca="false">MAX(Q95,-Delay_D/Rho_a)</f>
        <v>-294.185215668661</v>
      </c>
      <c r="S95" s="11" t="n">
        <f aca="false">IF(O95&lt;Floor_F,MAX((-(Cost_k*Ubar_c+Delay_D)*(1-EXP(-Rho_a*LN((Top_c-O95)/(Top_c-Floor_F))/Delta_c))/Rho_a+EXP(-Rho_a*LN((Top_c-O95)/(Top_c-Floor_F))/Delta_c)*(-Cost_k*Delta_c*Floor_F/Rho_a)),(-Delay_D/Rho_a)),(EXP(-Rho_a*LN(O95/Floor_F)/Delta_c)*(-Cost_k*Delta_c*Floor_F/Rho_a)))</f>
        <v>-294.472434230044</v>
      </c>
      <c r="T95" s="22" t="n">
        <f aca="false">ABS(R95-S95)</f>
        <v>0.287218561383042</v>
      </c>
      <c r="V95" s="17" t="n">
        <f aca="false">30+75*$W$5</f>
        <v>39.375</v>
      </c>
      <c r="W95" s="17" t="n">
        <f aca="false">Ubar_c-Delta_c*V95</f>
        <v>6.1395684361903</v>
      </c>
      <c r="X95" s="11" t="n">
        <f aca="false">(-(Cost_k*Ubar_c+Delay_D)+W95/$W$5*X96)/(Rho_a+W95/$W$5)</f>
        <v>-362.402285380181</v>
      </c>
      <c r="Y95" s="11" t="n">
        <f aca="false">MAX(X95,-Delay_D/Rho_a)</f>
        <v>-335.745877992226</v>
      </c>
      <c r="Z95" s="11" t="n">
        <f aca="false">IF(V95&lt;Floor_F,MAX((-(Cost_k*Ubar_c+Delay_D)*(1-EXP(-Rho_a*LN((Top_c-V95)/(Top_c-Floor_F))/Delta_c))/Rho_a+EXP(-Rho_a*LN((Top_c-V95)/(Top_c-Floor_F))/Delta_c)*(-Cost_k*Delta_c*Floor_F/Rho_a)),(-Delay_D/Rho_a)),(EXP(-Rho_a*LN(V95/Floor_F)/Delta_c)*(-Cost_k*Delta_c*Floor_F/Rho_a)))</f>
        <v>-335.745877992226</v>
      </c>
      <c r="AA95" s="22" t="n">
        <f aca="false">ABS(Y95-Z95)</f>
        <v>0</v>
      </c>
      <c r="AC95" s="17" t="n">
        <f aca="false">30+75*$AD$5</f>
        <v>34.6875</v>
      </c>
      <c r="AD95" s="17" t="n">
        <f aca="false">Ubar_c-Delta_c*AC95</f>
        <v>6.61427733589574</v>
      </c>
      <c r="AE95" s="11" t="n">
        <f aca="false">(-(Cost_k*Ubar_c+Delay_D)+AD95/$AD$5*AE96)/(Rho_a+AD95/$AD$5)</f>
        <v>-389.464149055431</v>
      </c>
      <c r="AF95" s="11" t="n">
        <f aca="false">MAX(AE95,-Delay_D/Rho_a)</f>
        <v>-335.745877992226</v>
      </c>
      <c r="AG95" s="11" t="n">
        <f aca="false">IF(AC95&lt;Floor_F,MAX((-(Cost_k*Ubar_c+Delay_D)*(1-EXP(-Rho_a*LN((Top_c-AC95)/(Top_c-Floor_F))/Delta_c))/Rho_a+EXP(-Rho_a*LN((Top_c-AC95)/(Top_c-Floor_F))/Delta_c)*(-Cost_k*Delta_c*Floor_F/Rho_a)),(-Delay_D/Rho_a)),(EXP(-Rho_a*LN(AC95/Floor_F)/Delta_c)*(-Cost_k*Delta_c*Floor_F/Rho_a)))</f>
        <v>-335.745877992226</v>
      </c>
      <c r="AH95" s="22" t="n">
        <f aca="false">ABS(AF95-AG95)</f>
        <v>0</v>
      </c>
    </row>
    <row r="96" customFormat="false" ht="15" hidden="false" customHeight="false" outlineLevel="0" collapsed="false">
      <c r="H96" s="17" t="n">
        <f aca="false">30+76*$I$5</f>
        <v>68</v>
      </c>
      <c r="I96" s="17" t="n">
        <f aca="false">-Delta_c*H96</f>
        <v>-6.88644377172685</v>
      </c>
      <c r="K96" s="11" t="n">
        <f aca="false">(-I96/$I$5*K95)/(Rho_a-I96/$I$5)</f>
        <v>-191.748178105858</v>
      </c>
      <c r="L96" s="11" t="n">
        <f aca="false">IF(H96&lt;Floor_F,MAX((-(Cost_k*Ubar_c+Delay_D)*(1-EXP(-Rho_a*LN((Top_c-H96)/(Top_c-Floor_F))/Delta_c))/Rho_a+EXP(-Rho_a*LN((Top_c-H96)/(Top_c-Floor_F))/Delta_c)*(-Cost_k*Delta_c*Floor_F/Rho_a)),(-Delay_D/Rho_a)),(EXP(-Rho_a*LN(H96/Floor_F)/Delta_c)*(-Cost_k*Delta_c*Floor_F/Rho_a)))</f>
        <v>-191.446396156277</v>
      </c>
      <c r="M96" s="22" t="n">
        <f aca="false">ABS(K96-L96)</f>
        <v>0.301781949580544</v>
      </c>
      <c r="O96" s="17" t="n">
        <f aca="false">30+76*$P$5</f>
        <v>49</v>
      </c>
      <c r="P96" s="17" t="n">
        <f aca="false">Ubar_c-Delta_c*O96</f>
        <v>5.16483282879514</v>
      </c>
      <c r="Q96" s="11" t="n">
        <f aca="false">(-(Cost_k*Ubar_c+Delay_D)+P96/$P$5*Q97)/(Rho_a+P96/$P$5)</f>
        <v>-292.043194652036</v>
      </c>
      <c r="R96" s="11" t="n">
        <f aca="false">MAX(Q96,-Delay_D/Rho_a)</f>
        <v>-292.043194652036</v>
      </c>
      <c r="S96" s="11" t="n">
        <f aca="false">IF(O96&lt;Floor_F,MAX((-(Cost_k*Ubar_c+Delay_D)*(1-EXP(-Rho_a*LN((Top_c-O96)/(Top_c-Floor_F))/Delta_c))/Rho_a+EXP(-Rho_a*LN((Top_c-O96)/(Top_c-Floor_F))/Delta_c)*(-Cost_k*Delta_c*Floor_F/Rho_a)),(-Delay_D/Rho_a)),(EXP(-Rho_a*LN(O96/Floor_F)/Delta_c)*(-Cost_k*Delta_c*Floor_F/Rho_a)))</f>
        <v>-292.321547988252</v>
      </c>
      <c r="T96" s="22" t="n">
        <f aca="false">ABS(R96-S96)</f>
        <v>0.278353336215048</v>
      </c>
      <c r="V96" s="17" t="n">
        <f aca="false">30+76*$W$5</f>
        <v>39.5</v>
      </c>
      <c r="W96" s="17" t="n">
        <f aca="false">Ubar_c-Delta_c*V96</f>
        <v>6.12690953219816</v>
      </c>
      <c r="X96" s="11" t="n">
        <f aca="false">(-(Cost_k*Ubar_c+Delay_D)+W96/$W$5*X97)/(Rho_a+W96/$W$5)</f>
        <v>-361.629269609846</v>
      </c>
      <c r="Y96" s="11" t="n">
        <f aca="false">MAX(X96,-Delay_D/Rho_a)</f>
        <v>-335.745877992226</v>
      </c>
      <c r="Z96" s="11" t="n">
        <f aca="false">IF(V96&lt;Floor_F,MAX((-(Cost_k*Ubar_c+Delay_D)*(1-EXP(-Rho_a*LN((Top_c-V96)/(Top_c-Floor_F))/Delta_c))/Rho_a+EXP(-Rho_a*LN((Top_c-V96)/(Top_c-Floor_F))/Delta_c)*(-Cost_k*Delta_c*Floor_F/Rho_a)),(-Delay_D/Rho_a)),(EXP(-Rho_a*LN(V96/Floor_F)/Delta_c)*(-Cost_k*Delta_c*Floor_F/Rho_a)))</f>
        <v>-335.745877992226</v>
      </c>
      <c r="AA96" s="22" t="n">
        <f aca="false">ABS(Y96-Z96)</f>
        <v>0</v>
      </c>
      <c r="AC96" s="17" t="n">
        <f aca="false">30+76*$AD$5</f>
        <v>34.75</v>
      </c>
      <c r="AD96" s="17" t="n">
        <f aca="false">Ubar_c-Delta_c*AC96</f>
        <v>6.60794788389966</v>
      </c>
      <c r="AE96" s="11" t="n">
        <f aca="false">(-(Cost_k*Ubar_c+Delay_D)+AD96/$AD$5*AE97)/(Rho_a+AD96/$AD$5)</f>
        <v>-389.129753163561</v>
      </c>
      <c r="AF96" s="11" t="n">
        <f aca="false">MAX(AE96,-Delay_D/Rho_a)</f>
        <v>-335.745877992226</v>
      </c>
      <c r="AG96" s="11" t="n">
        <f aca="false">IF(AC96&lt;Floor_F,MAX((-(Cost_k*Ubar_c+Delay_D)*(1-EXP(-Rho_a*LN((Top_c-AC96)/(Top_c-Floor_F))/Delta_c))/Rho_a+EXP(-Rho_a*LN((Top_c-AC96)/(Top_c-Floor_F))/Delta_c)*(-Cost_k*Delta_c*Floor_F/Rho_a)),(-Delay_D/Rho_a)),(EXP(-Rho_a*LN(AC96/Floor_F)/Delta_c)*(-Cost_k*Delta_c*Floor_F/Rho_a)))</f>
        <v>-335.745877992226</v>
      </c>
      <c r="AH96" s="22" t="n">
        <f aca="false">ABS(AF96-AG96)</f>
        <v>0</v>
      </c>
    </row>
    <row r="97" customFormat="false" ht="15" hidden="false" customHeight="false" outlineLevel="0" collapsed="false">
      <c r="H97" s="17" t="n">
        <f aca="false">30+77*$I$5</f>
        <v>68.5</v>
      </c>
      <c r="I97" s="17" t="n">
        <f aca="false">-Delta_c*H97</f>
        <v>-6.93707938769543</v>
      </c>
      <c r="K97" s="11" t="n">
        <f aca="false">(-I97/$I$5*K96)/(Rho_a-I97/$I$5)</f>
        <v>-190.43992842285</v>
      </c>
      <c r="L97" s="11" t="n">
        <f aca="false">IF(H97&lt;Floor_F,MAX((-(Cost_k*Ubar_c+Delay_D)*(1-EXP(-Rho_a*LN((Top_c-H97)/(Top_c-Floor_F))/Delta_c))/Rho_a+EXP(-Rho_a*LN((Top_c-H97)/(Top_c-Floor_F))/Delta_c)*(-Cost_k*Delta_c*Floor_F/Rho_a)),(-Delay_D/Rho_a)),(EXP(-Rho_a*LN(H97/Floor_F)/Delta_c)*(-Cost_k*Delta_c*Floor_F/Rho_a)))</f>
        <v>-190.130949162141</v>
      </c>
      <c r="M97" s="22" t="n">
        <f aca="false">ABS(K97-L97)</f>
        <v>0.308979260709066</v>
      </c>
      <c r="O97" s="17" t="n">
        <f aca="false">30+77*$P$5</f>
        <v>49.25</v>
      </c>
      <c r="P97" s="17" t="n">
        <f aca="false">Ubar_c-Delta_c*O97</f>
        <v>5.13951502081085</v>
      </c>
      <c r="Q97" s="11" t="n">
        <f aca="false">(-(Cost_k*Ubar_c+Delay_D)+P97/$P$5*Q98)/(Rho_a+P97/$P$5)</f>
        <v>-289.88079148901</v>
      </c>
      <c r="R97" s="11" t="n">
        <f aca="false">MAX(Q97,-Delay_D/Rho_a)</f>
        <v>-289.88079148901</v>
      </c>
      <c r="S97" s="11" t="n">
        <f aca="false">IF(O97&lt;Floor_F,MAX((-(Cost_k*Ubar_c+Delay_D)*(1-EXP(-Rho_a*LN((Top_c-O97)/(Top_c-Floor_F))/Delta_c))/Rho_a+EXP(-Rho_a*LN((Top_c-O97)/(Top_c-Floor_F))/Delta_c)*(-Cost_k*Delta_c*Floor_F/Rho_a)),(-Delay_D/Rho_a)),(EXP(-Rho_a*LN(O97/Floor_F)/Delta_c)*(-Cost_k*Delta_c*Floor_F/Rho_a)))</f>
        <v>-290.150097398126</v>
      </c>
      <c r="T97" s="22" t="n">
        <f aca="false">ABS(R97-S97)</f>
        <v>0.26930590911536</v>
      </c>
      <c r="V97" s="17" t="n">
        <f aca="false">30+77*$W$5</f>
        <v>39.625</v>
      </c>
      <c r="W97" s="17" t="n">
        <f aca="false">Ubar_c-Delta_c*V97</f>
        <v>6.11425062820601</v>
      </c>
      <c r="X97" s="11" t="n">
        <f aca="false">(-(Cost_k*Ubar_c+Delay_D)+W97/$W$5*X98)/(Rho_a+W97/$W$5)</f>
        <v>-360.853153570717</v>
      </c>
      <c r="Y97" s="11" t="n">
        <f aca="false">MAX(X97,-Delay_D/Rho_a)</f>
        <v>-335.745877992226</v>
      </c>
      <c r="Z97" s="11" t="n">
        <f aca="false">IF(V97&lt;Floor_F,MAX((-(Cost_k*Ubar_c+Delay_D)*(1-EXP(-Rho_a*LN((Top_c-V97)/(Top_c-Floor_F))/Delta_c))/Rho_a+EXP(-Rho_a*LN((Top_c-V97)/(Top_c-Floor_F))/Delta_c)*(-Cost_k*Delta_c*Floor_F/Rho_a)),(-Delay_D/Rho_a)),(EXP(-Rho_a*LN(V97/Floor_F)/Delta_c)*(-Cost_k*Delta_c*Floor_F/Rho_a)))</f>
        <v>-335.745877992226</v>
      </c>
      <c r="AA97" s="22" t="n">
        <f aca="false">ABS(Y97-Z97)</f>
        <v>0</v>
      </c>
      <c r="AC97" s="17" t="n">
        <f aca="false">30+77*$AD$5</f>
        <v>34.8125</v>
      </c>
      <c r="AD97" s="17" t="n">
        <f aca="false">Ubar_c-Delta_c*AC97</f>
        <v>6.60161843190359</v>
      </c>
      <c r="AE97" s="11" t="n">
        <f aca="false">(-(Cost_k*Ubar_c+Delay_D)+AD97/$AD$5*AE98)/(Rho_a+AD97/$AD$5)</f>
        <v>-388.794735520262</v>
      </c>
      <c r="AF97" s="11" t="n">
        <f aca="false">MAX(AE97,-Delay_D/Rho_a)</f>
        <v>-335.745877992226</v>
      </c>
      <c r="AG97" s="11" t="n">
        <f aca="false">IF(AC97&lt;Floor_F,MAX((-(Cost_k*Ubar_c+Delay_D)*(1-EXP(-Rho_a*LN((Top_c-AC97)/(Top_c-Floor_F))/Delta_c))/Rho_a+EXP(-Rho_a*LN((Top_c-AC97)/(Top_c-Floor_F))/Delta_c)*(-Cost_k*Delta_c*Floor_F/Rho_a)),(-Delay_D/Rho_a)),(EXP(-Rho_a*LN(AC97/Floor_F)/Delta_c)*(-Cost_k*Delta_c*Floor_F/Rho_a)))</f>
        <v>-335.745877992226</v>
      </c>
      <c r="AH97" s="22" t="n">
        <f aca="false">ABS(AF97-AG97)</f>
        <v>0</v>
      </c>
    </row>
    <row r="98" customFormat="false" ht="15" hidden="false" customHeight="false" outlineLevel="0" collapsed="false">
      <c r="H98" s="17" t="n">
        <f aca="false">30+78*$I$5</f>
        <v>69</v>
      </c>
      <c r="I98" s="17" t="n">
        <f aca="false">-Delta_c*H98</f>
        <v>-6.98771500366401</v>
      </c>
      <c r="K98" s="11" t="n">
        <f aca="false">(-I98/$I$5*K97)/(Rho_a-I98/$I$5)</f>
        <v>-189.149956212539</v>
      </c>
      <c r="L98" s="11" t="n">
        <f aca="false">IF(H98&lt;Floor_F,MAX((-(Cost_k*Ubar_c+Delay_D)*(1-EXP(-Rho_a*LN((Top_c-H98)/(Top_c-Floor_F))/Delta_c))/Rho_a+EXP(-Rho_a*LN((Top_c-H98)/(Top_c-Floor_F))/Delta_c)*(-Cost_k*Delta_c*Floor_F/Rho_a)),(-Delay_D/Rho_a)),(EXP(-Rho_a*LN(H98/Floor_F)/Delta_c)*(-Cost_k*Delta_c*Floor_F/Rho_a)))</f>
        <v>-188.83400949021</v>
      </c>
      <c r="M98" s="22" t="n">
        <f aca="false">ABS(K98-L98)</f>
        <v>0.315946722328903</v>
      </c>
      <c r="O98" s="17" t="n">
        <f aca="false">30+78*$P$5</f>
        <v>49.5</v>
      </c>
      <c r="P98" s="17" t="n">
        <f aca="false">Ubar_c-Delta_c*O98</f>
        <v>5.11419721282656</v>
      </c>
      <c r="Q98" s="11" t="n">
        <f aca="false">(-(Cost_k*Ubar_c+Delay_D)+P98/$P$5*Q99)/(Rho_a+P98/$P$5)</f>
        <v>-287.69771087564</v>
      </c>
      <c r="R98" s="11" t="n">
        <f aca="false">MAX(Q98,-Delay_D/Rho_a)</f>
        <v>-287.69771087564</v>
      </c>
      <c r="S98" s="11" t="n">
        <f aca="false">IF(O98&lt;Floor_F,MAX((-(Cost_k*Ubar_c+Delay_D)*(1-EXP(-Rho_a*LN((Top_c-O98)/(Top_c-Floor_F))/Delta_c))/Rho_a+EXP(-Rho_a*LN((Top_c-O98)/(Top_c-Floor_F))/Delta_c)*(-Cost_k*Delta_c*Floor_F/Rho_a)),(-Delay_D/Rho_a)),(EXP(-Rho_a*LN(O98/Floor_F)/Delta_c)*(-Cost_k*Delta_c*Floor_F/Rho_a)))</f>
        <v>-287.957783084425</v>
      </c>
      <c r="T98" s="22" t="n">
        <f aca="false">ABS(R98-S98)</f>
        <v>0.260072208784891</v>
      </c>
      <c r="V98" s="17" t="n">
        <f aca="false">30+78*$W$5</f>
        <v>39.75</v>
      </c>
      <c r="W98" s="17" t="n">
        <f aca="false">Ubar_c-Delta_c*V98</f>
        <v>6.10159172421387</v>
      </c>
      <c r="X98" s="11" t="n">
        <f aca="false">(-(Cost_k*Ubar_c+Delay_D)+W98/$W$5*X99)/(Rho_a+W98/$W$5)</f>
        <v>-360.07391838429</v>
      </c>
      <c r="Y98" s="11" t="n">
        <f aca="false">MAX(X98,-Delay_D/Rho_a)</f>
        <v>-335.745877992226</v>
      </c>
      <c r="Z98" s="11" t="n">
        <f aca="false">IF(V98&lt;Floor_F,MAX((-(Cost_k*Ubar_c+Delay_D)*(1-EXP(-Rho_a*LN((Top_c-V98)/(Top_c-Floor_F))/Delta_c))/Rho_a+EXP(-Rho_a*LN((Top_c-V98)/(Top_c-Floor_F))/Delta_c)*(-Cost_k*Delta_c*Floor_F/Rho_a)),(-Delay_D/Rho_a)),(EXP(-Rho_a*LN(V98/Floor_F)/Delta_c)*(-Cost_k*Delta_c*Floor_F/Rho_a)))</f>
        <v>-335.745877992226</v>
      </c>
      <c r="AA98" s="22" t="n">
        <f aca="false">ABS(Y98-Z98)</f>
        <v>0</v>
      </c>
      <c r="AC98" s="17" t="n">
        <f aca="false">30+78*$AD$5</f>
        <v>34.875</v>
      </c>
      <c r="AD98" s="17" t="n">
        <f aca="false">Ubar_c-Delta_c*AC98</f>
        <v>6.59528897990752</v>
      </c>
      <c r="AE98" s="11" t="n">
        <f aca="false">(-(Cost_k*Ubar_c+Delay_D)+AD98/$AD$5*AE99)/(Rho_a+AD98/$AD$5)</f>
        <v>-388.45909437227</v>
      </c>
      <c r="AF98" s="11" t="n">
        <f aca="false">MAX(AE98,-Delay_D/Rho_a)</f>
        <v>-335.745877992226</v>
      </c>
      <c r="AG98" s="11" t="n">
        <f aca="false">IF(AC98&lt;Floor_F,MAX((-(Cost_k*Ubar_c+Delay_D)*(1-EXP(-Rho_a*LN((Top_c-AC98)/(Top_c-Floor_F))/Delta_c))/Rho_a+EXP(-Rho_a*LN((Top_c-AC98)/(Top_c-Floor_F))/Delta_c)*(-Cost_k*Delta_c*Floor_F/Rho_a)),(-Delay_D/Rho_a)),(EXP(-Rho_a*LN(AC98/Floor_F)/Delta_c)*(-Cost_k*Delta_c*Floor_F/Rho_a)))</f>
        <v>-335.745877992226</v>
      </c>
      <c r="AH98" s="22" t="n">
        <f aca="false">ABS(AF98-AG98)</f>
        <v>0</v>
      </c>
    </row>
    <row r="99" customFormat="false" ht="15" hidden="false" customHeight="false" outlineLevel="0" collapsed="false">
      <c r="H99" s="17" t="n">
        <f aca="false">30+79*$I$5</f>
        <v>69.5</v>
      </c>
      <c r="I99" s="17" t="n">
        <f aca="false">-Delta_c*H99</f>
        <v>-7.03835061963259</v>
      </c>
      <c r="K99" s="11" t="n">
        <f aca="false">(-I99/$I$5*K98)/(Rho_a-I99/$I$5)</f>
        <v>-187.877877337953</v>
      </c>
      <c r="L99" s="11" t="n">
        <f aca="false">IF(H99&lt;Floor_F,MAX((-(Cost_k*Ubar_c+Delay_D)*(1-EXP(-Rho_a*LN((Top_c-H99)/(Top_c-Floor_F))/Delta_c))/Rho_a+EXP(-Rho_a*LN((Top_c-H99)/(Top_c-Floor_F))/Delta_c)*(-Cost_k*Delta_c*Floor_F/Rho_a)),(-Delay_D/Rho_a)),(EXP(-Rho_a*LN(H99/Floor_F)/Delta_c)*(-Cost_k*Delta_c*Floor_F/Rho_a)))</f>
        <v>-187.555185455832</v>
      </c>
      <c r="M99" s="22" t="n">
        <f aca="false">ABS(K99-L99)</f>
        <v>0.322691882121092</v>
      </c>
      <c r="O99" s="17" t="n">
        <f aca="false">30+79*$P$5</f>
        <v>49.75</v>
      </c>
      <c r="P99" s="17" t="n">
        <f aca="false">Ubar_c-Delta_c*O99</f>
        <v>5.08887940484227</v>
      </c>
      <c r="Q99" s="11" t="n">
        <f aca="false">(-(Cost_k*Ubar_c+Delay_D)+P99/$P$5*Q100)/(Rho_a+P99/$P$5)</f>
        <v>-285.493651746432</v>
      </c>
      <c r="R99" s="11" t="n">
        <f aca="false">MAX(Q99,-Delay_D/Rho_a)</f>
        <v>-285.493651746432</v>
      </c>
      <c r="S99" s="11" t="n">
        <f aca="false">IF(O99&lt;Floor_F,MAX((-(Cost_k*Ubar_c+Delay_D)*(1-EXP(-Rho_a*LN((Top_c-O99)/(Top_c-Floor_F))/Delta_c))/Rho_a+EXP(-Rho_a*LN((Top_c-O99)/(Top_c-Floor_F))/Delta_c)*(-Cost_k*Delta_c*Floor_F/Rho_a)),(-Delay_D/Rho_a)),(EXP(-Rho_a*LN(O99/Floor_F)/Delta_c)*(-Cost_k*Delta_c*Floor_F/Rho_a)))</f>
        <v>-285.744299802719</v>
      </c>
      <c r="T99" s="22" t="n">
        <f aca="false">ABS(R99-S99)</f>
        <v>0.250648056287503</v>
      </c>
      <c r="V99" s="17" t="n">
        <f aca="false">30+79*$W$5</f>
        <v>39.875</v>
      </c>
      <c r="W99" s="17" t="n">
        <f aca="false">Ubar_c-Delta_c*V99</f>
        <v>6.08893282022172</v>
      </c>
      <c r="X99" s="11" t="n">
        <f aca="false">(-(Cost_k*Ubar_c+Delay_D)+W99/$W$5*X100)/(Rho_a+W99/$W$5)</f>
        <v>-359.291545017696</v>
      </c>
      <c r="Y99" s="11" t="n">
        <f aca="false">MAX(X99,-Delay_D/Rho_a)</f>
        <v>-335.745877992226</v>
      </c>
      <c r="Z99" s="11" t="n">
        <f aca="false">IF(V99&lt;Floor_F,MAX((-(Cost_k*Ubar_c+Delay_D)*(1-EXP(-Rho_a*LN((Top_c-V99)/(Top_c-Floor_F))/Delta_c))/Rho_a+EXP(-Rho_a*LN((Top_c-V99)/(Top_c-Floor_F))/Delta_c)*(-Cost_k*Delta_c*Floor_F/Rho_a)),(-Delay_D/Rho_a)),(EXP(-Rho_a*LN(V99/Floor_F)/Delta_c)*(-Cost_k*Delta_c*Floor_F/Rho_a)))</f>
        <v>-335.745877992226</v>
      </c>
      <c r="AA99" s="22" t="n">
        <f aca="false">ABS(Y99-Z99)</f>
        <v>0</v>
      </c>
      <c r="AC99" s="17" t="n">
        <f aca="false">30+79*$AD$5</f>
        <v>34.9375</v>
      </c>
      <c r="AD99" s="17" t="n">
        <f aca="false">Ubar_c-Delta_c*AC99</f>
        <v>6.58895952791145</v>
      </c>
      <c r="AE99" s="11" t="n">
        <f aca="false">(-(Cost_k*Ubar_c+Delay_D)+AD99/$AD$5*AE100)/(Rho_a+AD99/$AD$5)</f>
        <v>-388.122827959686</v>
      </c>
      <c r="AF99" s="11" t="n">
        <f aca="false">MAX(AE99,-Delay_D/Rho_a)</f>
        <v>-335.745877992226</v>
      </c>
      <c r="AG99" s="11" t="n">
        <f aca="false">IF(AC99&lt;Floor_F,MAX((-(Cost_k*Ubar_c+Delay_D)*(1-EXP(-Rho_a*LN((Top_c-AC99)/(Top_c-Floor_F))/Delta_c))/Rho_a+EXP(-Rho_a*LN((Top_c-AC99)/(Top_c-Floor_F))/Delta_c)*(-Cost_k*Delta_c*Floor_F/Rho_a)),(-Delay_D/Rho_a)),(EXP(-Rho_a*LN(AC99/Floor_F)/Delta_c)*(-Cost_k*Delta_c*Floor_F/Rho_a)))</f>
        <v>-335.745877992226</v>
      </c>
      <c r="AH99" s="22" t="n">
        <f aca="false">ABS(AF99-AG99)</f>
        <v>0</v>
      </c>
    </row>
    <row r="100" customFormat="false" ht="15" hidden="false" customHeight="false" outlineLevel="0" collapsed="false">
      <c r="H100" s="17" t="n">
        <f aca="false">30+80*$I$5</f>
        <v>70</v>
      </c>
      <c r="I100" s="17" t="n">
        <f aca="false">-Delta_c*H100</f>
        <v>-7.08898623560117</v>
      </c>
      <c r="K100" s="11" t="n">
        <f aca="false">(-I100/$I$5*K99)/(Rho_a-I100/$I$5)</f>
        <v>-186.623318403742</v>
      </c>
      <c r="L100" s="11" t="n">
        <f aca="false">IF(H100&lt;Floor_F,MAX((-(Cost_k*Ubar_c+Delay_D)*(1-EXP(-Rho_a*LN((Top_c-H100)/(Top_c-Floor_F))/Delta_c))/Rho_a+EXP(-Rho_a*LN((Top_c-H100)/(Top_c-Floor_F))/Delta_c)*(-Cost_k*Delta_c*Floor_F/Rho_a)),(-Delay_D/Rho_a)),(EXP(-Rho_a*LN(H100/Floor_F)/Delta_c)*(-Cost_k*Delta_c*Floor_F/Rho_a)))</f>
        <v>-186.294096402992</v>
      </c>
      <c r="M100" s="22" t="n">
        <f aca="false">ABS(K100-L100)</f>
        <v>0.32922200075015</v>
      </c>
      <c r="O100" s="17" t="n">
        <f aca="false">30+80*$P$5</f>
        <v>50</v>
      </c>
      <c r="P100" s="17" t="n">
        <f aca="false">Ubar_c-Delta_c*O100</f>
        <v>5.06356159685798</v>
      </c>
      <c r="Q100" s="11" t="n">
        <f aca="false">(-(Cost_k*Ubar_c+Delay_D)+P100/$P$5*Q101)/(Rho_a+P100/$P$5)</f>
        <v>-283.268307132703</v>
      </c>
      <c r="R100" s="11" t="n">
        <f aca="false">MAX(Q100,-Delay_D/Rho_a)</f>
        <v>-283.268307132703</v>
      </c>
      <c r="S100" s="11" t="n">
        <f aca="false">IF(O100&lt;Floor_F,MAX((-(Cost_k*Ubar_c+Delay_D)*(1-EXP(-Rho_a*LN((Top_c-O100)/(Top_c-Floor_F))/Delta_c))/Rho_a+EXP(-Rho_a*LN((Top_c-O100)/(Top_c-Floor_F))/Delta_c)*(-Cost_k*Delta_c*Floor_F/Rho_a)),(-Delay_D/Rho_a)),(EXP(-Rho_a*LN(O100/Floor_F)/Delta_c)*(-Cost_k*Delta_c*Floor_F/Rho_a)))</f>
        <v>-283.509336294407</v>
      </c>
      <c r="T100" s="22" t="n">
        <f aca="false">ABS(R100-S100)</f>
        <v>0.241029161703523</v>
      </c>
      <c r="V100" s="17" t="n">
        <f aca="false">30+80*$W$5</f>
        <v>40</v>
      </c>
      <c r="W100" s="17" t="n">
        <f aca="false">Ubar_c-Delta_c*V100</f>
        <v>6.07627391622958</v>
      </c>
      <c r="X100" s="11" t="n">
        <f aca="false">(-(Cost_k*Ubar_c+Delay_D)+W100/$W$5*X101)/(Rho_a+W100/$W$5)</f>
        <v>-358.506014282122</v>
      </c>
      <c r="Y100" s="11" t="n">
        <f aca="false">MAX(X100,-Delay_D/Rho_a)</f>
        <v>-335.745877992226</v>
      </c>
      <c r="Z100" s="11" t="n">
        <f aca="false">IF(V100&lt;Floor_F,MAX((-(Cost_k*Ubar_c+Delay_D)*(1-EXP(-Rho_a*LN((Top_c-V100)/(Top_c-Floor_F))/Delta_c))/Rho_a+EXP(-Rho_a*LN((Top_c-V100)/(Top_c-Floor_F))/Delta_c)*(-Cost_k*Delta_c*Floor_F/Rho_a)),(-Delay_D/Rho_a)),(EXP(-Rho_a*LN(V100/Floor_F)/Delta_c)*(-Cost_k*Delta_c*Floor_F/Rho_a)))</f>
        <v>-335.745877992226</v>
      </c>
      <c r="AA100" s="22" t="n">
        <f aca="false">ABS(Y100-Z100)</f>
        <v>0</v>
      </c>
      <c r="AC100" s="17" t="n">
        <f aca="false">30+80*$AD$5</f>
        <v>35</v>
      </c>
      <c r="AD100" s="17" t="n">
        <f aca="false">Ubar_c-Delta_c*AC100</f>
        <v>6.58263007591537</v>
      </c>
      <c r="AE100" s="11" t="n">
        <f aca="false">(-(Cost_k*Ubar_c+Delay_D)+AD100/$AD$5*AE101)/(Rho_a+AD100/$AD$5)</f>
        <v>-387.785934515951</v>
      </c>
      <c r="AF100" s="11" t="n">
        <f aca="false">MAX(AE100,-Delay_D/Rho_a)</f>
        <v>-335.745877992226</v>
      </c>
      <c r="AG100" s="11" t="n">
        <f aca="false">IF(AC100&lt;Floor_F,MAX((-(Cost_k*Ubar_c+Delay_D)*(1-EXP(-Rho_a*LN((Top_c-AC100)/(Top_c-Floor_F))/Delta_c))/Rho_a+EXP(-Rho_a*LN((Top_c-AC100)/(Top_c-Floor_F))/Delta_c)*(-Cost_k*Delta_c*Floor_F/Rho_a)),(-Delay_D/Rho_a)),(EXP(-Rho_a*LN(AC100/Floor_F)/Delta_c)*(-Cost_k*Delta_c*Floor_F/Rho_a)))</f>
        <v>-335.745877992226</v>
      </c>
      <c r="AH100" s="22" t="n">
        <f aca="false">ABS(AF100-AG100)</f>
        <v>0</v>
      </c>
    </row>
    <row r="101" customFormat="false" ht="15" hidden="false" customHeight="false" outlineLevel="0" collapsed="false">
      <c r="H101" s="17" t="n">
        <f aca="false">30+81*$I$5</f>
        <v>70.5</v>
      </c>
      <c r="I101" s="17" t="n">
        <f aca="false">-Delta_c*H101</f>
        <v>-7.13962185156975</v>
      </c>
      <c r="K101" s="11" t="n">
        <f aca="false">(-I101/$I$5*K100)/(Rho_a-I101/$I$5)</f>
        <v>-185.385916382254</v>
      </c>
      <c r="L101" s="11" t="n">
        <f aca="false">IF(H101&lt;Floor_F,MAX((-(Cost_k*Ubar_c+Delay_D)*(1-EXP(-Rho_a*LN((Top_c-H101)/(Top_c-Floor_F))/Delta_c))/Rho_a+EXP(-Rho_a*LN((Top_c-H101)/(Top_c-Floor_F))/Delta_c)*(-Cost_k*Delta_c*Floor_F/Rho_a)),(-Delay_D/Rho_a)),(EXP(-Rho_a*LN(H101/Floor_F)/Delta_c)*(-Cost_k*Delta_c*Floor_F/Rho_a)))</f>
        <v>-185.050372317755</v>
      </c>
      <c r="M101" s="22" t="n">
        <f aca="false">ABS(K101-L101)</f>
        <v>0.335544064499146</v>
      </c>
      <c r="O101" s="17" t="n">
        <f aca="false">30+81*$P$5</f>
        <v>50.25</v>
      </c>
      <c r="P101" s="17" t="n">
        <f aca="false">Ubar_c-Delta_c*O101</f>
        <v>5.03824378887369</v>
      </c>
      <c r="Q101" s="11" t="n">
        <f aca="false">(-(Cost_k*Ubar_c+Delay_D)+P101/$P$5*Q102)/(Rho_a+P101/$P$5)</f>
        <v>-281.021364016744</v>
      </c>
      <c r="R101" s="11" t="n">
        <f aca="false">MAX(Q101,-Delay_D/Rho_a)</f>
        <v>-281.021364016744</v>
      </c>
      <c r="S101" s="11" t="n">
        <f aca="false">IF(O101&lt;Floor_F,MAX((-(Cost_k*Ubar_c+Delay_D)*(1-EXP(-Rho_a*LN((Top_c-O101)/(Top_c-Floor_F))/Delta_c))/Rho_a+EXP(-Rho_a*LN((Top_c-O101)/(Top_c-Floor_F))/Delta_c)*(-Cost_k*Delta_c*Floor_F/Rho_a)),(-Delay_D/Rho_a)),(EXP(-Rho_a*LN(O101/Floor_F)/Delta_c)*(-Cost_k*Delta_c*Floor_F/Rho_a)))</f>
        <v>-281.252575137408</v>
      </c>
      <c r="T101" s="22" t="n">
        <f aca="false">ABS(R101-S101)</f>
        <v>0.231211120663488</v>
      </c>
      <c r="V101" s="17" t="n">
        <f aca="false">30+81*$W$5</f>
        <v>40.125</v>
      </c>
      <c r="W101" s="17" t="n">
        <f aca="false">Ubar_c-Delta_c*V101</f>
        <v>6.06361501223743</v>
      </c>
      <c r="X101" s="11" t="n">
        <f aca="false">(-(Cost_k*Ubar_c+Delay_D)+W101/$W$5*X102)/(Rho_a+W101/$W$5)</f>
        <v>-357.717306831198</v>
      </c>
      <c r="Y101" s="11" t="n">
        <f aca="false">MAX(X101,-Delay_D/Rho_a)</f>
        <v>-335.745877992226</v>
      </c>
      <c r="Z101" s="11" t="n">
        <f aca="false">IF(V101&lt;Floor_F,MAX((-(Cost_k*Ubar_c+Delay_D)*(1-EXP(-Rho_a*LN((Top_c-V101)/(Top_c-Floor_F))/Delta_c))/Rho_a+EXP(-Rho_a*LN((Top_c-V101)/(Top_c-Floor_F))/Delta_c)*(-Cost_k*Delta_c*Floor_F/Rho_a)),(-Delay_D/Rho_a)),(EXP(-Rho_a*LN(V101/Floor_F)/Delta_c)*(-Cost_k*Delta_c*Floor_F/Rho_a)))</f>
        <v>-335.745877992226</v>
      </c>
      <c r="AA101" s="22" t="n">
        <f aca="false">ABS(Y101-Z101)</f>
        <v>0</v>
      </c>
      <c r="AC101" s="17" t="n">
        <f aca="false">30+81*$AD$5</f>
        <v>35.0625</v>
      </c>
      <c r="AD101" s="17" t="n">
        <f aca="false">Ubar_c-Delta_c*AC101</f>
        <v>6.5763006239193</v>
      </c>
      <c r="AE101" s="11" t="n">
        <f aca="false">(-(Cost_k*Ubar_c+Delay_D)+AD101/$AD$5*AE102)/(Rho_a+AD101/$AD$5)</f>
        <v>-387.448412267809</v>
      </c>
      <c r="AF101" s="11" t="n">
        <f aca="false">MAX(AE101,-Delay_D/Rho_a)</f>
        <v>-335.745877992226</v>
      </c>
      <c r="AG101" s="11" t="n">
        <f aca="false">IF(AC101&lt;Floor_F,MAX((-(Cost_k*Ubar_c+Delay_D)*(1-EXP(-Rho_a*LN((Top_c-AC101)/(Top_c-Floor_F))/Delta_c))/Rho_a+EXP(-Rho_a*LN((Top_c-AC101)/(Top_c-Floor_F))/Delta_c)*(-Cost_k*Delta_c*Floor_F/Rho_a)),(-Delay_D/Rho_a)),(EXP(-Rho_a*LN(AC101/Floor_F)/Delta_c)*(-Cost_k*Delta_c*Floor_F/Rho_a)))</f>
        <v>-335.745877992226</v>
      </c>
      <c r="AH101" s="22" t="n">
        <f aca="false">ABS(AF101-AG101)</f>
        <v>0</v>
      </c>
    </row>
    <row r="102" customFormat="false" ht="15" hidden="false" customHeight="false" outlineLevel="0" collapsed="false">
      <c r="H102" s="17" t="n">
        <f aca="false">30+82*$I$5</f>
        <v>71</v>
      </c>
      <c r="I102" s="17" t="n">
        <f aca="false">-Delta_c*H102</f>
        <v>-7.19025746753833</v>
      </c>
      <c r="K102" s="11" t="n">
        <f aca="false">(-I102/$I$5*K101)/(Rho_a-I102/$I$5)</f>
        <v>-184.165318255145</v>
      </c>
      <c r="L102" s="11" t="n">
        <f aca="false">IF(H102&lt;Floor_F,MAX((-(Cost_k*Ubar_c+Delay_D)*(1-EXP(-Rho_a*LN((Top_c-H102)/(Top_c-Floor_F))/Delta_c))/Rho_a+EXP(-Rho_a*LN((Top_c-H102)/(Top_c-Floor_F))/Delta_c)*(-Cost_k*Delta_c*Floor_F/Rho_a)),(-Delay_D/Rho_a)),(EXP(-Rho_a*LN(H102/Floor_F)/Delta_c)*(-Cost_k*Delta_c*Floor_F/Rho_a)))</f>
        <v>-183.823653457875</v>
      </c>
      <c r="M102" s="22" t="n">
        <f aca="false">ABS(K102-L102)</f>
        <v>0.341664797270028</v>
      </c>
      <c r="O102" s="17" t="n">
        <f aca="false">30+82*$P$5</f>
        <v>50.5</v>
      </c>
      <c r="P102" s="17" t="n">
        <f aca="false">Ubar_c-Delta_c*O102</f>
        <v>5.0129259808894</v>
      </c>
      <c r="Q102" s="11" t="n">
        <f aca="false">(-(Cost_k*Ubar_c+Delay_D)+P102/$P$5*Q103)/(Rho_a+P102/$P$5)</f>
        <v>-278.752503181618</v>
      </c>
      <c r="R102" s="11" t="n">
        <f aca="false">MAX(Q102,-Delay_D/Rho_a)</f>
        <v>-278.752503181618</v>
      </c>
      <c r="S102" s="11" t="n">
        <f aca="false">IF(O102&lt;Floor_F,MAX((-(Cost_k*Ubar_c+Delay_D)*(1-EXP(-Rho_a*LN((Top_c-O102)/(Top_c-Floor_F))/Delta_c))/Rho_a+EXP(-Rho_a*LN((Top_c-O102)/(Top_c-Floor_F))/Delta_c)*(-Cost_k*Delta_c*Floor_F/Rho_a)),(-Delay_D/Rho_a)),(EXP(-Rho_a*LN(O102/Floor_F)/Delta_c)*(-Cost_k*Delta_c*Floor_F/Rho_a)))</f>
        <v>-278.973692592374</v>
      </c>
      <c r="T102" s="22" t="n">
        <f aca="false">ABS(R102-S102)</f>
        <v>0.22118941075604</v>
      </c>
      <c r="V102" s="17" t="n">
        <f aca="false">30+82*$W$5</f>
        <v>40.25</v>
      </c>
      <c r="W102" s="17" t="n">
        <f aca="false">Ubar_c-Delta_c*V102</f>
        <v>6.05095610824529</v>
      </c>
      <c r="X102" s="11" t="n">
        <f aca="false">(-(Cost_k*Ubar_c+Delay_D)+W102/$W$5*X103)/(Rho_a+W102/$W$5)</f>
        <v>-356.925403159375</v>
      </c>
      <c r="Y102" s="11" t="n">
        <f aca="false">MAX(X102,-Delay_D/Rho_a)</f>
        <v>-335.745877992226</v>
      </c>
      <c r="Z102" s="11" t="n">
        <f aca="false">IF(V102&lt;Floor_F,MAX((-(Cost_k*Ubar_c+Delay_D)*(1-EXP(-Rho_a*LN((Top_c-V102)/(Top_c-Floor_F))/Delta_c))/Rho_a+EXP(-Rho_a*LN((Top_c-V102)/(Top_c-Floor_F))/Delta_c)*(-Cost_k*Delta_c*Floor_F/Rho_a)),(-Delay_D/Rho_a)),(EXP(-Rho_a*LN(V102/Floor_F)/Delta_c)*(-Cost_k*Delta_c*Floor_F/Rho_a)))</f>
        <v>-335.745877992226</v>
      </c>
      <c r="AA102" s="22" t="n">
        <f aca="false">ABS(Y102-Z102)</f>
        <v>0</v>
      </c>
      <c r="AC102" s="17" t="n">
        <f aca="false">30+82*$AD$5</f>
        <v>35.125</v>
      </c>
      <c r="AD102" s="17" t="n">
        <f aca="false">Ubar_c-Delta_c*AC102</f>
        <v>6.56997117192323</v>
      </c>
      <c r="AE102" s="11" t="n">
        <f aca="false">(-(Cost_k*Ubar_c+Delay_D)+AD102/$AD$5*AE103)/(Rho_a+AD102/$AD$5)</f>
        <v>-387.110259435279</v>
      </c>
      <c r="AF102" s="11" t="n">
        <f aca="false">MAX(AE102,-Delay_D/Rho_a)</f>
        <v>-335.745877992226</v>
      </c>
      <c r="AG102" s="11" t="n">
        <f aca="false">IF(AC102&lt;Floor_F,MAX((-(Cost_k*Ubar_c+Delay_D)*(1-EXP(-Rho_a*LN((Top_c-AC102)/(Top_c-Floor_F))/Delta_c))/Rho_a+EXP(-Rho_a*LN((Top_c-AC102)/(Top_c-Floor_F))/Delta_c)*(-Cost_k*Delta_c*Floor_F/Rho_a)),(-Delay_D/Rho_a)),(EXP(-Rho_a*LN(AC102/Floor_F)/Delta_c)*(-Cost_k*Delta_c*Floor_F/Rho_a)))</f>
        <v>-335.745877992226</v>
      </c>
      <c r="AH102" s="22" t="n">
        <f aca="false">ABS(AF102-AG102)</f>
        <v>0</v>
      </c>
    </row>
    <row r="103" customFormat="false" ht="15" hidden="false" customHeight="false" outlineLevel="0" collapsed="false">
      <c r="H103" s="17" t="n">
        <f aca="false">30+83*$I$5</f>
        <v>71.5</v>
      </c>
      <c r="I103" s="17" t="n">
        <f aca="false">-Delta_c*H103</f>
        <v>-7.24089308350691</v>
      </c>
      <c r="K103" s="11" t="n">
        <f aca="false">(-I103/$I$5*K102)/(Rho_a-I103/$I$5)</f>
        <v>-182.961180669785</v>
      </c>
      <c r="L103" s="11" t="n">
        <f aca="false">IF(H103&lt;Floor_F,MAX((-(Cost_k*Ubar_c+Delay_D)*(1-EXP(-Rho_a*LN((Top_c-H103)/(Top_c-Floor_F))/Delta_c))/Rho_a+EXP(-Rho_a*LN((Top_c-H103)/(Top_c-Floor_F))/Delta_c)*(-Cost_k*Delta_c*Floor_F/Rho_a)),(-Delay_D/Rho_a)),(EXP(-Rho_a*LN(H103/Floor_F)/Delta_c)*(-Cost_k*Delta_c*Floor_F/Rho_a)))</f>
        <v>-182.6135899978</v>
      </c>
      <c r="M103" s="22" t="n">
        <f aca="false">ABS(K103-L103)</f>
        <v>0.347590671984619</v>
      </c>
      <c r="O103" s="17" t="n">
        <f aca="false">30+83*$P$5</f>
        <v>50.75</v>
      </c>
      <c r="P103" s="17" t="n">
        <f aca="false">Ubar_c-Delta_c*O103</f>
        <v>4.98760817290511</v>
      </c>
      <c r="Q103" s="11" t="n">
        <f aca="false">(-(Cost_k*Ubar_c+Delay_D)+P103/$P$5*Q104)/(Rho_a+P103/$P$5)</f>
        <v>-276.46139905646</v>
      </c>
      <c r="R103" s="11" t="n">
        <f aca="false">MAX(Q103,-Delay_D/Rho_a)</f>
        <v>-276.46139905646</v>
      </c>
      <c r="S103" s="11" t="n">
        <f aca="false">IF(O103&lt;Floor_F,MAX((-(Cost_k*Ubar_c+Delay_D)*(1-EXP(-Rho_a*LN((Top_c-O103)/(Top_c-Floor_F))/Delta_c))/Rho_a+EXP(-Rho_a*LN((Top_c-O103)/(Top_c-Floor_F))/Delta_c)*(-Cost_k*Delta_c*Floor_F/Rho_a)),(-Delay_D/Rho_a)),(EXP(-Rho_a*LN(O103/Floor_F)/Delta_c)*(-Cost_k*Delta_c*Floor_F/Rho_a)))</f>
        <v>-276.672358444265</v>
      </c>
      <c r="T103" s="22" t="n">
        <f aca="false">ABS(R103-S103)</f>
        <v>0.21095938780536</v>
      </c>
      <c r="V103" s="17" t="n">
        <f aca="false">30+83*$W$5</f>
        <v>40.375</v>
      </c>
      <c r="W103" s="17" t="n">
        <f aca="false">Ubar_c-Delta_c*V103</f>
        <v>6.03829720425314</v>
      </c>
      <c r="X103" s="11" t="n">
        <f aca="false">(-(Cost_k*Ubar_c+Delay_D)+W103/$W$5*X104)/(Rho_a+W103/$W$5)</f>
        <v>-356.130283600282</v>
      </c>
      <c r="Y103" s="11" t="n">
        <f aca="false">MAX(X103,-Delay_D/Rho_a)</f>
        <v>-335.745877992226</v>
      </c>
      <c r="Z103" s="11" t="n">
        <f aca="false">IF(V103&lt;Floor_F,MAX((-(Cost_k*Ubar_c+Delay_D)*(1-EXP(-Rho_a*LN((Top_c-V103)/(Top_c-Floor_F))/Delta_c))/Rho_a+EXP(-Rho_a*LN((Top_c-V103)/(Top_c-Floor_F))/Delta_c)*(-Cost_k*Delta_c*Floor_F/Rho_a)),(-Delay_D/Rho_a)),(EXP(-Rho_a*LN(V103/Floor_F)/Delta_c)*(-Cost_k*Delta_c*Floor_F/Rho_a)))</f>
        <v>-335.745877992226</v>
      </c>
      <c r="AA103" s="22" t="n">
        <f aca="false">ABS(Y103-Z103)</f>
        <v>0</v>
      </c>
      <c r="AC103" s="17" t="n">
        <f aca="false">30+83*$AD$5</f>
        <v>35.1875</v>
      </c>
      <c r="AD103" s="17" t="n">
        <f aca="false">Ubar_c-Delta_c*AC103</f>
        <v>6.56364171992716</v>
      </c>
      <c r="AE103" s="11" t="n">
        <f aca="false">(-(Cost_k*Ubar_c+Delay_D)+AD103/$AD$5*AE104)/(Rho_a+AD103/$AD$5)</f>
        <v>-386.771474231623</v>
      </c>
      <c r="AF103" s="11" t="n">
        <f aca="false">MAX(AE103,-Delay_D/Rho_a)</f>
        <v>-335.745877992226</v>
      </c>
      <c r="AG103" s="11" t="n">
        <f aca="false">IF(AC103&lt;Floor_F,MAX((-(Cost_k*Ubar_c+Delay_D)*(1-EXP(-Rho_a*LN((Top_c-AC103)/(Top_c-Floor_F))/Delta_c))/Rho_a+EXP(-Rho_a*LN((Top_c-AC103)/(Top_c-Floor_F))/Delta_c)*(-Cost_k*Delta_c*Floor_F/Rho_a)),(-Delay_D/Rho_a)),(EXP(-Rho_a*LN(AC103/Floor_F)/Delta_c)*(-Cost_k*Delta_c*Floor_F/Rho_a)))</f>
        <v>-335.745877992226</v>
      </c>
      <c r="AH103" s="22" t="n">
        <f aca="false">ABS(AF103-AG103)</f>
        <v>0</v>
      </c>
    </row>
    <row r="104" customFormat="false" ht="15" hidden="false" customHeight="false" outlineLevel="0" collapsed="false">
      <c r="H104" s="17" t="n">
        <f aca="false">30+84*$I$5</f>
        <v>72</v>
      </c>
      <c r="I104" s="17" t="n">
        <f aca="false">-Delta_c*H104</f>
        <v>-7.29152869947549</v>
      </c>
      <c r="K104" s="11" t="n">
        <f aca="false">(-I104/$I$5*K103)/(Rho_a-I104/$I$5)</f>
        <v>-181.773169609748</v>
      </c>
      <c r="L104" s="11" t="n">
        <f aca="false">IF(H104&lt;Floor_F,MAX((-(Cost_k*Ubar_c+Delay_D)*(1-EXP(-Rho_a*LN((Top_c-H104)/(Top_c-Floor_F))/Delta_c))/Rho_a+EXP(-Rho_a*LN((Top_c-H104)/(Top_c-Floor_F))/Delta_c)*(-Cost_k*Delta_c*Floor_F/Rho_a)),(-Delay_D/Rho_a)),(EXP(-Rho_a*LN(H104/Floor_F)/Delta_c)*(-Cost_k*Delta_c*Floor_F/Rho_a)))</f>
        <v>-181.419841688328</v>
      </c>
      <c r="M104" s="22" t="n">
        <f aca="false">ABS(K104-L104)</f>
        <v>0.353327921420174</v>
      </c>
      <c r="O104" s="17" t="n">
        <f aca="false">30+84*$P$5</f>
        <v>51</v>
      </c>
      <c r="P104" s="17" t="n">
        <f aca="false">Ubar_c-Delta_c*O104</f>
        <v>4.96229036492082</v>
      </c>
      <c r="Q104" s="11" t="n">
        <f aca="false">(-(Cost_k*Ubar_c+Delay_D)+P104/$P$5*Q105)/(Rho_a+P104/$P$5)</f>
        <v>-274.147719557106</v>
      </c>
      <c r="R104" s="11" t="n">
        <f aca="false">MAX(Q104,-Delay_D/Rho_a)</f>
        <v>-274.147719557106</v>
      </c>
      <c r="S104" s="11" t="n">
        <f aca="false">IF(O104&lt;Floor_F,MAX((-(Cost_k*Ubar_c+Delay_D)*(1-EXP(-Rho_a*LN((Top_c-O104)/(Top_c-Floor_F))/Delta_c))/Rho_a+EXP(-Rho_a*LN((Top_c-O104)/(Top_c-Floor_F))/Delta_c)*(-Cost_k*Delta_c*Floor_F/Rho_a)),(-Delay_D/Rho_a)),(EXP(-Rho_a*LN(O104/Floor_F)/Delta_c)*(-Cost_k*Delta_c*Floor_F/Rho_a)))</f>
        <v>-274.348235839119</v>
      </c>
      <c r="T104" s="22" t="n">
        <f aca="false">ABS(R104-S104)</f>
        <v>0.200516282012927</v>
      </c>
      <c r="V104" s="17" t="n">
        <f aca="false">30+84*$W$5</f>
        <v>40.5</v>
      </c>
      <c r="W104" s="17" t="n">
        <f aca="false">Ubar_c-Delta_c*V104</f>
        <v>6.025638300261</v>
      </c>
      <c r="X104" s="11" t="n">
        <f aca="false">(-(Cost_k*Ubar_c+Delay_D)+W104/$W$5*X105)/(Rho_a+W104/$W$5)</f>
        <v>-355.331928325057</v>
      </c>
      <c r="Y104" s="11" t="n">
        <f aca="false">MAX(X104,-Delay_D/Rho_a)</f>
        <v>-335.745877992226</v>
      </c>
      <c r="Z104" s="11" t="n">
        <f aca="false">IF(V104&lt;Floor_F,MAX((-(Cost_k*Ubar_c+Delay_D)*(1-EXP(-Rho_a*LN((Top_c-V104)/(Top_c-Floor_F))/Delta_c))/Rho_a+EXP(-Rho_a*LN((Top_c-V104)/(Top_c-Floor_F))/Delta_c)*(-Cost_k*Delta_c*Floor_F/Rho_a)),(-Delay_D/Rho_a)),(EXP(-Rho_a*LN(V104/Floor_F)/Delta_c)*(-Cost_k*Delta_c*Floor_F/Rho_a)))</f>
        <v>-335.745877992226</v>
      </c>
      <c r="AA104" s="22" t="n">
        <f aca="false">ABS(Y104-Z104)</f>
        <v>0</v>
      </c>
      <c r="AC104" s="17" t="n">
        <f aca="false">30+84*$AD$5</f>
        <v>35.25</v>
      </c>
      <c r="AD104" s="17" t="n">
        <f aca="false">Ubar_c-Delta_c*AC104</f>
        <v>6.55731226793109</v>
      </c>
      <c r="AE104" s="11" t="n">
        <f aca="false">(-(Cost_k*Ubar_c+Delay_D)+AD104/$AD$5*AE105)/(Rho_a+AD104/$AD$5)</f>
        <v>-386.432054863309</v>
      </c>
      <c r="AF104" s="11" t="n">
        <f aca="false">MAX(AE104,-Delay_D/Rho_a)</f>
        <v>-335.745877992226</v>
      </c>
      <c r="AG104" s="11" t="n">
        <f aca="false">IF(AC104&lt;Floor_F,MAX((-(Cost_k*Ubar_c+Delay_D)*(1-EXP(-Rho_a*LN((Top_c-AC104)/(Top_c-Floor_F))/Delta_c))/Rho_a+EXP(-Rho_a*LN((Top_c-AC104)/(Top_c-Floor_F))/Delta_c)*(-Cost_k*Delta_c*Floor_F/Rho_a)),(-Delay_D/Rho_a)),(EXP(-Rho_a*LN(AC104/Floor_F)/Delta_c)*(-Cost_k*Delta_c*Floor_F/Rho_a)))</f>
        <v>-335.745877992226</v>
      </c>
      <c r="AH104" s="22" t="n">
        <f aca="false">ABS(AF104-AG104)</f>
        <v>0</v>
      </c>
    </row>
    <row r="105" customFormat="false" ht="15" hidden="false" customHeight="false" outlineLevel="0" collapsed="false">
      <c r="H105" s="17" t="n">
        <f aca="false">30+85*$I$5</f>
        <v>72.5</v>
      </c>
      <c r="I105" s="17" t="n">
        <f aca="false">-Delta_c*H105</f>
        <v>-7.34216431544407</v>
      </c>
      <c r="K105" s="11" t="n">
        <f aca="false">(-I105/$I$5*K104)/(Rho_a-I105/$I$5)</f>
        <v>-180.600960078716</v>
      </c>
      <c r="L105" s="11" t="n">
        <f aca="false">IF(H105&lt;Floor_F,MAX((-(Cost_k*Ubar_c+Delay_D)*(1-EXP(-Rho_a*LN((Top_c-H105)/(Top_c-Floor_F))/Delta_c))/Rho_a+EXP(-Rho_a*LN((Top_c-H105)/(Top_c-Floor_F))/Delta_c)*(-Cost_k*Delta_c*Floor_F/Rho_a)),(-Delay_D/Rho_a)),(EXP(-Rho_a*LN(H105/Floor_F)/Delta_c)*(-Cost_k*Delta_c*Floor_F/Rho_a)))</f>
        <v>-180.242077530205</v>
      </c>
      <c r="M105" s="22" t="n">
        <f aca="false">ABS(K105-L105)</f>
        <v>0.358882548511247</v>
      </c>
      <c r="O105" s="17" t="n">
        <f aca="false">30+85*$P$5</f>
        <v>51.25</v>
      </c>
      <c r="P105" s="17" t="n">
        <f aca="false">Ubar_c-Delta_c*O105</f>
        <v>4.93697255693653</v>
      </c>
      <c r="Q105" s="11" t="n">
        <f aca="false">(-(Cost_k*Ubar_c+Delay_D)+P105/$P$5*Q106)/(Rho_a+P105/$P$5)</f>
        <v>-271.811125921897</v>
      </c>
      <c r="R105" s="11" t="n">
        <f aca="false">MAX(Q105,-Delay_D/Rho_a)</f>
        <v>-271.811125921897</v>
      </c>
      <c r="S105" s="11" t="n">
        <f aca="false">IF(O105&lt;Floor_F,MAX((-(Cost_k*Ubar_c+Delay_D)*(1-EXP(-Rho_a*LN((Top_c-O105)/(Top_c-Floor_F))/Delta_c))/Rho_a+EXP(-Rho_a*LN((Top_c-O105)/(Top_c-Floor_F))/Delta_c)*(-Cost_k*Delta_c*Floor_F/Rho_a)),(-Delay_D/Rho_a)),(EXP(-Rho_a*LN(O105/Floor_F)/Delta_c)*(-Cost_k*Delta_c*Floor_F/Rho_a)))</f>
        <v>-272.000981115855</v>
      </c>
      <c r="T105" s="22" t="n">
        <f aca="false">ABS(R105-S105)</f>
        <v>0.189855193957783</v>
      </c>
      <c r="V105" s="17" t="n">
        <f aca="false">30+85*$W$5</f>
        <v>40.625</v>
      </c>
      <c r="W105" s="17" t="n">
        <f aca="false">Ubar_c-Delta_c*V105</f>
        <v>6.01297939626885</v>
      </c>
      <c r="X105" s="11" t="n">
        <f aca="false">(-(Cost_k*Ubar_c+Delay_D)+W105/$W$5*X106)/(Rho_a+W105/$W$5)</f>
        <v>-354.530317340659</v>
      </c>
      <c r="Y105" s="11" t="n">
        <f aca="false">MAX(X105,-Delay_D/Rho_a)</f>
        <v>-335.745877992226</v>
      </c>
      <c r="Z105" s="11" t="n">
        <f aca="false">IF(V105&lt;Floor_F,MAX((-(Cost_k*Ubar_c+Delay_D)*(1-EXP(-Rho_a*LN((Top_c-V105)/(Top_c-Floor_F))/Delta_c))/Rho_a+EXP(-Rho_a*LN((Top_c-V105)/(Top_c-Floor_F))/Delta_c)*(-Cost_k*Delta_c*Floor_F/Rho_a)),(-Delay_D/Rho_a)),(EXP(-Rho_a*LN(V105/Floor_F)/Delta_c)*(-Cost_k*Delta_c*Floor_F/Rho_a)))</f>
        <v>-335.745877992226</v>
      </c>
      <c r="AA105" s="22" t="n">
        <f aca="false">ABS(Y105-Z105)</f>
        <v>0</v>
      </c>
      <c r="AC105" s="17" t="n">
        <f aca="false">30+85*$AD$5</f>
        <v>35.3125</v>
      </c>
      <c r="AD105" s="17" t="n">
        <f aca="false">Ubar_c-Delta_c*AC105</f>
        <v>6.55098281593501</v>
      </c>
      <c r="AE105" s="11" t="n">
        <f aca="false">(-(Cost_k*Ubar_c+Delay_D)+AD105/$AD$5*AE106)/(Rho_a+AD105/$AD$5)</f>
        <v>-386.091999529985</v>
      </c>
      <c r="AF105" s="11" t="n">
        <f aca="false">MAX(AE105,-Delay_D/Rho_a)</f>
        <v>-335.745877992226</v>
      </c>
      <c r="AG105" s="11" t="n">
        <f aca="false">IF(AC105&lt;Floor_F,MAX((-(Cost_k*Ubar_c+Delay_D)*(1-EXP(-Rho_a*LN((Top_c-AC105)/(Top_c-Floor_F))/Delta_c))/Rho_a+EXP(-Rho_a*LN((Top_c-AC105)/(Top_c-Floor_F))/Delta_c)*(-Cost_k*Delta_c*Floor_F/Rho_a)),(-Delay_D/Rho_a)),(EXP(-Rho_a*LN(AC105/Floor_F)/Delta_c)*(-Cost_k*Delta_c*Floor_F/Rho_a)))</f>
        <v>-335.745877992226</v>
      </c>
      <c r="AH105" s="22" t="n">
        <f aca="false">ABS(AF105-AG105)</f>
        <v>0</v>
      </c>
    </row>
    <row r="106" customFormat="false" ht="15" hidden="false" customHeight="false" outlineLevel="0" collapsed="false">
      <c r="H106" s="17" t="n">
        <f aca="false">30+86*$I$5</f>
        <v>73</v>
      </c>
      <c r="I106" s="17" t="n">
        <f aca="false">-Delta_c*H106</f>
        <v>-7.39279993141265</v>
      </c>
      <c r="K106" s="11" t="n">
        <f aca="false">(-I106/$I$5*K105)/(Rho_a-I106/$I$5)</f>
        <v>-179.444235797161</v>
      </c>
      <c r="L106" s="11" t="n">
        <f aca="false">IF(H106&lt;Floor_F,MAX((-(Cost_k*Ubar_c+Delay_D)*(1-EXP(-Rho_a*LN((Top_c-H106)/(Top_c-Floor_F))/Delta_c))/Rho_a+EXP(-Rho_a*LN((Top_c-H106)/(Top_c-Floor_F))/Delta_c)*(-Cost_k*Delta_c*Floor_F/Rho_a)),(-Delay_D/Rho_a)),(EXP(-Rho_a*LN(H106/Floor_F)/Delta_c)*(-Cost_k*Delta_c*Floor_F/Rho_a)))</f>
        <v>-179.079975461014</v>
      </c>
      <c r="M106" s="22" t="n">
        <f aca="false">ABS(K106-L106)</f>
        <v>0.364260336147083</v>
      </c>
      <c r="O106" s="17" t="n">
        <f aca="false">30+86*$P$5</f>
        <v>51.5</v>
      </c>
      <c r="P106" s="17" t="n">
        <f aca="false">Ubar_c-Delta_c*O106</f>
        <v>4.91165474895224</v>
      </c>
      <c r="Q106" s="11" t="n">
        <f aca="false">(-(Cost_k*Ubar_c+Delay_D)+P106/$P$5*Q107)/(Rho_a+P106/$P$5)</f>
        <v>-269.451272542474</v>
      </c>
      <c r="R106" s="11" t="n">
        <f aca="false">MAX(Q106,-Delay_D/Rho_a)</f>
        <v>-269.451272542474</v>
      </c>
      <c r="S106" s="11" t="n">
        <f aca="false">IF(O106&lt;Floor_F,MAX((-(Cost_k*Ubar_c+Delay_D)*(1-EXP(-Rho_a*LN((Top_c-O106)/(Top_c-Floor_F))/Delta_c))/Rho_a+EXP(-Rho_a*LN((Top_c-O106)/(Top_c-Floor_F))/Delta_c)*(-Cost_k*Delta_c*Floor_F/Rho_a)),(-Delay_D/Rho_a)),(EXP(-Rho_a*LN(O106/Floor_F)/Delta_c)*(-Cost_k*Delta_c*Floor_F/Rho_a)))</f>
        <v>-269.630243632922</v>
      </c>
      <c r="T106" s="22" t="n">
        <f aca="false">ABS(R106-S106)</f>
        <v>0.178971090448385</v>
      </c>
      <c r="V106" s="17" t="n">
        <f aca="false">30+86*$W$5</f>
        <v>40.75</v>
      </c>
      <c r="W106" s="17" t="n">
        <f aca="false">Ubar_c-Delta_c*V106</f>
        <v>6.00032049227671</v>
      </c>
      <c r="X106" s="11" t="n">
        <f aca="false">(-(Cost_k*Ubar_c+Delay_D)+W106/$W$5*X107)/(Rho_a+W106/$W$5)</f>
        <v>-353.725430488164</v>
      </c>
      <c r="Y106" s="11" t="n">
        <f aca="false">MAX(X106,-Delay_D/Rho_a)</f>
        <v>-335.745877992226</v>
      </c>
      <c r="Z106" s="11" t="n">
        <f aca="false">IF(V106&lt;Floor_F,MAX((-(Cost_k*Ubar_c+Delay_D)*(1-EXP(-Rho_a*LN((Top_c-V106)/(Top_c-Floor_F))/Delta_c))/Rho_a+EXP(-Rho_a*LN((Top_c-V106)/(Top_c-Floor_F))/Delta_c)*(-Cost_k*Delta_c*Floor_F/Rho_a)),(-Delay_D/Rho_a)),(EXP(-Rho_a*LN(V106/Floor_F)/Delta_c)*(-Cost_k*Delta_c*Floor_F/Rho_a)))</f>
        <v>-335.745877992226</v>
      </c>
      <c r="AA106" s="22" t="n">
        <f aca="false">ABS(Y106-Z106)</f>
        <v>0</v>
      </c>
      <c r="AC106" s="17" t="n">
        <f aca="false">30+86*$AD$5</f>
        <v>35.375</v>
      </c>
      <c r="AD106" s="17" t="n">
        <f aca="false">Ubar_c-Delta_c*AC106</f>
        <v>6.54465336393894</v>
      </c>
      <c r="AE106" s="11" t="n">
        <f aca="false">(-(Cost_k*Ubar_c+Delay_D)+AD106/$AD$5*AE107)/(Rho_a+AD106/$AD$5)</f>
        <v>-385.751306424443</v>
      </c>
      <c r="AF106" s="11" t="n">
        <f aca="false">MAX(AE106,-Delay_D/Rho_a)</f>
        <v>-335.745877992226</v>
      </c>
      <c r="AG106" s="11" t="n">
        <f aca="false">IF(AC106&lt;Floor_F,MAX((-(Cost_k*Ubar_c+Delay_D)*(1-EXP(-Rho_a*LN((Top_c-AC106)/(Top_c-Floor_F))/Delta_c))/Rho_a+EXP(-Rho_a*LN((Top_c-AC106)/(Top_c-Floor_F))/Delta_c)*(-Cost_k*Delta_c*Floor_F/Rho_a)),(-Delay_D/Rho_a)),(EXP(-Rho_a*LN(AC106/Floor_F)/Delta_c)*(-Cost_k*Delta_c*Floor_F/Rho_a)))</f>
        <v>-335.745877992226</v>
      </c>
      <c r="AH106" s="22" t="n">
        <f aca="false">ABS(AF106-AG106)</f>
        <v>0</v>
      </c>
    </row>
    <row r="107" customFormat="false" ht="15" hidden="false" customHeight="false" outlineLevel="0" collapsed="false">
      <c r="H107" s="17" t="n">
        <f aca="false">30+87*$I$5</f>
        <v>73.5</v>
      </c>
      <c r="I107" s="17" t="n">
        <f aca="false">-Delta_c*H107</f>
        <v>-7.44343554738123</v>
      </c>
      <c r="K107" s="11" t="n">
        <f aca="false">(-I107/$I$5*K106)/(Rho_a-I107/$I$5)</f>
        <v>-178.302688911214</v>
      </c>
      <c r="L107" s="11" t="n">
        <f aca="false">IF(H107&lt;Floor_F,MAX((-(Cost_k*Ubar_c+Delay_D)*(1-EXP(-Rho_a*LN((Top_c-H107)/(Top_c-Floor_F))/Delta_c))/Rho_a+EXP(-Rho_a*LN((Top_c-H107)/(Top_c-Floor_F))/Delta_c)*(-Cost_k*Delta_c*Floor_F/Rho_a)),(-Delay_D/Rho_a)),(EXP(-Rho_a*LN(H107/Floor_F)/Delta_c)*(-Cost_k*Delta_c*Floor_F/Rho_a)))</f>
        <v>-177.933222054722</v>
      </c>
      <c r="M107" s="22" t="n">
        <f aca="false">ABS(K107-L107)</f>
        <v>0.369466856492409</v>
      </c>
      <c r="O107" s="17" t="n">
        <f aca="false">30+87*$P$5</f>
        <v>51.75</v>
      </c>
      <c r="P107" s="17" t="n">
        <f aca="false">Ubar_c-Delta_c*O107</f>
        <v>4.88633694096795</v>
      </c>
      <c r="Q107" s="11" t="n">
        <f aca="false">(-(Cost_k*Ubar_c+Delay_D)+P107/$P$5*Q108)/(Rho_a+P107/$P$5)</f>
        <v>-267.067806789393</v>
      </c>
      <c r="R107" s="11" t="n">
        <f aca="false">MAX(Q107,-Delay_D/Rho_a)</f>
        <v>-267.067806789393</v>
      </c>
      <c r="S107" s="11" t="n">
        <f aca="false">IF(O107&lt;Floor_F,MAX((-(Cost_k*Ubar_c+Delay_D)*(1-EXP(-Rho_a*LN((Top_c-O107)/(Top_c-Floor_F))/Delta_c))/Rho_a+EXP(-Rho_a*LN((Top_c-O107)/(Top_c-Floor_F))/Delta_c)*(-Cost_k*Delta_c*Floor_F/Rho_a)),(-Delay_D/Rho_a)),(EXP(-Rho_a*LN(O107/Floor_F)/Delta_c)*(-Cost_k*Delta_c*Floor_F/Rho_a)))</f>
        <v>-267.235665589615</v>
      </c>
      <c r="T107" s="22" t="n">
        <f aca="false">ABS(R107-S107)</f>
        <v>0.16785880022212</v>
      </c>
      <c r="V107" s="17" t="n">
        <f aca="false">30+87*$W$5</f>
        <v>40.875</v>
      </c>
      <c r="W107" s="17" t="n">
        <f aca="false">Ubar_c-Delta_c*V107</f>
        <v>5.98766158828456</v>
      </c>
      <c r="X107" s="11" t="n">
        <f aca="false">(-(Cost_k*Ubar_c+Delay_D)+W107/$W$5*X108)/(Rho_a+W107/$W$5)</f>
        <v>-352.917247441033</v>
      </c>
      <c r="Y107" s="11" t="n">
        <f aca="false">MAX(X107,-Delay_D/Rho_a)</f>
        <v>-335.745877992226</v>
      </c>
      <c r="Z107" s="11" t="n">
        <f aca="false">IF(V107&lt;Floor_F,MAX((-(Cost_k*Ubar_c+Delay_D)*(1-EXP(-Rho_a*LN((Top_c-V107)/(Top_c-Floor_F))/Delta_c))/Rho_a+EXP(-Rho_a*LN((Top_c-V107)/(Top_c-Floor_F))/Delta_c)*(-Cost_k*Delta_c*Floor_F/Rho_a)),(-Delay_D/Rho_a)),(EXP(-Rho_a*LN(V107/Floor_F)/Delta_c)*(-Cost_k*Delta_c*Floor_F/Rho_a)))</f>
        <v>-335.745877992226</v>
      </c>
      <c r="AA107" s="22" t="n">
        <f aca="false">ABS(Y107-Z107)</f>
        <v>0</v>
      </c>
      <c r="AC107" s="17" t="n">
        <f aca="false">30+87*$AD$5</f>
        <v>35.4375</v>
      </c>
      <c r="AD107" s="17" t="n">
        <f aca="false">Ubar_c-Delta_c*AC107</f>
        <v>6.53832391194287</v>
      </c>
      <c r="AE107" s="11" t="n">
        <f aca="false">(-(Cost_k*Ubar_c+Delay_D)+AD107/$AD$5*AE108)/(Rho_a+AD107/$AD$5)</f>
        <v>-385.409973732585</v>
      </c>
      <c r="AF107" s="11" t="n">
        <f aca="false">MAX(AE107,-Delay_D/Rho_a)</f>
        <v>-335.745877992226</v>
      </c>
      <c r="AG107" s="11" t="n">
        <f aca="false">IF(AC107&lt;Floor_F,MAX((-(Cost_k*Ubar_c+Delay_D)*(1-EXP(-Rho_a*LN((Top_c-AC107)/(Top_c-Floor_F))/Delta_c))/Rho_a+EXP(-Rho_a*LN((Top_c-AC107)/(Top_c-Floor_F))/Delta_c)*(-Cost_k*Delta_c*Floor_F/Rho_a)),(-Delay_D/Rho_a)),(EXP(-Rho_a*LN(AC107/Floor_F)/Delta_c)*(-Cost_k*Delta_c*Floor_F/Rho_a)))</f>
        <v>-335.745877992226</v>
      </c>
      <c r="AH107" s="22" t="n">
        <f aca="false">ABS(AF107-AG107)</f>
        <v>0</v>
      </c>
    </row>
    <row r="108" customFormat="false" ht="15" hidden="false" customHeight="false" outlineLevel="0" collapsed="false">
      <c r="H108" s="17" t="n">
        <f aca="false">30+88*$I$5</f>
        <v>74</v>
      </c>
      <c r="I108" s="17" t="n">
        <f aca="false">-Delta_c*H108</f>
        <v>-7.49407116334981</v>
      </c>
      <c r="K108" s="11" t="n">
        <f aca="false">(-I108/$I$5*K107)/(Rho_a-I108/$I$5)</f>
        <v>-177.176019713138</v>
      </c>
      <c r="L108" s="11" t="n">
        <f aca="false">IF(H108&lt;Floor_F,MAX((-(Cost_k*Ubar_c+Delay_D)*(1-EXP(-Rho_a*LN((Top_c-H108)/(Top_c-Floor_F))/Delta_c))/Rho_a+EXP(-Rho_a*LN((Top_c-H108)/(Top_c-Floor_F))/Delta_c)*(-Cost_k*Delta_c*Floor_F/Rho_a)),(-Delay_D/Rho_a)),(EXP(-Rho_a*LN(H108/Floor_F)/Delta_c)*(-Cost_k*Delta_c*Floor_F/Rho_a)))</f>
        <v>-176.80151223328</v>
      </c>
      <c r="M108" s="22" t="n">
        <f aca="false">ABS(K108-L108)</f>
        <v>0.374507479858067</v>
      </c>
      <c r="O108" s="17" t="n">
        <f aca="false">30+88*$P$5</f>
        <v>52</v>
      </c>
      <c r="P108" s="17" t="n">
        <f aca="false">Ubar_c-Delta_c*O108</f>
        <v>4.86101913298366</v>
      </c>
      <c r="Q108" s="11" t="n">
        <f aca="false">(-(Cost_k*Ubar_c+Delay_D)+P108/$P$5*Q109)/(Rho_a+P108/$P$5)</f>
        <v>-264.660368832377</v>
      </c>
      <c r="R108" s="11" t="n">
        <f aca="false">MAX(Q108,-Delay_D/Rho_a)</f>
        <v>-264.660368832377</v>
      </c>
      <c r="S108" s="11" t="n">
        <f aca="false">IF(O108&lt;Floor_F,MAX((-(Cost_k*Ubar_c+Delay_D)*(1-EXP(-Rho_a*LN((Top_c-O108)/(Top_c-Floor_F))/Delta_c))/Rho_a+EXP(-Rho_a*LN((Top_c-O108)/(Top_c-Floor_F))/Delta_c)*(-Cost_k*Delta_c*Floor_F/Rho_a)),(-Delay_D/Rho_a)),(EXP(-Rho_a*LN(O108/Floor_F)/Delta_c)*(-Cost_k*Delta_c*Floor_F/Rho_a)))</f>
        <v>-264.81688184186</v>
      </c>
      <c r="T108" s="22" t="n">
        <f aca="false">ABS(R108-S108)</f>
        <v>0.15651300948349</v>
      </c>
      <c r="V108" s="17" t="n">
        <f aca="false">30+88*$W$5</f>
        <v>41</v>
      </c>
      <c r="W108" s="17" t="n">
        <f aca="false">Ubar_c-Delta_c*V108</f>
        <v>5.97500268429242</v>
      </c>
      <c r="X108" s="11" t="n">
        <f aca="false">(-(Cost_k*Ubar_c+Delay_D)+W108/$W$5*X109)/(Rho_a+W108/$W$5)</f>
        <v>-352.105747703363</v>
      </c>
      <c r="Y108" s="11" t="n">
        <f aca="false">MAX(X108,-Delay_D/Rho_a)</f>
        <v>-335.745877992226</v>
      </c>
      <c r="Z108" s="11" t="n">
        <f aca="false">IF(V108&lt;Floor_F,MAX((-(Cost_k*Ubar_c+Delay_D)*(1-EXP(-Rho_a*LN((Top_c-V108)/(Top_c-Floor_F))/Delta_c))/Rho_a+EXP(-Rho_a*LN((Top_c-V108)/(Top_c-Floor_F))/Delta_c)*(-Cost_k*Delta_c*Floor_F/Rho_a)),(-Delay_D/Rho_a)),(EXP(-Rho_a*LN(V108/Floor_F)/Delta_c)*(-Cost_k*Delta_c*Floor_F/Rho_a)))</f>
        <v>-335.745877992226</v>
      </c>
      <c r="AA108" s="22" t="n">
        <f aca="false">ABS(Y108-Z108)</f>
        <v>0</v>
      </c>
      <c r="AC108" s="17" t="n">
        <f aca="false">30+88*$AD$5</f>
        <v>35.5</v>
      </c>
      <c r="AD108" s="17" t="n">
        <f aca="false">Ubar_c-Delta_c*AC108</f>
        <v>6.53199445994679</v>
      </c>
      <c r="AE108" s="11" t="n">
        <f aca="false">(-(Cost_k*Ubar_c+Delay_D)+AD108/$AD$5*AE109)/(Rho_a+AD108/$AD$5)</f>
        <v>-385.067999633395</v>
      </c>
      <c r="AF108" s="11" t="n">
        <f aca="false">MAX(AE108,-Delay_D/Rho_a)</f>
        <v>-335.745877992226</v>
      </c>
      <c r="AG108" s="11" t="n">
        <f aca="false">IF(AC108&lt;Floor_F,MAX((-(Cost_k*Ubar_c+Delay_D)*(1-EXP(-Rho_a*LN((Top_c-AC108)/(Top_c-Floor_F))/Delta_c))/Rho_a+EXP(-Rho_a*LN((Top_c-AC108)/(Top_c-Floor_F))/Delta_c)*(-Cost_k*Delta_c*Floor_F/Rho_a)),(-Delay_D/Rho_a)),(EXP(-Rho_a*LN(AC108/Floor_F)/Delta_c)*(-Cost_k*Delta_c*Floor_F/Rho_a)))</f>
        <v>-335.745877992226</v>
      </c>
      <c r="AH108" s="22" t="n">
        <f aca="false">ABS(AF108-AG108)</f>
        <v>0</v>
      </c>
    </row>
    <row r="109" customFormat="false" ht="15" hidden="false" customHeight="false" outlineLevel="0" collapsed="false">
      <c r="H109" s="17" t="n">
        <f aca="false">30+89*$I$5</f>
        <v>74.5</v>
      </c>
      <c r="I109" s="17" t="n">
        <f aca="false">-Delta_c*H109</f>
        <v>-7.54470677931839</v>
      </c>
      <c r="K109" s="11" t="n">
        <f aca="false">(-I109/$I$5*K108)/(Rho_a-I109/$I$5)</f>
        <v>-176.063936372885</v>
      </c>
      <c r="L109" s="11" t="n">
        <f aca="false">IF(H109&lt;Floor_F,MAX((-(Cost_k*Ubar_c+Delay_D)*(1-EXP(-Rho_a*LN((Top_c-H109)/(Top_c-Floor_F))/Delta_c))/Rho_a+EXP(-Rho_a*LN((Top_c-H109)/(Top_c-Floor_F))/Delta_c)*(-Cost_k*Delta_c*Floor_F/Rho_a)),(-Delay_D/Rho_a)),(EXP(-Rho_a*LN(H109/Floor_F)/Delta_c)*(-Cost_k*Delta_c*Floor_F/Rho_a)))</f>
        <v>-175.684548989739</v>
      </c>
      <c r="M109" s="22" t="n">
        <f aca="false">ABS(K109-L109)</f>
        <v>0.379387383145655</v>
      </c>
      <c r="O109" s="17" t="n">
        <f aca="false">30+89*$P$5</f>
        <v>52.25</v>
      </c>
      <c r="P109" s="17" t="n">
        <f aca="false">Ubar_c-Delta_c*O109</f>
        <v>4.83570132499937</v>
      </c>
      <c r="Q109" s="11" t="n">
        <f aca="false">(-(Cost_k*Ubar_c+Delay_D)+P109/$P$5*Q110)/(Rho_a+P109/$P$5)</f>
        <v>-262.228591454999</v>
      </c>
      <c r="R109" s="11" t="n">
        <f aca="false">MAX(Q109,-Delay_D/Rho_a)</f>
        <v>-262.228591454999</v>
      </c>
      <c r="S109" s="11" t="n">
        <f aca="false">IF(O109&lt;Floor_F,MAX((-(Cost_k*Ubar_c+Delay_D)*(1-EXP(-Rho_a*LN((Top_c-O109)/(Top_c-Floor_F))/Delta_c))/Rho_a+EXP(-Rho_a*LN((Top_c-O109)/(Top_c-Floor_F))/Delta_c)*(-Cost_k*Delta_c*Floor_F/Rho_a)),(-Delay_D/Rho_a)),(EXP(-Rho_a*LN(O109/Floor_F)/Delta_c)*(-Cost_k*Delta_c*Floor_F/Rho_a)))</f>
        <v>-262.373519712274</v>
      </c>
      <c r="T109" s="22" t="n">
        <f aca="false">ABS(R109-S109)</f>
        <v>0.144928257275865</v>
      </c>
      <c r="V109" s="17" t="n">
        <f aca="false">30+89*$W$5</f>
        <v>41.125</v>
      </c>
      <c r="W109" s="17" t="n">
        <f aca="false">Ubar_c-Delta_c*V109</f>
        <v>5.96234378030027</v>
      </c>
      <c r="X109" s="11" t="n">
        <f aca="false">(-(Cost_k*Ubar_c+Delay_D)+W109/$W$5*X110)/(Rho_a+W109/$W$5)</f>
        <v>-351.290910608111</v>
      </c>
      <c r="Y109" s="11" t="n">
        <f aca="false">MAX(X109,-Delay_D/Rho_a)</f>
        <v>-335.745877992226</v>
      </c>
      <c r="Z109" s="11" t="n">
        <f aca="false">IF(V109&lt;Floor_F,MAX((-(Cost_k*Ubar_c+Delay_D)*(1-EXP(-Rho_a*LN((Top_c-V109)/(Top_c-Floor_F))/Delta_c))/Rho_a+EXP(-Rho_a*LN((Top_c-V109)/(Top_c-Floor_F))/Delta_c)*(-Cost_k*Delta_c*Floor_F/Rho_a)),(-Delay_D/Rho_a)),(EXP(-Rho_a*LN(V109/Floor_F)/Delta_c)*(-Cost_k*Delta_c*Floor_F/Rho_a)))</f>
        <v>-335.745877992226</v>
      </c>
      <c r="AA109" s="22" t="n">
        <f aca="false">ABS(Y109-Z109)</f>
        <v>0</v>
      </c>
      <c r="AC109" s="17" t="n">
        <f aca="false">30+89*$AD$5</f>
        <v>35.5625</v>
      </c>
      <c r="AD109" s="17" t="n">
        <f aca="false">Ubar_c-Delta_c*AC109</f>
        <v>6.52566500795072</v>
      </c>
      <c r="AE109" s="11" t="n">
        <f aca="false">(-(Cost_k*Ubar_c+Delay_D)+AD109/$AD$5*AE110)/(Rho_a+AD109/$AD$5)</f>
        <v>-384.725382298899</v>
      </c>
      <c r="AF109" s="11" t="n">
        <f aca="false">MAX(AE109,-Delay_D/Rho_a)</f>
        <v>-335.745877992226</v>
      </c>
      <c r="AG109" s="11" t="n">
        <f aca="false">IF(AC109&lt;Floor_F,MAX((-(Cost_k*Ubar_c+Delay_D)*(1-EXP(-Rho_a*LN((Top_c-AC109)/(Top_c-Floor_F))/Delta_c))/Rho_a+EXP(-Rho_a*LN((Top_c-AC109)/(Top_c-Floor_F))/Delta_c)*(-Cost_k*Delta_c*Floor_F/Rho_a)),(-Delay_D/Rho_a)),(EXP(-Rho_a*LN(AC109/Floor_F)/Delta_c)*(-Cost_k*Delta_c*Floor_F/Rho_a)))</f>
        <v>-335.745877992226</v>
      </c>
      <c r="AH109" s="22" t="n">
        <f aca="false">ABS(AF109-AG109)</f>
        <v>0</v>
      </c>
    </row>
    <row r="110" customFormat="false" ht="15" hidden="false" customHeight="false" outlineLevel="0" collapsed="false">
      <c r="H110" s="17" t="n">
        <f aca="false">30+90*$I$5</f>
        <v>75</v>
      </c>
      <c r="I110" s="17" t="n">
        <f aca="false">-Delta_c*H110</f>
        <v>-7.59534239528697</v>
      </c>
      <c r="K110" s="11" t="n">
        <f aca="false">(-I110/$I$5*K109)/(Rho_a-I110/$I$5)</f>
        <v>-174.966154680213</v>
      </c>
      <c r="L110" s="11" t="n">
        <f aca="false">IF(H110&lt;Floor_F,MAX((-(Cost_k*Ubar_c+Delay_D)*(1-EXP(-Rho_a*LN((Top_c-H110)/(Top_c-Floor_F))/Delta_c))/Rho_a+EXP(-Rho_a*LN((Top_c-H110)/(Top_c-Floor_F))/Delta_c)*(-Cost_k*Delta_c*Floor_F/Rho_a)),(-Delay_D/Rho_a)),(EXP(-Rho_a*LN(H110/Floor_F)/Delta_c)*(-Cost_k*Delta_c*Floor_F/Rho_a)))</f>
        <v>-174.582043122324</v>
      </c>
      <c r="M110" s="22" t="n">
        <f aca="false">ABS(K110-L110)</f>
        <v>0.384111557888843</v>
      </c>
      <c r="O110" s="17" t="n">
        <f aca="false">30+90*$P$5</f>
        <v>52.5</v>
      </c>
      <c r="P110" s="17" t="n">
        <f aca="false">Ubar_c-Delta_c*O110</f>
        <v>4.81038351701508</v>
      </c>
      <c r="Q110" s="11" t="n">
        <f aca="false">(-(Cost_k*Ubar_c+Delay_D)+P110/$P$5*Q111)/(Rho_a+P110/$P$5)</f>
        <v>-259.772099863603</v>
      </c>
      <c r="R110" s="11" t="n">
        <f aca="false">MAX(Q110,-Delay_D/Rho_a)</f>
        <v>-259.772099863603</v>
      </c>
      <c r="S110" s="11" t="n">
        <f aca="false">IF(O110&lt;Floor_F,MAX((-(Cost_k*Ubar_c+Delay_D)*(1-EXP(-Rho_a*LN((Top_c-O110)/(Top_c-Floor_F))/Delta_c))/Rho_a+EXP(-Rho_a*LN((Top_c-O110)/(Top_c-Floor_F))/Delta_c)*(-Cost_k*Delta_c*Floor_F/Rho_a)),(-Delay_D/Rho_a)),(EXP(-Rho_a*LN(O110/Floor_F)/Delta_c)*(-Cost_k*Delta_c*Floor_F/Rho_a)))</f>
        <v>-259.905198794282</v>
      </c>
      <c r="T110" s="22" t="n">
        <f aca="false">ABS(R110-S110)</f>
        <v>0.133098930678898</v>
      </c>
      <c r="V110" s="17" t="n">
        <f aca="false">30+90*$W$5</f>
        <v>41.25</v>
      </c>
      <c r="W110" s="17" t="n">
        <f aca="false">Ubar_c-Delta_c*V110</f>
        <v>5.94968487630813</v>
      </c>
      <c r="X110" s="11" t="n">
        <f aca="false">(-(Cost_k*Ubar_c+Delay_D)+W110/$W$5*X111)/(Rho_a+W110/$W$5)</f>
        <v>-350.472715315302</v>
      </c>
      <c r="Y110" s="11" t="n">
        <f aca="false">MAX(X110,-Delay_D/Rho_a)</f>
        <v>-335.745877992226</v>
      </c>
      <c r="Z110" s="11" t="n">
        <f aca="false">IF(V110&lt;Floor_F,MAX((-(Cost_k*Ubar_c+Delay_D)*(1-EXP(-Rho_a*LN((Top_c-V110)/(Top_c-Floor_F))/Delta_c))/Rho_a+EXP(-Rho_a*LN((Top_c-V110)/(Top_c-Floor_F))/Delta_c)*(-Cost_k*Delta_c*Floor_F/Rho_a)),(-Delay_D/Rho_a)),(EXP(-Rho_a*LN(V110/Floor_F)/Delta_c)*(-Cost_k*Delta_c*Floor_F/Rho_a)))</f>
        <v>-335.745877992226</v>
      </c>
      <c r="AA110" s="22" t="n">
        <f aca="false">ABS(Y110-Z110)</f>
        <v>0</v>
      </c>
      <c r="AC110" s="17" t="n">
        <f aca="false">30+90*$AD$5</f>
        <v>35.625</v>
      </c>
      <c r="AD110" s="17" t="n">
        <f aca="false">Ubar_c-Delta_c*AC110</f>
        <v>6.51933555595465</v>
      </c>
      <c r="AE110" s="11" t="n">
        <f aca="false">(-(Cost_k*Ubar_c+Delay_D)+AD110/$AD$5*AE111)/(Rho_a+AD110/$AD$5)</f>
        <v>-384.382119894139</v>
      </c>
      <c r="AF110" s="11" t="n">
        <f aca="false">MAX(AE110,-Delay_D/Rho_a)</f>
        <v>-335.745877992226</v>
      </c>
      <c r="AG110" s="11" t="n">
        <f aca="false">IF(AC110&lt;Floor_F,MAX((-(Cost_k*Ubar_c+Delay_D)*(1-EXP(-Rho_a*LN((Top_c-AC110)/(Top_c-Floor_F))/Delta_c))/Rho_a+EXP(-Rho_a*LN((Top_c-AC110)/(Top_c-Floor_F))/Delta_c)*(-Cost_k*Delta_c*Floor_F/Rho_a)),(-Delay_D/Rho_a)),(EXP(-Rho_a*LN(AC110/Floor_F)/Delta_c)*(-Cost_k*Delta_c*Floor_F/Rho_a)))</f>
        <v>-335.745877992226</v>
      </c>
      <c r="AH110" s="22" t="n">
        <f aca="false">ABS(AF110-AG110)</f>
        <v>0</v>
      </c>
    </row>
    <row r="111" customFormat="false" ht="15" hidden="false" customHeight="false" outlineLevel="0" collapsed="false">
      <c r="H111" s="17" t="n">
        <f aca="false">30+91*$I$5</f>
        <v>75.5</v>
      </c>
      <c r="I111" s="17" t="n">
        <f aca="false">-Delta_c*H111</f>
        <v>-7.64597801125555</v>
      </c>
      <c r="K111" s="11" t="n">
        <f aca="false">(-I111/$I$5*K110)/(Rho_a-I111/$I$5)</f>
        <v>-173.882397796892</v>
      </c>
      <c r="L111" s="11" t="n">
        <f aca="false">IF(H111&lt;Floor_F,MAX((-(Cost_k*Ubar_c+Delay_D)*(1-EXP(-Rho_a*LN((Top_c-H111)/(Top_c-Floor_F))/Delta_c))/Rho_a+EXP(-Rho_a*LN((Top_c-H111)/(Top_c-Floor_F))/Delta_c)*(-Cost_k*Delta_c*Floor_F/Rho_a)),(-Delay_D/Rho_a)),(EXP(-Rho_a*LN(H111/Floor_F)/Delta_c)*(-Cost_k*Delta_c*Floor_F/Rho_a)))</f>
        <v>-173.493712978978</v>
      </c>
      <c r="M111" s="22" t="n">
        <f aca="false">ABS(K111-L111)</f>
        <v>0.388684817914026</v>
      </c>
      <c r="O111" s="17" t="n">
        <f aca="false">30+91*$P$5</f>
        <v>52.75</v>
      </c>
      <c r="P111" s="17" t="n">
        <f aca="false">Ubar_c-Delta_c*O111</f>
        <v>4.78506570903079</v>
      </c>
      <c r="Q111" s="11" t="n">
        <f aca="false">(-(Cost_k*Ubar_c+Delay_D)+P111/$P$5*Q112)/(Rho_a+P111/$P$5)</f>
        <v>-257.290511490253</v>
      </c>
      <c r="R111" s="11" t="n">
        <f aca="false">MAX(Q111,-Delay_D/Rho_a)</f>
        <v>-257.290511490253</v>
      </c>
      <c r="S111" s="11" t="n">
        <f aca="false">IF(O111&lt;Floor_F,MAX((-(Cost_k*Ubar_c+Delay_D)*(1-EXP(-Rho_a*LN((Top_c-O111)/(Top_c-Floor_F))/Delta_c))/Rho_a+EXP(-Rho_a*LN((Top_c-O111)/(Top_c-Floor_F))/Delta_c)*(-Cost_k*Delta_c*Floor_F/Rho_a)),(-Delay_D/Rho_a)),(EXP(-Rho_a*LN(O111/Floor_F)/Delta_c)*(-Cost_k*Delta_c*Floor_F/Rho_a)))</f>
        <v>-257.411530750077</v>
      </c>
      <c r="T111" s="22" t="n">
        <f aca="false">ABS(R111-S111)</f>
        <v>0.121019259824436</v>
      </c>
      <c r="V111" s="17" t="n">
        <f aca="false">30+91*$W$5</f>
        <v>41.375</v>
      </c>
      <c r="W111" s="17" t="n">
        <f aca="false">Ubar_c-Delta_c*V111</f>
        <v>5.93702597231598</v>
      </c>
      <c r="X111" s="11" t="n">
        <f aca="false">(-(Cost_k*Ubar_c+Delay_D)+W111/$W$5*X112)/(Rho_a+W111/$W$5)</f>
        <v>-349.65114081021</v>
      </c>
      <c r="Y111" s="11" t="n">
        <f aca="false">MAX(X111,-Delay_D/Rho_a)</f>
        <v>-335.745877992226</v>
      </c>
      <c r="Z111" s="11" t="n">
        <f aca="false">IF(V111&lt;Floor_F,MAX((-(Cost_k*Ubar_c+Delay_D)*(1-EXP(-Rho_a*LN((Top_c-V111)/(Top_c-Floor_F))/Delta_c))/Rho_a+EXP(-Rho_a*LN((Top_c-V111)/(Top_c-Floor_F))/Delta_c)*(-Cost_k*Delta_c*Floor_F/Rho_a)),(-Delay_D/Rho_a)),(EXP(-Rho_a*LN(V111/Floor_F)/Delta_c)*(-Cost_k*Delta_c*Floor_F/Rho_a)))</f>
        <v>-335.745877992226</v>
      </c>
      <c r="AA111" s="22" t="n">
        <f aca="false">ABS(Y111-Z111)</f>
        <v>0</v>
      </c>
      <c r="AC111" s="17" t="n">
        <f aca="false">30+91*$AD$5</f>
        <v>35.6875</v>
      </c>
      <c r="AD111" s="17" t="n">
        <f aca="false">Ubar_c-Delta_c*AC111</f>
        <v>6.51300610395858</v>
      </c>
      <c r="AE111" s="11" t="n">
        <f aca="false">(-(Cost_k*Ubar_c+Delay_D)+AD111/$AD$5*AE112)/(Rho_a+AD111/$AD$5)</f>
        <v>-384.038210577132</v>
      </c>
      <c r="AF111" s="11" t="n">
        <f aca="false">MAX(AE111,-Delay_D/Rho_a)</f>
        <v>-335.745877992226</v>
      </c>
      <c r="AG111" s="11" t="n">
        <f aca="false">IF(AC111&lt;Floor_F,MAX((-(Cost_k*Ubar_c+Delay_D)*(1-EXP(-Rho_a*LN((Top_c-AC111)/(Top_c-Floor_F))/Delta_c))/Rho_a+EXP(-Rho_a*LN((Top_c-AC111)/(Top_c-Floor_F))/Delta_c)*(-Cost_k*Delta_c*Floor_F/Rho_a)),(-Delay_D/Rho_a)),(EXP(-Rho_a*LN(AC111/Floor_F)/Delta_c)*(-Cost_k*Delta_c*Floor_F/Rho_a)))</f>
        <v>-335.745877992226</v>
      </c>
      <c r="AH111" s="22" t="n">
        <f aca="false">ABS(AF111-AG111)</f>
        <v>0</v>
      </c>
    </row>
    <row r="112" customFormat="false" ht="15" hidden="false" customHeight="false" outlineLevel="0" collapsed="false">
      <c r="H112" s="17" t="n">
        <f aca="false">30+92*$I$5</f>
        <v>76</v>
      </c>
      <c r="I112" s="17" t="n">
        <f aca="false">-Delta_c*H112</f>
        <v>-7.69661362722413</v>
      </c>
      <c r="K112" s="11" t="n">
        <f aca="false">(-I112/$I$5*K111)/(Rho_a-I112/$I$5)</f>
        <v>-172.812396018533</v>
      </c>
      <c r="L112" s="11" t="n">
        <f aca="false">IF(H112&lt;Floor_F,MAX((-(Cost_k*Ubar_c+Delay_D)*(1-EXP(-Rho_a*LN((Top_c-H112)/(Top_c-Floor_F))/Delta_c))/Rho_a+EXP(-Rho_a*LN((Top_c-H112)/(Top_c-Floor_F))/Delta_c)*(-Cost_k*Delta_c*Floor_F/Rho_a)),(-Delay_D/Rho_a)),(EXP(-Rho_a*LN(H112/Floor_F)/Delta_c)*(-Cost_k*Delta_c*Floor_F/Rho_a)))</f>
        <v>-172.419284211894</v>
      </c>
      <c r="M112" s="22" t="n">
        <f aca="false">ABS(K112-L112)</f>
        <v>0.393111806639212</v>
      </c>
      <c r="O112" s="17" t="n">
        <f aca="false">30+92*$P$5</f>
        <v>53</v>
      </c>
      <c r="P112" s="17" t="n">
        <f aca="false">Ubar_c-Delta_c*O112</f>
        <v>4.7597479010465</v>
      </c>
      <c r="Q112" s="11" t="n">
        <f aca="false">(-(Cost_k*Ubar_c+Delay_D)+P112/$P$5*Q113)/(Rho_a+P112/$P$5)</f>
        <v>-254.783435789483</v>
      </c>
      <c r="R112" s="11" t="n">
        <f aca="false">MAX(Q112,-Delay_D/Rho_a)</f>
        <v>-254.783435789483</v>
      </c>
      <c r="S112" s="11" t="n">
        <f aca="false">IF(O112&lt;Floor_F,MAX((-(Cost_k*Ubar_c+Delay_D)*(1-EXP(-Rho_a*LN((Top_c-O112)/(Top_c-Floor_F))/Delta_c))/Rho_a+EXP(-Rho_a*LN((Top_c-O112)/(Top_c-Floor_F))/Delta_c)*(-Cost_k*Delta_c*Floor_F/Rho_a)),(-Delay_D/Rho_a)),(EXP(-Rho_a*LN(O112/Floor_F)/Delta_c)*(-Cost_k*Delta_c*Floor_F/Rho_a)))</f>
        <v>-254.892119102206</v>
      </c>
      <c r="T112" s="22" t="n">
        <f aca="false">ABS(R112-S112)</f>
        <v>0.108683312722604</v>
      </c>
      <c r="V112" s="17" t="n">
        <f aca="false">30+92*$W$5</f>
        <v>41.5</v>
      </c>
      <c r="W112" s="17" t="n">
        <f aca="false">Ubar_c-Delta_c*V112</f>
        <v>5.92436706832384</v>
      </c>
      <c r="X112" s="11" t="n">
        <f aca="false">(-(Cost_k*Ubar_c+Delay_D)+W112/$W$5*X113)/(Rho_a+W112/$W$5)</f>
        <v>-348.826165901515</v>
      </c>
      <c r="Y112" s="11" t="n">
        <f aca="false">MAX(X112,-Delay_D/Rho_a)</f>
        <v>-335.745877992226</v>
      </c>
      <c r="Z112" s="11" t="n">
        <f aca="false">IF(V112&lt;Floor_F,MAX((-(Cost_k*Ubar_c+Delay_D)*(1-EXP(-Rho_a*LN((Top_c-V112)/(Top_c-Floor_F))/Delta_c))/Rho_a+EXP(-Rho_a*LN((Top_c-V112)/(Top_c-Floor_F))/Delta_c)*(-Cost_k*Delta_c*Floor_F/Rho_a)),(-Delay_D/Rho_a)),(EXP(-Rho_a*LN(V112/Floor_F)/Delta_c)*(-Cost_k*Delta_c*Floor_F/Rho_a)))</f>
        <v>-335.745877992226</v>
      </c>
      <c r="AA112" s="22" t="n">
        <f aca="false">ABS(Y112-Z112)</f>
        <v>0</v>
      </c>
      <c r="AC112" s="17" t="n">
        <f aca="false">30+92*$AD$5</f>
        <v>35.75</v>
      </c>
      <c r="AD112" s="17" t="n">
        <f aca="false">Ubar_c-Delta_c*AC112</f>
        <v>6.5066766519625</v>
      </c>
      <c r="AE112" s="11" t="n">
        <f aca="false">(-(Cost_k*Ubar_c+Delay_D)+AD112/$AD$5*AE113)/(Rho_a+AD112/$AD$5)</f>
        <v>-383.693652498843</v>
      </c>
      <c r="AF112" s="11" t="n">
        <f aca="false">MAX(AE112,-Delay_D/Rho_a)</f>
        <v>-335.745877992226</v>
      </c>
      <c r="AG112" s="11" t="n">
        <f aca="false">IF(AC112&lt;Floor_F,MAX((-(Cost_k*Ubar_c+Delay_D)*(1-EXP(-Rho_a*LN((Top_c-AC112)/(Top_c-Floor_F))/Delta_c))/Rho_a+EXP(-Rho_a*LN((Top_c-AC112)/(Top_c-Floor_F))/Delta_c)*(-Cost_k*Delta_c*Floor_F/Rho_a)),(-Delay_D/Rho_a)),(EXP(-Rho_a*LN(AC112/Floor_F)/Delta_c)*(-Cost_k*Delta_c*Floor_F/Rho_a)))</f>
        <v>-335.745877992226</v>
      </c>
      <c r="AH112" s="22" t="n">
        <f aca="false">ABS(AF112-AG112)</f>
        <v>0</v>
      </c>
    </row>
    <row r="113" customFormat="false" ht="15" hidden="false" customHeight="false" outlineLevel="0" collapsed="false">
      <c r="H113" s="17" t="n">
        <f aca="false">30+93*$I$5</f>
        <v>76.5</v>
      </c>
      <c r="I113" s="17" t="n">
        <f aca="false">-Delta_c*H113</f>
        <v>-7.74724924319271</v>
      </c>
      <c r="K113" s="11" t="n">
        <f aca="false">(-I113/$I$5*K112)/(Rho_a-I113/$I$5)</f>
        <v>-171.755886545607</v>
      </c>
      <c r="L113" s="11" t="n">
        <f aca="false">IF(H113&lt;Floor_F,MAX((-(Cost_k*Ubar_c+Delay_D)*(1-EXP(-Rho_a*LN((Top_c-H113)/(Top_c-Floor_F))/Delta_c))/Rho_a+EXP(-Rho_a*LN((Top_c-H113)/(Top_c-Floor_F))/Delta_c)*(-Cost_k*Delta_c*Floor_F/Rho_a)),(-Delay_D/Rho_a)),(EXP(-Rho_a*LN(H113/Floor_F)/Delta_c)*(-Cost_k*Delta_c*Floor_F/Rho_a)))</f>
        <v>-171.358489541575</v>
      </c>
      <c r="M113" s="22" t="n">
        <f aca="false">ABS(K113-L113)</f>
        <v>0.397397004032172</v>
      </c>
      <c r="O113" s="17" t="n">
        <f aca="false">30+93*$P$5</f>
        <v>53.25</v>
      </c>
      <c r="P113" s="17" t="n">
        <f aca="false">Ubar_c-Delta_c*O113</f>
        <v>4.73443009306221</v>
      </c>
      <c r="Q113" s="11" t="n">
        <f aca="false">(-(Cost_k*Ubar_c+Delay_D)+P113/$P$5*Q114)/(Rho_a+P113/$P$5)</f>
        <v>-252.25047402863</v>
      </c>
      <c r="R113" s="11" t="n">
        <f aca="false">MAX(Q113,-Delay_D/Rho_a)</f>
        <v>-252.25047402863</v>
      </c>
      <c r="S113" s="11" t="n">
        <f aca="false">IF(O113&lt;Floor_F,MAX((-(Cost_k*Ubar_c+Delay_D)*(1-EXP(-Rho_a*LN((Top_c-O113)/(Top_c-Floor_F))/Delta_c))/Rho_a+EXP(-Rho_a*LN((Top_c-O113)/(Top_c-Floor_F))/Delta_c)*(-Cost_k*Delta_c*Floor_F/Rho_a)),(-Delay_D/Rho_a)),(EXP(-Rho_a*LN(O113/Floor_F)/Delta_c)*(-Cost_k*Delta_c*Floor_F/Rho_a)))</f>
        <v>-252.346559018521</v>
      </c>
      <c r="T113" s="22" t="n">
        <f aca="false">ABS(R113-S113)</f>
        <v>0.0960849898906133</v>
      </c>
      <c r="V113" s="17" t="n">
        <f aca="false">30+93*$W$5</f>
        <v>41.625</v>
      </c>
      <c r="W113" s="17" t="n">
        <f aca="false">Ubar_c-Delta_c*V113</f>
        <v>5.91170816433169</v>
      </c>
      <c r="X113" s="11" t="n">
        <f aca="false">(-(Cost_k*Ubar_c+Delay_D)+W113/$W$5*X114)/(Rho_a+W113/$W$5)</f>
        <v>-347.99776921944</v>
      </c>
      <c r="Y113" s="11" t="n">
        <f aca="false">MAX(X113,-Delay_D/Rho_a)</f>
        <v>-335.745877992226</v>
      </c>
      <c r="Z113" s="11" t="n">
        <f aca="false">IF(V113&lt;Floor_F,MAX((-(Cost_k*Ubar_c+Delay_D)*(1-EXP(-Rho_a*LN((Top_c-V113)/(Top_c-Floor_F))/Delta_c))/Rho_a+EXP(-Rho_a*LN((Top_c-V113)/(Top_c-Floor_F))/Delta_c)*(-Cost_k*Delta_c*Floor_F/Rho_a)),(-Delay_D/Rho_a)),(EXP(-Rho_a*LN(V113/Floor_F)/Delta_c)*(-Cost_k*Delta_c*Floor_F/Rho_a)))</f>
        <v>-335.745877992226</v>
      </c>
      <c r="AA113" s="22" t="n">
        <f aca="false">ABS(Y113-Z113)</f>
        <v>0</v>
      </c>
      <c r="AC113" s="17" t="n">
        <f aca="false">30+93*$AD$5</f>
        <v>35.8125</v>
      </c>
      <c r="AD113" s="17" t="n">
        <f aca="false">Ubar_c-Delta_c*AC113</f>
        <v>6.50034719996643</v>
      </c>
      <c r="AE113" s="11" t="n">
        <f aca="false">(-(Cost_k*Ubar_c+Delay_D)+AD113/$AD$5*AE114)/(Rho_a+AD113/$AD$5)</f>
        <v>-383.348443803147</v>
      </c>
      <c r="AF113" s="11" t="n">
        <f aca="false">MAX(AE113,-Delay_D/Rho_a)</f>
        <v>-335.745877992226</v>
      </c>
      <c r="AG113" s="11" t="n">
        <f aca="false">IF(AC113&lt;Floor_F,MAX((-(Cost_k*Ubar_c+Delay_D)*(1-EXP(-Rho_a*LN((Top_c-AC113)/(Top_c-Floor_F))/Delta_c))/Rho_a+EXP(-Rho_a*LN((Top_c-AC113)/(Top_c-Floor_F))/Delta_c)*(-Cost_k*Delta_c*Floor_F/Rho_a)),(-Delay_D/Rho_a)),(EXP(-Rho_a*LN(AC113/Floor_F)/Delta_c)*(-Cost_k*Delta_c*Floor_F/Rho_a)))</f>
        <v>-335.745877992226</v>
      </c>
      <c r="AH113" s="22" t="n">
        <f aca="false">ABS(AF113-AG113)</f>
        <v>0</v>
      </c>
    </row>
    <row r="114" customFormat="false" ht="15" hidden="false" customHeight="false" outlineLevel="0" collapsed="false">
      <c r="H114" s="17" t="n">
        <f aca="false">30+94*$I$5</f>
        <v>77</v>
      </c>
      <c r="I114" s="17" t="n">
        <f aca="false">-Delta_c*H114</f>
        <v>-7.79788485916129</v>
      </c>
      <c r="K114" s="11" t="n">
        <f aca="false">(-I114/$I$5*K113)/(Rho_a-I114/$I$5)</f>
        <v>-170.712613263245</v>
      </c>
      <c r="L114" s="11" t="n">
        <f aca="false">IF(H114&lt;Floor_F,MAX((-(Cost_k*Ubar_c+Delay_D)*(1-EXP(-Rho_a*LN((Top_c-H114)/(Top_c-Floor_F))/Delta_c))/Rho_a+EXP(-Rho_a*LN((Top_c-H114)/(Top_c-Floor_F))/Delta_c)*(-Cost_k*Delta_c*Floor_F/Rho_a)),(-Delay_D/Rho_a)),(EXP(-Rho_a*LN(H114/Floor_F)/Delta_c)*(-Cost_k*Delta_c*Floor_F/Rho_a)))</f>
        <v>-170.311068530002</v>
      </c>
      <c r="M114" s="22" t="n">
        <f aca="false">ABS(K114-L114)</f>
        <v>0.401544733243469</v>
      </c>
      <c r="O114" s="17" t="n">
        <f aca="false">30+94*$P$5</f>
        <v>53.5</v>
      </c>
      <c r="P114" s="17" t="n">
        <f aca="false">Ubar_c-Delta_c*O114</f>
        <v>4.70911228507792</v>
      </c>
      <c r="Q114" s="11" t="n">
        <f aca="false">(-(Cost_k*Ubar_c+Delay_D)+P114/$P$5*Q115)/(Rho_a+P114/$P$5)</f>
        <v>-249.691219071498</v>
      </c>
      <c r="R114" s="11" t="n">
        <f aca="false">MAX(Q114,-Delay_D/Rho_a)</f>
        <v>-249.691219071498</v>
      </c>
      <c r="S114" s="11" t="n">
        <f aca="false">IF(O114&lt;Floor_F,MAX((-(Cost_k*Ubar_c+Delay_D)*(1-EXP(-Rho_a*LN((Top_c-O114)/(Top_c-Floor_F))/Delta_c))/Rho_a+EXP(-Rho_a*LN((Top_c-O114)/(Top_c-Floor_F))/Delta_c)*(-Cost_k*Delta_c*Floor_F/Rho_a)),(-Delay_D/Rho_a)),(EXP(-Rho_a*LN(O114/Floor_F)/Delta_c)*(-Cost_k*Delta_c*Floor_F/Rho_a)))</f>
        <v>-249.774437090273</v>
      </c>
      <c r="T114" s="22" t="n">
        <f aca="false">ABS(R114-S114)</f>
        <v>0.083218018775483</v>
      </c>
      <c r="V114" s="17" t="n">
        <f aca="false">30+94*$W$5</f>
        <v>41.75</v>
      </c>
      <c r="W114" s="17" t="n">
        <f aca="false">Ubar_c-Delta_c*V114</f>
        <v>5.89904926033955</v>
      </c>
      <c r="X114" s="11" t="n">
        <f aca="false">(-(Cost_k*Ubar_c+Delay_D)+W114/$W$5*X115)/(Rho_a+W114/$W$5)</f>
        <v>-347.165929213864</v>
      </c>
      <c r="Y114" s="11" t="n">
        <f aca="false">MAX(X114,-Delay_D/Rho_a)</f>
        <v>-335.745877992226</v>
      </c>
      <c r="Z114" s="11" t="n">
        <f aca="false">IF(V114&lt;Floor_F,MAX((-(Cost_k*Ubar_c+Delay_D)*(1-EXP(-Rho_a*LN((Top_c-V114)/(Top_c-Floor_F))/Delta_c))/Rho_a+EXP(-Rho_a*LN((Top_c-V114)/(Top_c-Floor_F))/Delta_c)*(-Cost_k*Delta_c*Floor_F/Rho_a)),(-Delay_D/Rho_a)),(EXP(-Rho_a*LN(V114/Floor_F)/Delta_c)*(-Cost_k*Delta_c*Floor_F/Rho_a)))</f>
        <v>-335.745877992226</v>
      </c>
      <c r="AA114" s="22" t="n">
        <f aca="false">ABS(Y114-Z114)</f>
        <v>0</v>
      </c>
      <c r="AC114" s="17" t="n">
        <f aca="false">30+94*$AD$5</f>
        <v>35.875</v>
      </c>
      <c r="AD114" s="17" t="n">
        <f aca="false">Ubar_c-Delta_c*AC114</f>
        <v>6.49401774797036</v>
      </c>
      <c r="AE114" s="11" t="n">
        <f aca="false">(-(Cost_k*Ubar_c+Delay_D)+AD114/$AD$5*AE115)/(Rho_a+AD114/$AD$5)</f>
        <v>-383.002582626797</v>
      </c>
      <c r="AF114" s="11" t="n">
        <f aca="false">MAX(AE114,-Delay_D/Rho_a)</f>
        <v>-335.745877992226</v>
      </c>
      <c r="AG114" s="11" t="n">
        <f aca="false">IF(AC114&lt;Floor_F,MAX((-(Cost_k*Ubar_c+Delay_D)*(1-EXP(-Rho_a*LN((Top_c-AC114)/(Top_c-Floor_F))/Delta_c))/Rho_a+EXP(-Rho_a*LN((Top_c-AC114)/(Top_c-Floor_F))/Delta_c)*(-Cost_k*Delta_c*Floor_F/Rho_a)),(-Delay_D/Rho_a)),(EXP(-Rho_a*LN(AC114/Floor_F)/Delta_c)*(-Cost_k*Delta_c*Floor_F/Rho_a)))</f>
        <v>-335.745877992226</v>
      </c>
      <c r="AH114" s="22" t="n">
        <f aca="false">ABS(AF114-AG114)</f>
        <v>0</v>
      </c>
    </row>
    <row r="115" customFormat="false" ht="15" hidden="false" customHeight="false" outlineLevel="0" collapsed="false">
      <c r="H115" s="17" t="n">
        <f aca="false">30+95*$I$5</f>
        <v>77.5</v>
      </c>
      <c r="I115" s="17" t="n">
        <f aca="false">-Delta_c*H115</f>
        <v>-7.84852047512987</v>
      </c>
      <c r="K115" s="11" t="n">
        <f aca="false">(-I115/$I$5*K114)/(Rho_a-I115/$I$5)</f>
        <v>-169.682326529435</v>
      </c>
      <c r="L115" s="11" t="n">
        <f aca="false">IF(H115&lt;Floor_F,MAX((-(Cost_k*Ubar_c+Delay_D)*(1-EXP(-Rho_a*LN((Top_c-H115)/(Top_c-Floor_F))/Delta_c))/Rho_a+EXP(-Rho_a*LN((Top_c-H115)/(Top_c-Floor_F))/Delta_c)*(-Cost_k*Delta_c*Floor_F/Rho_a)),(-Delay_D/Rho_a)),(EXP(-Rho_a*LN(H115/Floor_F)/Delta_c)*(-Cost_k*Delta_c*Floor_F/Rho_a)))</f>
        <v>-169.276767362501</v>
      </c>
      <c r="M115" s="22" t="n">
        <f aca="false">ABS(K115-L115)</f>
        <v>0.405559166933926</v>
      </c>
      <c r="O115" s="17" t="n">
        <f aca="false">30+95*$P$5</f>
        <v>53.75</v>
      </c>
      <c r="P115" s="17" t="n">
        <f aca="false">Ubar_c-Delta_c*O115</f>
        <v>4.68379447709363</v>
      </c>
      <c r="Q115" s="11" t="n">
        <f aca="false">(-(Cost_k*Ubar_c+Delay_D)+P115/$P$5*Q116)/(Rho_a+P115/$P$5)</f>
        <v>-247.105255155117</v>
      </c>
      <c r="R115" s="11" t="n">
        <f aca="false">MAX(Q115,-Delay_D/Rho_a)</f>
        <v>-247.105255155117</v>
      </c>
      <c r="S115" s="11" t="n">
        <f aca="false">IF(O115&lt;Floor_F,MAX((-(Cost_k*Ubar_c+Delay_D)*(1-EXP(-Rho_a*LN((Top_c-O115)/(Top_c-Floor_F))/Delta_c))/Rho_a+EXP(-Rho_a*LN((Top_c-O115)/(Top_c-Floor_F))/Delta_c)*(-Cost_k*Delta_c*Floor_F/Rho_a)),(-Delay_D/Rho_a)),(EXP(-Rho_a*LN(O115/Floor_F)/Delta_c)*(-Cost_k*Delta_c*Floor_F/Rho_a)))</f>
        <v>-247.175331103077</v>
      </c>
      <c r="T115" s="22" t="n">
        <f aca="false">ABS(R115-S115)</f>
        <v>0.0700759479600777</v>
      </c>
      <c r="V115" s="17" t="n">
        <f aca="false">30+95*$W$5</f>
        <v>41.875</v>
      </c>
      <c r="W115" s="17" t="n">
        <f aca="false">Ubar_c-Delta_c*V115</f>
        <v>5.8863903563474</v>
      </c>
      <c r="X115" s="11" t="n">
        <f aca="false">(-(Cost_k*Ubar_c+Delay_D)+W115/$W$5*X116)/(Rho_a+W115/$W$5)</f>
        <v>-346.330624152407</v>
      </c>
      <c r="Y115" s="11" t="n">
        <f aca="false">MAX(X115,-Delay_D/Rho_a)</f>
        <v>-335.745877992226</v>
      </c>
      <c r="Z115" s="11" t="n">
        <f aca="false">IF(V115&lt;Floor_F,MAX((-(Cost_k*Ubar_c+Delay_D)*(1-EXP(-Rho_a*LN((Top_c-V115)/(Top_c-Floor_F))/Delta_c))/Rho_a+EXP(-Rho_a*LN((Top_c-V115)/(Top_c-Floor_F))/Delta_c)*(-Cost_k*Delta_c*Floor_F/Rho_a)),(-Delay_D/Rho_a)),(EXP(-Rho_a*LN(V115/Floor_F)/Delta_c)*(-Cost_k*Delta_c*Floor_F/Rho_a)))</f>
        <v>-335.745877992226</v>
      </c>
      <c r="AA115" s="22" t="n">
        <f aca="false">ABS(Y115-Z115)</f>
        <v>0</v>
      </c>
      <c r="AC115" s="17" t="n">
        <f aca="false">30+95*$AD$5</f>
        <v>35.9375</v>
      </c>
      <c r="AD115" s="17" t="n">
        <f aca="false">Ubar_c-Delta_c*AC115</f>
        <v>6.48768829597429</v>
      </c>
      <c r="AE115" s="11" t="n">
        <f aca="false">(-(Cost_k*Ubar_c+Delay_D)+AD115/$AD$5*AE116)/(Rho_a+AD115/$AD$5)</f>
        <v>-382.656067099387</v>
      </c>
      <c r="AF115" s="11" t="n">
        <f aca="false">MAX(AE115,-Delay_D/Rho_a)</f>
        <v>-335.745877992226</v>
      </c>
      <c r="AG115" s="11" t="n">
        <f aca="false">IF(AC115&lt;Floor_F,MAX((-(Cost_k*Ubar_c+Delay_D)*(1-EXP(-Rho_a*LN((Top_c-AC115)/(Top_c-Floor_F))/Delta_c))/Rho_a+EXP(-Rho_a*LN((Top_c-AC115)/(Top_c-Floor_F))/Delta_c)*(-Cost_k*Delta_c*Floor_F/Rho_a)),(-Delay_D/Rho_a)),(EXP(-Rho_a*LN(AC115/Floor_F)/Delta_c)*(-Cost_k*Delta_c*Floor_F/Rho_a)))</f>
        <v>-335.745877992226</v>
      </c>
      <c r="AH115" s="22" t="n">
        <f aca="false">ABS(AF115-AG115)</f>
        <v>0</v>
      </c>
    </row>
    <row r="116" customFormat="false" ht="15" hidden="false" customHeight="false" outlineLevel="0" collapsed="false">
      <c r="H116" s="17" t="n">
        <f aca="false">30+96*$I$5</f>
        <v>78</v>
      </c>
      <c r="I116" s="17" t="n">
        <f aca="false">-Delta_c*H116</f>
        <v>-7.89915609109845</v>
      </c>
      <c r="K116" s="11" t="n">
        <f aca="false">(-I116/$I$5*K115)/(Rho_a-I116/$I$5)</f>
        <v>-168.664782971221</v>
      </c>
      <c r="L116" s="11" t="n">
        <f aca="false">IF(H116&lt;Floor_F,MAX((-(Cost_k*Ubar_c+Delay_D)*(1-EXP(-Rho_a*LN((Top_c-H116)/(Top_c-Floor_F))/Delta_c))/Rho_a+EXP(-Rho_a*LN((Top_c-H116)/(Top_c-Floor_F))/Delta_c)*(-Cost_k*Delta_c*Floor_F/Rho_a)),(-Delay_D/Rho_a)),(EXP(-Rho_a*LN(H116/Floor_F)/Delta_c)*(-Cost_k*Delta_c*Floor_F/Rho_a)))</f>
        <v>-168.255338637911</v>
      </c>
      <c r="M116" s="22" t="n">
        <f aca="false">ABS(K116-L116)</f>
        <v>0.409444333309978</v>
      </c>
      <c r="O116" s="17" t="n">
        <f aca="false">30+96*$P$5</f>
        <v>54</v>
      </c>
      <c r="P116" s="17" t="n">
        <f aca="false">Ubar_c-Delta_c*O116</f>
        <v>4.65847666910934</v>
      </c>
      <c r="Q116" s="11" t="n">
        <f aca="false">(-(Cost_k*Ubar_c+Delay_D)+P116/$P$5*Q117)/(Rho_a+P116/$P$5)</f>
        <v>-244.492157659333</v>
      </c>
      <c r="R116" s="11" t="n">
        <f aca="false">MAX(Q116,-Delay_D/Rho_a)</f>
        <v>-244.492157659333</v>
      </c>
      <c r="S116" s="11" t="n">
        <f aca="false">IF(O116&lt;Floor_F,MAX((-(Cost_k*Ubar_c+Delay_D)*(1-EXP(-Rho_a*LN((Top_c-O116)/(Top_c-Floor_F))/Delta_c))/Rho_a+EXP(-Rho_a*LN((Top_c-O116)/(Top_c-Floor_F))/Delta_c)*(-Cost_k*Delta_c*Floor_F/Rho_a)),(-Delay_D/Rho_a)),(EXP(-Rho_a*LN(O116/Floor_F)/Delta_c)*(-Cost_k*Delta_c*Floor_F/Rho_a)))</f>
        <v>-244.548809800479</v>
      </c>
      <c r="T116" s="22" t="n">
        <f aca="false">ABS(R116-S116)</f>
        <v>0.0566521411465999</v>
      </c>
      <c r="V116" s="17" t="n">
        <f aca="false">30+96*$W$5</f>
        <v>42</v>
      </c>
      <c r="W116" s="17" t="n">
        <f aca="false">Ubar_c-Delta_c*V116</f>
        <v>5.87373145235526</v>
      </c>
      <c r="X116" s="11" t="n">
        <f aca="false">(-(Cost_k*Ubar_c+Delay_D)+W116/$W$5*X117)/(Rho_a+W116/$W$5)</f>
        <v>-345.491832118496</v>
      </c>
      <c r="Y116" s="11" t="n">
        <f aca="false">MAX(X116,-Delay_D/Rho_a)</f>
        <v>-335.745877992226</v>
      </c>
      <c r="Z116" s="11" t="n">
        <f aca="false">IF(V116&lt;Floor_F,MAX((-(Cost_k*Ubar_c+Delay_D)*(1-EXP(-Rho_a*LN((Top_c-V116)/(Top_c-Floor_F))/Delta_c))/Rho_a+EXP(-Rho_a*LN((Top_c-V116)/(Top_c-Floor_F))/Delta_c)*(-Cost_k*Delta_c*Floor_F/Rho_a)),(-Delay_D/Rho_a)),(EXP(-Rho_a*LN(V116/Floor_F)/Delta_c)*(-Cost_k*Delta_c*Floor_F/Rho_a)))</f>
        <v>-335.745877992226</v>
      </c>
      <c r="AA116" s="22" t="n">
        <f aca="false">ABS(Y116-Z116)</f>
        <v>0</v>
      </c>
      <c r="AC116" s="17" t="n">
        <f aca="false">30+96*$AD$5</f>
        <v>36</v>
      </c>
      <c r="AD116" s="17" t="n">
        <f aca="false">Ubar_c-Delta_c*AC116</f>
        <v>6.48135884397822</v>
      </c>
      <c r="AE116" s="11" t="n">
        <f aca="false">(-(Cost_k*Ubar_c+Delay_D)+AD116/$AD$5*AE117)/(Rho_a+AD116/$AD$5)</f>
        <v>-382.30889534332</v>
      </c>
      <c r="AF116" s="11" t="n">
        <f aca="false">MAX(AE116,-Delay_D/Rho_a)</f>
        <v>-335.745877992226</v>
      </c>
      <c r="AG116" s="11" t="n">
        <f aca="false">IF(AC116&lt;Floor_F,MAX((-(Cost_k*Ubar_c+Delay_D)*(1-EXP(-Rho_a*LN((Top_c-AC116)/(Top_c-Floor_F))/Delta_c))/Rho_a+EXP(-Rho_a*LN((Top_c-AC116)/(Top_c-Floor_F))/Delta_c)*(-Cost_k*Delta_c*Floor_F/Rho_a)),(-Delay_D/Rho_a)),(EXP(-Rho_a*LN(AC116/Floor_F)/Delta_c)*(-Cost_k*Delta_c*Floor_F/Rho_a)))</f>
        <v>-335.745877992226</v>
      </c>
      <c r="AH116" s="22" t="n">
        <f aca="false">ABS(AF116-AG116)</f>
        <v>0</v>
      </c>
    </row>
    <row r="117" customFormat="false" ht="15" hidden="false" customHeight="false" outlineLevel="0" collapsed="false">
      <c r="H117" s="17" t="n">
        <f aca="false">30+97*$I$5</f>
        <v>78.5</v>
      </c>
      <c r="I117" s="17" t="n">
        <f aca="false">-Delta_c*H117</f>
        <v>-7.94979170706703</v>
      </c>
      <c r="K117" s="11" t="n">
        <f aca="false">(-I117/$I$5*K116)/(Rho_a-I117/$I$5)</f>
        <v>-167.659745288586</v>
      </c>
      <c r="L117" s="11" t="n">
        <f aca="false">IF(H117&lt;Floor_F,MAX((-(Cost_k*Ubar_c+Delay_D)*(1-EXP(-Rho_a*LN((Top_c-H117)/(Top_c-Floor_F))/Delta_c))/Rho_a+EXP(-Rho_a*LN((Top_c-H117)/(Top_c-Floor_F))/Delta_c)*(-Cost_k*Delta_c*Floor_F/Rho_a)),(-Delay_D/Rho_a)),(EXP(-Rho_a*LN(H117/Floor_F)/Delta_c)*(-Cost_k*Delta_c*Floor_F/Rho_a)))</f>
        <v>-167.246541166702</v>
      </c>
      <c r="M117" s="22" t="n">
        <f aca="false">ABS(K117-L117)</f>
        <v>0.41320412188395</v>
      </c>
      <c r="O117" s="17" t="n">
        <f aca="false">30+97*$P$5</f>
        <v>54.25</v>
      </c>
      <c r="P117" s="17" t="n">
        <f aca="false">Ubar_c-Delta_c*O117</f>
        <v>4.63315886112505</v>
      </c>
      <c r="Q117" s="11" t="n">
        <f aca="false">(-(Cost_k*Ubar_c+Delay_D)+P117/$P$5*Q118)/(Rho_a+P117/$P$5)</f>
        <v>-241.851492868958</v>
      </c>
      <c r="R117" s="11" t="n">
        <f aca="false">MAX(Q117,-Delay_D/Rho_a)</f>
        <v>-241.851492868958</v>
      </c>
      <c r="S117" s="11" t="n">
        <f aca="false">IF(O117&lt;Floor_F,MAX((-(Cost_k*Ubar_c+Delay_D)*(1-EXP(-Rho_a*LN((Top_c-O117)/(Top_c-Floor_F))/Delta_c))/Rho_a+EXP(-Rho_a*LN((Top_c-O117)/(Top_c-Floor_F))/Delta_c)*(-Cost_k*Delta_c*Floor_F/Rho_a)),(-Delay_D/Rho_a)),(EXP(-Rho_a*LN(O117/Floor_F)/Delta_c)*(-Cost_k*Delta_c*Floor_F/Rho_a)))</f>
        <v>-241.894432639861</v>
      </c>
      <c r="T117" s="22" t="n">
        <f aca="false">ABS(R117-S117)</f>
        <v>0.04293977090299</v>
      </c>
      <c r="V117" s="17" t="n">
        <f aca="false">30+97*$W$5</f>
        <v>42.125</v>
      </c>
      <c r="W117" s="17" t="n">
        <f aca="false">Ubar_c-Delta_c*V117</f>
        <v>5.86107254836311</v>
      </c>
      <c r="X117" s="11" t="n">
        <f aca="false">(-(Cost_k*Ubar_c+Delay_D)+W117/$W$5*X118)/(Rho_a+W117/$W$5)</f>
        <v>-344.649531009402</v>
      </c>
      <c r="Y117" s="11" t="n">
        <f aca="false">MAX(X117,-Delay_D/Rho_a)</f>
        <v>-335.745877992226</v>
      </c>
      <c r="Z117" s="11" t="n">
        <f aca="false">IF(V117&lt;Floor_F,MAX((-(Cost_k*Ubar_c+Delay_D)*(1-EXP(-Rho_a*LN((Top_c-V117)/(Top_c-Floor_F))/Delta_c))/Rho_a+EXP(-Rho_a*LN((Top_c-V117)/(Top_c-Floor_F))/Delta_c)*(-Cost_k*Delta_c*Floor_F/Rho_a)),(-Delay_D/Rho_a)),(EXP(-Rho_a*LN(V117/Floor_F)/Delta_c)*(-Cost_k*Delta_c*Floor_F/Rho_a)))</f>
        <v>-335.745877992226</v>
      </c>
      <c r="AA117" s="22" t="n">
        <f aca="false">ABS(Y117-Z117)</f>
        <v>0</v>
      </c>
      <c r="AC117" s="17" t="n">
        <f aca="false">30+97*$AD$5</f>
        <v>36.0625</v>
      </c>
      <c r="AD117" s="17" t="n">
        <f aca="false">Ubar_c-Delta_c*AC117</f>
        <v>6.47502939198214</v>
      </c>
      <c r="AE117" s="11" t="n">
        <f aca="false">(-(Cost_k*Ubar_c+Delay_D)+AD117/$AD$5*AE118)/(Rho_a+AD117/$AD$5)</f>
        <v>-381.961065473774</v>
      </c>
      <c r="AF117" s="11" t="n">
        <f aca="false">MAX(AE117,-Delay_D/Rho_a)</f>
        <v>-335.745877992226</v>
      </c>
      <c r="AG117" s="11" t="n">
        <f aca="false">IF(AC117&lt;Floor_F,MAX((-(Cost_k*Ubar_c+Delay_D)*(1-EXP(-Rho_a*LN((Top_c-AC117)/(Top_c-Floor_F))/Delta_c))/Rho_a+EXP(-Rho_a*LN((Top_c-AC117)/(Top_c-Floor_F))/Delta_c)*(-Cost_k*Delta_c*Floor_F/Rho_a)),(-Delay_D/Rho_a)),(EXP(-Rho_a*LN(AC117/Floor_F)/Delta_c)*(-Cost_k*Delta_c*Floor_F/Rho_a)))</f>
        <v>-335.745877992226</v>
      </c>
      <c r="AH117" s="22" t="n">
        <f aca="false">ABS(AF117-AG117)</f>
        <v>0</v>
      </c>
    </row>
    <row r="118" customFormat="false" ht="15" hidden="false" customHeight="false" outlineLevel="0" collapsed="false">
      <c r="H118" s="17" t="n">
        <f aca="false">30+98*$I$5</f>
        <v>79</v>
      </c>
      <c r="I118" s="17" t="n">
        <f aca="false">-Delta_c*H118</f>
        <v>-8.00042732303561</v>
      </c>
      <c r="K118" s="11" t="n">
        <f aca="false">(-I118/$I$5*K117)/(Rho_a-I118/$I$5)</f>
        <v>-166.666982065653</v>
      </c>
      <c r="L118" s="11" t="n">
        <f aca="false">IF(H118&lt;Floor_F,MAX((-(Cost_k*Ubar_c+Delay_D)*(1-EXP(-Rho_a*LN((Top_c-H118)/(Top_c-Floor_F))/Delta_c))/Rho_a+EXP(-Rho_a*LN((Top_c-H118)/(Top_c-Floor_F))/Delta_c)*(-Cost_k*Delta_c*Floor_F/Rho_a)),(-Delay_D/Rho_a)),(EXP(-Rho_a*LN(H118/Floor_F)/Delta_c)*(-Cost_k*Delta_c*Floor_F/Rho_a)))</f>
        <v>-166.25013977668</v>
      </c>
      <c r="M118" s="22" t="n">
        <f aca="false">ABS(K118-L118)</f>
        <v>0.416842288972674</v>
      </c>
      <c r="O118" s="17" t="n">
        <f aca="false">30+98*$P$5</f>
        <v>54.5</v>
      </c>
      <c r="P118" s="17" t="n">
        <f aca="false">Ubar_c-Delta_c*O118</f>
        <v>4.60784105314076</v>
      </c>
      <c r="Q118" s="11" t="n">
        <f aca="false">(-(Cost_k*Ubar_c+Delay_D)+P118/$P$5*Q119)/(Rho_a+P118/$P$5)</f>
        <v>-239.182817728194</v>
      </c>
      <c r="R118" s="11" t="n">
        <f aca="false">MAX(Q118,-Delay_D/Rho_a)</f>
        <v>-239.182817728194</v>
      </c>
      <c r="S118" s="11" t="n">
        <f aca="false">IF(O118&lt;Floor_F,MAX((-(Cost_k*Ubar_c+Delay_D)*(1-EXP(-Rho_a*LN((Top_c-O118)/(Top_c-Floor_F))/Delta_c))/Rho_a+EXP(-Rho_a*LN((Top_c-O118)/(Top_c-Floor_F))/Delta_c)*(-Cost_k*Delta_c*Floor_F/Rho_a)),(-Delay_D/Rho_a)),(EXP(-Rho_a*LN(O118/Floor_F)/Delta_c)*(-Cost_k*Delta_c*Floor_F/Rho_a)))</f>
        <v>-239.211749540359</v>
      </c>
      <c r="T118" s="22" t="n">
        <f aca="false">ABS(R118-S118)</f>
        <v>0.0289318121651547</v>
      </c>
      <c r="V118" s="17" t="n">
        <f aca="false">30+98*$W$5</f>
        <v>42.25</v>
      </c>
      <c r="W118" s="17" t="n">
        <f aca="false">Ubar_c-Delta_c*V118</f>
        <v>5.84841364437097</v>
      </c>
      <c r="X118" s="11" t="n">
        <f aca="false">(-(Cost_k*Ubar_c+Delay_D)+W118/$W$5*X119)/(Rho_a+W118/$W$5)</f>
        <v>-343.803698534253</v>
      </c>
      <c r="Y118" s="11" t="n">
        <f aca="false">MAX(X118,-Delay_D/Rho_a)</f>
        <v>-335.745877992226</v>
      </c>
      <c r="Z118" s="11" t="n">
        <f aca="false">IF(V118&lt;Floor_F,MAX((-(Cost_k*Ubar_c+Delay_D)*(1-EXP(-Rho_a*LN((Top_c-V118)/(Top_c-Floor_F))/Delta_c))/Rho_a+EXP(-Rho_a*LN((Top_c-V118)/(Top_c-Floor_F))/Delta_c)*(-Cost_k*Delta_c*Floor_F/Rho_a)),(-Delay_D/Rho_a)),(EXP(-Rho_a*LN(V118/Floor_F)/Delta_c)*(-Cost_k*Delta_c*Floor_F/Rho_a)))</f>
        <v>-335.745877992226</v>
      </c>
      <c r="AA118" s="22" t="n">
        <f aca="false">ABS(Y118-Z118)</f>
        <v>0</v>
      </c>
      <c r="AC118" s="17" t="n">
        <f aca="false">30+98*$AD$5</f>
        <v>36.125</v>
      </c>
      <c r="AD118" s="17" t="n">
        <f aca="false">Ubar_c-Delta_c*AC118</f>
        <v>6.46869993998607</v>
      </c>
      <c r="AE118" s="11" t="n">
        <f aca="false">(-(Cost_k*Ubar_c+Delay_D)+AD118/$AD$5*AE119)/(Rho_a+AD118/$AD$5)</f>
        <v>-381.612575598665</v>
      </c>
      <c r="AF118" s="11" t="n">
        <f aca="false">MAX(AE118,-Delay_D/Rho_a)</f>
        <v>-335.745877992226</v>
      </c>
      <c r="AG118" s="11" t="n">
        <f aca="false">IF(AC118&lt;Floor_F,MAX((-(Cost_k*Ubar_c+Delay_D)*(1-EXP(-Rho_a*LN((Top_c-AC118)/(Top_c-Floor_F))/Delta_c))/Rho_a+EXP(-Rho_a*LN((Top_c-AC118)/(Top_c-Floor_F))/Delta_c)*(-Cost_k*Delta_c*Floor_F/Rho_a)),(-Delay_D/Rho_a)),(EXP(-Rho_a*LN(AC118/Floor_F)/Delta_c)*(-Cost_k*Delta_c*Floor_F/Rho_a)))</f>
        <v>-335.745877992226</v>
      </c>
      <c r="AH118" s="22" t="n">
        <f aca="false">ABS(AF118-AG118)</f>
        <v>0</v>
      </c>
    </row>
    <row r="119" customFormat="false" ht="15" hidden="false" customHeight="false" outlineLevel="0" collapsed="false">
      <c r="H119" s="17" t="n">
        <f aca="false">30+99*$I$5</f>
        <v>79.5</v>
      </c>
      <c r="I119" s="17" t="n">
        <f aca="false">-Delta_c*H119</f>
        <v>-8.05106293900419</v>
      </c>
      <c r="K119" s="11" t="n">
        <f aca="false">(-I119/$I$5*K118)/(Rho_a-I119/$I$5)</f>
        <v>-165.686267588903</v>
      </c>
      <c r="L119" s="11" t="n">
        <f aca="false">IF(H119&lt;Floor_F,MAX((-(Cost_k*Ubar_c+Delay_D)*(1-EXP(-Rho_a*LN((Top_c-H119)/(Top_c-Floor_F))/Delta_c))/Rho_a+EXP(-Rho_a*LN((Top_c-H119)/(Top_c-Floor_F))/Delta_c)*(-Cost_k*Delta_c*Floor_F/Rho_a)),(-Delay_D/Rho_a)),(EXP(-Rho_a*LN(H119/Floor_F)/Delta_c)*(-Cost_k*Delta_c*Floor_F/Rho_a)))</f>
        <v>-165.265905125956</v>
      </c>
      <c r="M119" s="22" t="n">
        <f aca="false">ABS(K119-L119)</f>
        <v>0.420362462947224</v>
      </c>
      <c r="O119" s="17" t="n">
        <f aca="false">30+99*$P$5</f>
        <v>54.75</v>
      </c>
      <c r="P119" s="17" t="n">
        <f aca="false">Ubar_c-Delta_c*O119</f>
        <v>4.58252324515647</v>
      </c>
      <c r="Q119" s="11" t="n">
        <f aca="false">(-(Cost_k*Ubar_c+Delay_D)+P119/$P$5*Q120)/(Rho_a+P119/$P$5)</f>
        <v>-236.485679587046</v>
      </c>
      <c r="R119" s="11" t="n">
        <f aca="false">MAX(Q119,-Delay_D/Rho_a)</f>
        <v>-236.485679587046</v>
      </c>
      <c r="S119" s="11" t="n">
        <f aca="false">IF(O119&lt;Floor_F,MAX((-(Cost_k*Ubar_c+Delay_D)*(1-EXP(-Rho_a*LN((Top_c-O119)/(Top_c-Floor_F))/Delta_c))/Rho_a+EXP(-Rho_a*LN((Top_c-O119)/(Top_c-Floor_F))/Delta_c)*(-Cost_k*Delta_c*Floor_F/Rho_a)),(-Delay_D/Rho_a)),(EXP(-Rho_a*LN(O119/Floor_F)/Delta_c)*(-Cost_k*Delta_c*Floor_F/Rho_a)))</f>
        <v>-236.50030062253</v>
      </c>
      <c r="T119" s="22" t="n">
        <f aca="false">ABS(R119-S119)</f>
        <v>0.0146210354833727</v>
      </c>
      <c r="V119" s="17" t="n">
        <f aca="false">30+99*$W$5</f>
        <v>42.375</v>
      </c>
      <c r="W119" s="17" t="n">
        <f aca="false">Ubar_c-Delta_c*V119</f>
        <v>5.83575474037882</v>
      </c>
      <c r="X119" s="11" t="n">
        <f aca="false">(-(Cost_k*Ubar_c+Delay_D)+W119/$W$5*X120)/(Rho_a+W119/$W$5)</f>
        <v>-342.954312212023</v>
      </c>
      <c r="Y119" s="11" t="n">
        <f aca="false">MAX(X119,-Delay_D/Rho_a)</f>
        <v>-335.745877992226</v>
      </c>
      <c r="Z119" s="11" t="n">
        <f aca="false">IF(V119&lt;Floor_F,MAX((-(Cost_k*Ubar_c+Delay_D)*(1-EXP(-Rho_a*LN((Top_c-V119)/(Top_c-Floor_F))/Delta_c))/Rho_a+EXP(-Rho_a*LN((Top_c-V119)/(Top_c-Floor_F))/Delta_c)*(-Cost_k*Delta_c*Floor_F/Rho_a)),(-Delay_D/Rho_a)),(EXP(-Rho_a*LN(V119/Floor_F)/Delta_c)*(-Cost_k*Delta_c*Floor_F/Rho_a)))</f>
        <v>-335.745877992226</v>
      </c>
      <c r="AA119" s="22" t="n">
        <f aca="false">ABS(Y119-Z119)</f>
        <v>0</v>
      </c>
      <c r="AC119" s="17" t="n">
        <f aca="false">30+99*$AD$5</f>
        <v>36.1875</v>
      </c>
      <c r="AD119" s="17" t="n">
        <f aca="false">Ubar_c-Delta_c*AC119</f>
        <v>6.46237048799</v>
      </c>
      <c r="AE119" s="11" t="n">
        <f aca="false">(-(Cost_k*Ubar_c+Delay_D)+AD119/$AD$5*AE120)/(Rho_a+AD119/$AD$5)</f>
        <v>-381.26342381861</v>
      </c>
      <c r="AF119" s="11" t="n">
        <f aca="false">MAX(AE119,-Delay_D/Rho_a)</f>
        <v>-335.745877992226</v>
      </c>
      <c r="AG119" s="11" t="n">
        <f aca="false">IF(AC119&lt;Floor_F,MAX((-(Cost_k*Ubar_c+Delay_D)*(1-EXP(-Rho_a*LN((Top_c-AC119)/(Top_c-Floor_F))/Delta_c))/Rho_a+EXP(-Rho_a*LN((Top_c-AC119)/(Top_c-Floor_F))/Delta_c)*(-Cost_k*Delta_c*Floor_F/Rho_a)),(-Delay_D/Rho_a)),(EXP(-Rho_a*LN(AC119/Floor_F)/Delta_c)*(-Cost_k*Delta_c*Floor_F/Rho_a)))</f>
        <v>-335.745877992226</v>
      </c>
      <c r="AH119" s="22" t="n">
        <f aca="false">ABS(AF119-AG119)</f>
        <v>0</v>
      </c>
    </row>
    <row r="120" customFormat="false" ht="15" hidden="false" customHeight="false" outlineLevel="0" collapsed="false">
      <c r="H120" s="17" t="n">
        <f aca="false">30+100*$I$5</f>
        <v>80</v>
      </c>
      <c r="I120" s="17" t="n">
        <f aca="false">-Delta_c*H120</f>
        <v>-8.10169855497277</v>
      </c>
      <c r="K120" s="11" t="n">
        <f aca="false">(-I120/$I$5*K119)/(Rho_a-I120/$I$5)</f>
        <v>-164.717381672108</v>
      </c>
      <c r="L120" s="11" t="n">
        <f aca="false">IF(H120&lt;Floor_F,MAX((-(Cost_k*Ubar_c+Delay_D)*(1-EXP(-Rho_a*LN((Top_c-H120)/(Top_c-Floor_F))/Delta_c))/Rho_a+EXP(-Rho_a*LN((Top_c-H120)/(Top_c-Floor_F))/Delta_c)*(-Cost_k*Delta_c*Floor_F/Rho_a)),(-Delay_D/Rho_a)),(EXP(-Rho_a*LN(H120/Floor_F)/Delta_c)*(-Cost_k*Delta_c*Floor_F/Rho_a)))</f>
        <v>-164.293613522861</v>
      </c>
      <c r="M120" s="22" t="n">
        <f aca="false">ABS(K120-L120)</f>
        <v>0.423768149247167</v>
      </c>
      <c r="O120" s="17" t="n">
        <f aca="false">30+100*$P$5</f>
        <v>55</v>
      </c>
      <c r="P120" s="17" t="n">
        <v>0</v>
      </c>
      <c r="Q120" s="11" t="n">
        <f aca="false">-Cost_k*Delta_c*Floor_F/Rho_a</f>
        <v>-233.75961593941</v>
      </c>
      <c r="R120" s="11" t="n">
        <f aca="false">Q120</f>
        <v>-233.75961593941</v>
      </c>
      <c r="S120" s="11" t="n">
        <f aca="false">IF(O120&lt;Floor_F,MAX((-(Cost_k*Ubar_c+Delay_D)*(1-EXP(-Rho_a*LN((Top_c-O120)/(Top_c-Floor_F))/Delta_c))/Rho_a+EXP(-Rho_a*LN((Top_c-O120)/(Top_c-Floor_F))/Delta_c)*(-Cost_k*Delta_c*Floor_F/Rho_a)),(-Delay_D/Rho_a)),(EXP(-Rho_a*LN(O120/Floor_F)/Delta_c)*(-Cost_k*Delta_c*Floor_F/Rho_a)))</f>
        <v>-233.75961593941</v>
      </c>
      <c r="T120" s="22" t="n">
        <f aca="false">ABS(R120-S120)</f>
        <v>0</v>
      </c>
      <c r="V120" s="17" t="n">
        <f aca="false">30+100*$W$5</f>
        <v>42.5</v>
      </c>
      <c r="W120" s="17" t="n">
        <f aca="false">Ubar_c-Delta_c*V120</f>
        <v>5.82309583638668</v>
      </c>
      <c r="X120" s="11" t="n">
        <f aca="false">(-(Cost_k*Ubar_c+Delay_D)+W120/$W$5*X121)/(Rho_a+W120/$W$5)</f>
        <v>-342.101349369494</v>
      </c>
      <c r="Y120" s="11" t="n">
        <f aca="false">MAX(X120,-Delay_D/Rho_a)</f>
        <v>-335.745877992226</v>
      </c>
      <c r="Z120" s="11" t="n">
        <f aca="false">IF(V120&lt;Floor_F,MAX((-(Cost_k*Ubar_c+Delay_D)*(1-EXP(-Rho_a*LN((Top_c-V120)/(Top_c-Floor_F))/Delta_c))/Rho_a+EXP(-Rho_a*LN((Top_c-V120)/(Top_c-Floor_F))/Delta_c)*(-Cost_k*Delta_c*Floor_F/Rho_a)),(-Delay_D/Rho_a)),(EXP(-Rho_a*LN(V120/Floor_F)/Delta_c)*(-Cost_k*Delta_c*Floor_F/Rho_a)))</f>
        <v>-335.745877992226</v>
      </c>
      <c r="AA120" s="22" t="n">
        <f aca="false">ABS(Y120-Z120)</f>
        <v>0</v>
      </c>
      <c r="AC120" s="17" t="n">
        <f aca="false">30+100*$AD$5</f>
        <v>36.25</v>
      </c>
      <c r="AD120" s="17" t="n">
        <f aca="false">Ubar_c-Delta_c*AC120</f>
        <v>6.45604103599393</v>
      </c>
      <c r="AE120" s="11" t="n">
        <f aca="false">(-(Cost_k*Ubar_c+Delay_D)+AD120/$AD$5*AE121)/(Rho_a+AD120/$AD$5)</f>
        <v>-380.913608226898</v>
      </c>
      <c r="AF120" s="11" t="n">
        <f aca="false">MAX(AE120,-Delay_D/Rho_a)</f>
        <v>-335.745877992226</v>
      </c>
      <c r="AG120" s="11" t="n">
        <f aca="false">IF(AC120&lt;Floor_F,MAX((-(Cost_k*Ubar_c+Delay_D)*(1-EXP(-Rho_a*LN((Top_c-AC120)/(Top_c-Floor_F))/Delta_c))/Rho_a+EXP(-Rho_a*LN((Top_c-AC120)/(Top_c-Floor_F))/Delta_c)*(-Cost_k*Delta_c*Floor_F/Rho_a)),(-Delay_D/Rho_a)),(EXP(-Rho_a*LN(AC120/Floor_F)/Delta_c)*(-Cost_k*Delta_c*Floor_F/Rho_a)))</f>
        <v>-335.745877992226</v>
      </c>
      <c r="AH120" s="22" t="n">
        <f aca="false">ABS(AF120-AG120)</f>
        <v>0</v>
      </c>
    </row>
    <row r="121" customFormat="false" ht="15" hidden="false" customHeight="false" outlineLevel="0" collapsed="false">
      <c r="O121" s="17" t="n">
        <f aca="false">30+101*$P$5</f>
        <v>55.25</v>
      </c>
      <c r="P121" s="17" t="n">
        <f aca="false">-Delta_c*O121</f>
        <v>-5.59523556452807</v>
      </c>
      <c r="R121" s="11" t="n">
        <f aca="false">(-P121/$P$5*R120)/(Rho_a-P121/$P$5)</f>
        <v>-232.768362122177</v>
      </c>
      <c r="S121" s="11" t="n">
        <f aca="false">IF(O121&lt;Floor_F,MAX((-(Cost_k*Ubar_c+Delay_D)*(1-EXP(-Rho_a*LN((Top_c-O121)/(Top_c-Floor_F))/Delta_c))/Rho_a+EXP(-Rho_a*LN((Top_c-O121)/(Top_c-Floor_F))/Delta_c)*(-Cost_k*Delta_c*Floor_F/Rho_a)),(-Delay_D/Rho_a)),(EXP(-Rho_a*LN(O121/Floor_F)/Delta_c)*(-Cost_k*Delta_c*Floor_F/Rho_a)))</f>
        <v>-232.764008044158</v>
      </c>
      <c r="T121" s="22" t="n">
        <f aca="false">ABS(R121-S121)</f>
        <v>0.00435407801916199</v>
      </c>
      <c r="V121" s="17" t="n">
        <f aca="false">30+101*$W$5</f>
        <v>42.625</v>
      </c>
      <c r="W121" s="17" t="n">
        <f aca="false">Ubar_c-Delta_c*V121</f>
        <v>5.81043693239453</v>
      </c>
      <c r="X121" s="11" t="n">
        <f aca="false">(-(Cost_k*Ubar_c+Delay_D)+W121/$W$5*X122)/(Rho_a+W121/$W$5)</f>
        <v>-341.244787139189</v>
      </c>
      <c r="Y121" s="11" t="n">
        <f aca="false">MAX(X121,-Delay_D/Rho_a)</f>
        <v>-335.745877992226</v>
      </c>
      <c r="Z121" s="11" t="n">
        <f aca="false">IF(V121&lt;Floor_F,MAX((-(Cost_k*Ubar_c+Delay_D)*(1-EXP(-Rho_a*LN((Top_c-V121)/(Top_c-Floor_F))/Delta_c))/Rho_a+EXP(-Rho_a*LN((Top_c-V121)/(Top_c-Floor_F))/Delta_c)*(-Cost_k*Delta_c*Floor_F/Rho_a)),(-Delay_D/Rho_a)),(EXP(-Rho_a*LN(V121/Floor_F)/Delta_c)*(-Cost_k*Delta_c*Floor_F/Rho_a)))</f>
        <v>-335.745877992226</v>
      </c>
      <c r="AA121" s="22" t="n">
        <f aca="false">ABS(Y121-Z121)</f>
        <v>0</v>
      </c>
      <c r="AC121" s="17" t="n">
        <f aca="false">30+101*$AD$5</f>
        <v>36.3125</v>
      </c>
      <c r="AD121" s="17" t="n">
        <f aca="false">Ubar_c-Delta_c*AC121</f>
        <v>6.44971158399785</v>
      </c>
      <c r="AE121" s="11" t="n">
        <f aca="false">(-(Cost_k*Ubar_c+Delay_D)+AD121/$AD$5*AE122)/(Rho_a+AD121/$AD$5)</f>
        <v>-380.563126909449</v>
      </c>
      <c r="AF121" s="11" t="n">
        <f aca="false">MAX(AE121,-Delay_D/Rho_a)</f>
        <v>-335.745877992226</v>
      </c>
      <c r="AG121" s="11" t="n">
        <f aca="false">IF(AC121&lt;Floor_F,MAX((-(Cost_k*Ubar_c+Delay_D)*(1-EXP(-Rho_a*LN((Top_c-AC121)/(Top_c-Floor_F))/Delta_c))/Rho_a+EXP(-Rho_a*LN((Top_c-AC121)/(Top_c-Floor_F))/Delta_c)*(-Cost_k*Delta_c*Floor_F/Rho_a)),(-Delay_D/Rho_a)),(EXP(-Rho_a*LN(AC121/Floor_F)/Delta_c)*(-Cost_k*Delta_c*Floor_F/Rho_a)))</f>
        <v>-335.745877992226</v>
      </c>
      <c r="AH121" s="22" t="n">
        <f aca="false">ABS(AF121-AG121)</f>
        <v>0</v>
      </c>
    </row>
    <row r="122" customFormat="false" ht="15" hidden="false" customHeight="false" outlineLevel="0" collapsed="false">
      <c r="O122" s="17" t="n">
        <f aca="false">30+102*$P$5</f>
        <v>55.5</v>
      </c>
      <c r="P122" s="17" t="n">
        <f aca="false">-Delta_c*O122</f>
        <v>-5.62055337251236</v>
      </c>
      <c r="R122" s="11" t="n">
        <f aca="false">(-P122/$P$5*R121)/(Rho_a-P122/$P$5)</f>
        <v>-231.785739104213</v>
      </c>
      <c r="S122" s="11" t="n">
        <f aca="false">IF(O122&lt;Floor_F,MAX((-(Cost_k*Ubar_c+Delay_D)*(1-EXP(-Rho_a*LN((Top_c-O122)/(Top_c-Floor_F))/Delta_c))/Rho_a+EXP(-Rho_a*LN((Top_c-O122)/(Top_c-Floor_F))/Delta_c)*(-Cost_k*Delta_c*Floor_F/Rho_a)),(-Delay_D/Rho_a)),(EXP(-Rho_a*LN(O122/Floor_F)/Delta_c)*(-Cost_k*Delta_c*Floor_F/Rho_a)))</f>
        <v>-231.777106765518</v>
      </c>
      <c r="T122" s="22" t="n">
        <f aca="false">ABS(R122-S122)</f>
        <v>0.00863233869529267</v>
      </c>
      <c r="V122" s="17" t="n">
        <f aca="false">30+102*$W$5</f>
        <v>42.75</v>
      </c>
      <c r="W122" s="17" t="n">
        <f aca="false">Ubar_c-Delta_c*V122</f>
        <v>5.79777802840239</v>
      </c>
      <c r="X122" s="11" t="n">
        <f aca="false">(-(Cost_k*Ubar_c+Delay_D)+W122/$W$5*X123)/(Rho_a+W122/$W$5)</f>
        <v>-340.384602457284</v>
      </c>
      <c r="Y122" s="11" t="n">
        <f aca="false">MAX(X122,-Delay_D/Rho_a)</f>
        <v>-335.745877992226</v>
      </c>
      <c r="Z122" s="11" t="n">
        <f aca="false">IF(V122&lt;Floor_F,MAX((-(Cost_k*Ubar_c+Delay_D)*(1-EXP(-Rho_a*LN((Top_c-V122)/(Top_c-Floor_F))/Delta_c))/Rho_a+EXP(-Rho_a*LN((Top_c-V122)/(Top_c-Floor_F))/Delta_c)*(-Cost_k*Delta_c*Floor_F/Rho_a)),(-Delay_D/Rho_a)),(EXP(-Rho_a*LN(V122/Floor_F)/Delta_c)*(-Cost_k*Delta_c*Floor_F/Rho_a)))</f>
        <v>-335.745877992226</v>
      </c>
      <c r="AA122" s="22" t="n">
        <f aca="false">ABS(Y122-Z122)</f>
        <v>0</v>
      </c>
      <c r="AC122" s="17" t="n">
        <f aca="false">30+102*$AD$5</f>
        <v>36.375</v>
      </c>
      <c r="AD122" s="17" t="n">
        <f aca="false">Ubar_c-Delta_c*AC122</f>
        <v>6.44338213200178</v>
      </c>
      <c r="AE122" s="11" t="n">
        <f aca="false">(-(Cost_k*Ubar_c+Delay_D)+AD122/$AD$5*AE123)/(Rho_a+AD122/$AD$5)</f>
        <v>-380.211977944779</v>
      </c>
      <c r="AF122" s="11" t="n">
        <f aca="false">MAX(AE122,-Delay_D/Rho_a)</f>
        <v>-335.745877992226</v>
      </c>
      <c r="AG122" s="11" t="n">
        <f aca="false">IF(AC122&lt;Floor_F,MAX((-(Cost_k*Ubar_c+Delay_D)*(1-EXP(-Rho_a*LN((Top_c-AC122)/(Top_c-Floor_F))/Delta_c))/Rho_a+EXP(-Rho_a*LN((Top_c-AC122)/(Top_c-Floor_F))/Delta_c)*(-Cost_k*Delta_c*Floor_F/Rho_a)),(-Delay_D/Rho_a)),(EXP(-Rho_a*LN(AC122/Floor_F)/Delta_c)*(-Cost_k*Delta_c*Floor_F/Rho_a)))</f>
        <v>-335.745877992226</v>
      </c>
      <c r="AH122" s="22" t="n">
        <f aca="false">ABS(AF122-AG122)</f>
        <v>0</v>
      </c>
    </row>
    <row r="123" customFormat="false" ht="15" hidden="false" customHeight="false" outlineLevel="0" collapsed="false">
      <c r="O123" s="17" t="n">
        <f aca="false">30+103*$P$5</f>
        <v>55.75</v>
      </c>
      <c r="P123" s="17" t="n">
        <f aca="false">-Delta_c*O123</f>
        <v>-5.64587118049665</v>
      </c>
      <c r="R123" s="11" t="n">
        <f aca="false">(-P123/$P$5*R122)/(Rho_a-P123/$P$5)</f>
        <v>-230.811633532653</v>
      </c>
      <c r="S123" s="11" t="n">
        <f aca="false">IF(O123&lt;Floor_F,MAX((-(Cost_k*Ubar_c+Delay_D)*(1-EXP(-Rho_a*LN((Top_c-O123)/(Top_c-Floor_F))/Delta_c))/Rho_a+EXP(-Rho_a*LN((Top_c-O123)/(Top_c-Floor_F))/Delta_c)*(-Cost_k*Delta_c*Floor_F/Rho_a)),(-Delay_D/Rho_a)),(EXP(-Rho_a*LN(O123/Floor_F)/Delta_c)*(-Cost_k*Delta_c*Floor_F/Rho_a)))</f>
        <v>-230.798797257082</v>
      </c>
      <c r="T123" s="22" t="n">
        <f aca="false">ABS(R123-S123)</f>
        <v>0.0128362755710043</v>
      </c>
      <c r="V123" s="17" t="n">
        <f aca="false">30+103*$W$5</f>
        <v>42.875</v>
      </c>
      <c r="W123" s="17" t="n">
        <f aca="false">Ubar_c-Delta_c*V123</f>
        <v>5.78511912441024</v>
      </c>
      <c r="X123" s="11" t="n">
        <f aca="false">(-(Cost_k*Ubar_c+Delay_D)+W123/$W$5*X124)/(Rho_a+W123/$W$5)</f>
        <v>-339.52077206149</v>
      </c>
      <c r="Y123" s="11" t="n">
        <f aca="false">MAX(X123,-Delay_D/Rho_a)</f>
        <v>-335.745877992226</v>
      </c>
      <c r="Z123" s="11" t="n">
        <f aca="false">IF(V123&lt;Floor_F,MAX((-(Cost_k*Ubar_c+Delay_D)*(1-EXP(-Rho_a*LN((Top_c-V123)/(Top_c-Floor_F))/Delta_c))/Rho_a+EXP(-Rho_a*LN((Top_c-V123)/(Top_c-Floor_F))/Delta_c)*(-Cost_k*Delta_c*Floor_F/Rho_a)),(-Delay_D/Rho_a)),(EXP(-Rho_a*LN(V123/Floor_F)/Delta_c)*(-Cost_k*Delta_c*Floor_F/Rho_a)))</f>
        <v>-335.745877992226</v>
      </c>
      <c r="AA123" s="22" t="n">
        <f aca="false">ABS(Y123-Z123)</f>
        <v>0</v>
      </c>
      <c r="AC123" s="17" t="n">
        <f aca="false">30+103*$AD$5</f>
        <v>36.4375</v>
      </c>
      <c r="AD123" s="17" t="n">
        <f aca="false">Ubar_c-Delta_c*AC123</f>
        <v>6.43705268000571</v>
      </c>
      <c r="AE123" s="11" t="n">
        <f aca="false">(-(Cost_k*Ubar_c+Delay_D)+AD123/$AD$5*AE124)/(Rho_a+AD123/$AD$5)</f>
        <v>-379.860159403967</v>
      </c>
      <c r="AF123" s="11" t="n">
        <f aca="false">MAX(AE123,-Delay_D/Rho_a)</f>
        <v>-335.745877992226</v>
      </c>
      <c r="AG123" s="11" t="n">
        <f aca="false">IF(AC123&lt;Floor_F,MAX((-(Cost_k*Ubar_c+Delay_D)*(1-EXP(-Rho_a*LN((Top_c-AC123)/(Top_c-Floor_F))/Delta_c))/Rho_a+EXP(-Rho_a*LN((Top_c-AC123)/(Top_c-Floor_F))/Delta_c)*(-Cost_k*Delta_c*Floor_F/Rho_a)),(-Delay_D/Rho_a)),(EXP(-Rho_a*LN(AC123/Floor_F)/Delta_c)*(-Cost_k*Delta_c*Floor_F/Rho_a)))</f>
        <v>-335.745877992226</v>
      </c>
      <c r="AH123" s="22" t="n">
        <f aca="false">ABS(AF123-AG123)</f>
        <v>0</v>
      </c>
    </row>
    <row r="124" customFormat="false" ht="15" hidden="false" customHeight="false" outlineLevel="0" collapsed="false">
      <c r="O124" s="17" t="n">
        <f aca="false">30+104*$P$5</f>
        <v>56</v>
      </c>
      <c r="P124" s="17" t="n">
        <f aca="false">-Delta_c*O124</f>
        <v>-5.67118898848094</v>
      </c>
      <c r="R124" s="11" t="n">
        <f aca="false">(-P124/$P$5*R123)/(Rho_a-P124/$P$5)</f>
        <v>-229.845934040659</v>
      </c>
      <c r="S124" s="11" t="n">
        <f aca="false">IF(O124&lt;Floor_F,MAX((-(Cost_k*Ubar_c+Delay_D)*(1-EXP(-Rho_a*LN((Top_c-O124)/(Top_c-Floor_F))/Delta_c))/Rho_a+EXP(-Rho_a*LN((Top_c-O124)/(Top_c-Floor_F))/Delta_c)*(-Cost_k*Delta_c*Floor_F/Rho_a)),(-Delay_D/Rho_a)),(EXP(-Rho_a*LN(O124/Floor_F)/Delta_c)*(-Cost_k*Delta_c*Floor_F/Rho_a)))</f>
        <v>-229.828966693359</v>
      </c>
      <c r="T124" s="22" t="n">
        <f aca="false">ABS(R124-S124)</f>
        <v>0.0169673473001239</v>
      </c>
      <c r="V124" s="17" t="n">
        <f aca="false">30+104*$W$5</f>
        <v>43</v>
      </c>
      <c r="W124" s="17" t="n">
        <f aca="false">Ubar_c-Delta_c*V124</f>
        <v>5.7724602204181</v>
      </c>
      <c r="X124" s="11" t="n">
        <f aca="false">(-(Cost_k*Ubar_c+Delay_D)+W124/$W$5*X125)/(Rho_a+W124/$W$5)</f>
        <v>-338.653272488902</v>
      </c>
      <c r="Y124" s="11" t="n">
        <f aca="false">MAX(X124,-Delay_D/Rho_a)</f>
        <v>-335.745877992226</v>
      </c>
      <c r="Z124" s="11" t="n">
        <f aca="false">IF(V124&lt;Floor_F,MAX((-(Cost_k*Ubar_c+Delay_D)*(1-EXP(-Rho_a*LN((Top_c-V124)/(Top_c-Floor_F))/Delta_c))/Rho_a+EXP(-Rho_a*LN((Top_c-V124)/(Top_c-Floor_F))/Delta_c)*(-Cost_k*Delta_c*Floor_F/Rho_a)),(-Delay_D/Rho_a)),(EXP(-Rho_a*LN(V124/Floor_F)/Delta_c)*(-Cost_k*Delta_c*Floor_F/Rho_a)))</f>
        <v>-335.745877992226</v>
      </c>
      <c r="AA124" s="22" t="n">
        <f aca="false">ABS(Y124-Z124)</f>
        <v>0</v>
      </c>
      <c r="AC124" s="17" t="n">
        <f aca="false">30+104*$AD$5</f>
        <v>36.5</v>
      </c>
      <c r="AD124" s="17" t="n">
        <f aca="false">Ubar_c-Delta_c*AC124</f>
        <v>6.43072322800964</v>
      </c>
      <c r="AE124" s="11" t="n">
        <f aca="false">(-(Cost_k*Ubar_c+Delay_D)+AD124/$AD$5*AE125)/(Rho_a+AD124/$AD$5)</f>
        <v>-379.507669350616</v>
      </c>
      <c r="AF124" s="11" t="n">
        <f aca="false">MAX(AE124,-Delay_D/Rho_a)</f>
        <v>-335.745877992226</v>
      </c>
      <c r="AG124" s="11" t="n">
        <f aca="false">IF(AC124&lt;Floor_F,MAX((-(Cost_k*Ubar_c+Delay_D)*(1-EXP(-Rho_a*LN((Top_c-AC124)/(Top_c-Floor_F))/Delta_c))/Rho_a+EXP(-Rho_a*LN((Top_c-AC124)/(Top_c-Floor_F))/Delta_c)*(-Cost_k*Delta_c*Floor_F/Rho_a)),(-Delay_D/Rho_a)),(EXP(-Rho_a*LN(AC124/Floor_F)/Delta_c)*(-Cost_k*Delta_c*Floor_F/Rho_a)))</f>
        <v>-335.745877992226</v>
      </c>
      <c r="AH124" s="22" t="n">
        <f aca="false">ABS(AF124-AG124)</f>
        <v>0</v>
      </c>
    </row>
    <row r="125" customFormat="false" ht="15" hidden="false" customHeight="false" outlineLevel="0" collapsed="false">
      <c r="O125" s="17" t="n">
        <f aca="false">30+105*$P$5</f>
        <v>56.25</v>
      </c>
      <c r="P125" s="17" t="n">
        <f aca="false">-Delta_c*O125</f>
        <v>-5.69650679646523</v>
      </c>
      <c r="R125" s="11" t="n">
        <f aca="false">(-P125/$P$5*R124)/(Rho_a-P125/$P$5)</f>
        <v>-228.888531203989</v>
      </c>
      <c r="S125" s="11" t="n">
        <f aca="false">IF(O125&lt;Floor_F,MAX((-(Cost_k*Ubar_c+Delay_D)*(1-EXP(-Rho_a*LN((Top_c-O125)/(Top_c-Floor_F))/Delta_c))/Rho_a+EXP(-Rho_a*LN((Top_c-O125)/(Top_c-Floor_F))/Delta_c)*(-Cost_k*Delta_c*Floor_F/Rho_a)),(-Delay_D/Rho_a)),(EXP(-Rho_a*LN(O125/Floor_F)/Delta_c)*(-Cost_k*Delta_c*Floor_F/Rho_a)))</f>
        <v>-228.867504225387</v>
      </c>
      <c r="T125" s="22" t="n">
        <f aca="false">ABS(R125-S125)</f>
        <v>0.0210269786014123</v>
      </c>
      <c r="V125" s="17" t="n">
        <f aca="false">30+105*$W$5</f>
        <v>43.125</v>
      </c>
      <c r="W125" s="17" t="n">
        <f aca="false">Ubar_c-Delta_c*V125</f>
        <v>5.75980131642595</v>
      </c>
      <c r="X125" s="11" t="n">
        <f aca="false">(-(Cost_k*Ubar_c+Delay_D)+W125/$W$5*X126)/(Rho_a+W125/$W$5)</f>
        <v>-337.782080073831</v>
      </c>
      <c r="Y125" s="11" t="n">
        <f aca="false">MAX(X125,-Delay_D/Rho_a)</f>
        <v>-335.745877992226</v>
      </c>
      <c r="Z125" s="11" t="n">
        <f aca="false">IF(V125&lt;Floor_F,MAX((-(Cost_k*Ubar_c+Delay_D)*(1-EXP(-Rho_a*LN((Top_c-V125)/(Top_c-Floor_F))/Delta_c))/Rho_a+EXP(-Rho_a*LN((Top_c-V125)/(Top_c-Floor_F))/Delta_c)*(-Cost_k*Delta_c*Floor_F/Rho_a)),(-Delay_D/Rho_a)),(EXP(-Rho_a*LN(V125/Floor_F)/Delta_c)*(-Cost_k*Delta_c*Floor_F/Rho_a)))</f>
        <v>-335.745877992226</v>
      </c>
      <c r="AA125" s="22" t="n">
        <f aca="false">ABS(Y125-Z125)</f>
        <v>0</v>
      </c>
      <c r="AC125" s="17" t="n">
        <f aca="false">30+105*$AD$5</f>
        <v>36.5625</v>
      </c>
      <c r="AD125" s="17" t="n">
        <f aca="false">Ubar_c-Delta_c*AC125</f>
        <v>6.42439377601356</v>
      </c>
      <c r="AE125" s="11" t="n">
        <f aca="false">(-(Cost_k*Ubar_c+Delay_D)+AD125/$AD$5*AE126)/(Rho_a+AD125/$AD$5)</f>
        <v>-379.154505840818</v>
      </c>
      <c r="AF125" s="11" t="n">
        <f aca="false">MAX(AE125,-Delay_D/Rho_a)</f>
        <v>-335.745877992226</v>
      </c>
      <c r="AG125" s="11" t="n">
        <f aca="false">IF(AC125&lt;Floor_F,MAX((-(Cost_k*Ubar_c+Delay_D)*(1-EXP(-Rho_a*LN((Top_c-AC125)/(Top_c-Floor_F))/Delta_c))/Rho_a+EXP(-Rho_a*LN((Top_c-AC125)/(Top_c-Floor_F))/Delta_c)*(-Cost_k*Delta_c*Floor_F/Rho_a)),(-Delay_D/Rho_a)),(EXP(-Rho_a*LN(AC125/Floor_F)/Delta_c)*(-Cost_k*Delta_c*Floor_F/Rho_a)))</f>
        <v>-335.745877992226</v>
      </c>
      <c r="AH125" s="22" t="n">
        <f aca="false">ABS(AF125-AG125)</f>
        <v>0</v>
      </c>
    </row>
    <row r="126" customFormat="false" ht="15" hidden="false" customHeight="false" outlineLevel="0" collapsed="false">
      <c r="O126" s="17" t="n">
        <f aca="false">30+106*$P$5</f>
        <v>56.5</v>
      </c>
      <c r="P126" s="17" t="n">
        <f aca="false">-Delta_c*O126</f>
        <v>-5.72182460444952</v>
      </c>
      <c r="R126" s="11" t="n">
        <f aca="false">(-P126/$P$5*R125)/(Rho_a-P126/$P$5)</f>
        <v>-227.939317498697</v>
      </c>
      <c r="S126" s="11" t="n">
        <f aca="false">IF(O126&lt;Floor_F,MAX((-(Cost_k*Ubar_c+Delay_D)*(1-EXP(-Rho_a*LN((Top_c-O126)/(Top_c-Floor_F))/Delta_c))/Rho_a+EXP(-Rho_a*LN((Top_c-O126)/(Top_c-Floor_F))/Delta_c)*(-Cost_k*Delta_c*Floor_F/Rho_a)),(-Delay_D/Rho_a)),(EXP(-Rho_a*LN(O126/Floor_F)/Delta_c)*(-Cost_k*Delta_c*Floor_F/Rho_a)))</f>
        <v>-227.914300937515</v>
      </c>
      <c r="T126" s="22" t="n">
        <f aca="false">ABS(R126-S126)</f>
        <v>0.0250165611822411</v>
      </c>
      <c r="V126" s="17" t="n">
        <f aca="false">30+106*$W$5</f>
        <v>43.25</v>
      </c>
      <c r="W126" s="17" t="n">
        <f aca="false">Ubar_c-Delta_c*V126</f>
        <v>5.74714241243381</v>
      </c>
      <c r="X126" s="11" t="n">
        <f aca="false">(-(Cost_k*Ubar_c+Delay_D)+W126/$W$5*X127)/(Rho_a+W126/$W$5)</f>
        <v>-336.907170945599</v>
      </c>
      <c r="Y126" s="11" t="n">
        <f aca="false">MAX(X126,-Delay_D/Rho_a)</f>
        <v>-335.745877992226</v>
      </c>
      <c r="Z126" s="11" t="n">
        <f aca="false">IF(V126&lt;Floor_F,MAX((-(Cost_k*Ubar_c+Delay_D)*(1-EXP(-Rho_a*LN((Top_c-V126)/(Top_c-Floor_F))/Delta_c))/Rho_a+EXP(-Rho_a*LN((Top_c-V126)/(Top_c-Floor_F))/Delta_c)*(-Cost_k*Delta_c*Floor_F/Rho_a)),(-Delay_D/Rho_a)),(EXP(-Rho_a*LN(V126/Floor_F)/Delta_c)*(-Cost_k*Delta_c*Floor_F/Rho_a)))</f>
        <v>-335.745877992226</v>
      </c>
      <c r="AA126" s="22" t="n">
        <f aca="false">ABS(Y126-Z126)</f>
        <v>0</v>
      </c>
      <c r="AC126" s="17" t="n">
        <f aca="false">30+106*$AD$5</f>
        <v>36.625</v>
      </c>
      <c r="AD126" s="17" t="n">
        <f aca="false">Ubar_c-Delta_c*AC126</f>
        <v>6.41806432401749</v>
      </c>
      <c r="AE126" s="11" t="n">
        <f aca="false">(-(Cost_k*Ubar_c+Delay_D)+AD126/$AD$5*AE127)/(Rho_a+AD126/$AD$5)</f>
        <v>-378.800666923116</v>
      </c>
      <c r="AF126" s="11" t="n">
        <f aca="false">MAX(AE126,-Delay_D/Rho_a)</f>
        <v>-335.745877992226</v>
      </c>
      <c r="AG126" s="11" t="n">
        <f aca="false">IF(AC126&lt;Floor_F,MAX((-(Cost_k*Ubar_c+Delay_D)*(1-EXP(-Rho_a*LN((Top_c-AC126)/(Top_c-Floor_F))/Delta_c))/Rho_a+EXP(-Rho_a*LN((Top_c-AC126)/(Top_c-Floor_F))/Delta_c)*(-Cost_k*Delta_c*Floor_F/Rho_a)),(-Delay_D/Rho_a)),(EXP(-Rho_a*LN(AC126/Floor_F)/Delta_c)*(-Cost_k*Delta_c*Floor_F/Rho_a)))</f>
        <v>-335.745877992226</v>
      </c>
      <c r="AH126" s="22" t="n">
        <f aca="false">ABS(AF126-AG126)</f>
        <v>0</v>
      </c>
    </row>
    <row r="127" customFormat="false" ht="15" hidden="false" customHeight="false" outlineLevel="0" collapsed="false">
      <c r="O127" s="17" t="n">
        <f aca="false">30+107*$P$5</f>
        <v>56.75</v>
      </c>
      <c r="P127" s="17" t="n">
        <f aca="false">-Delta_c*O127</f>
        <v>-5.74714241243381</v>
      </c>
      <c r="R127" s="11" t="n">
        <f aca="false">(-P127/$P$5*R126)/(Rho_a-P127/$P$5)</f>
        <v>-226.998187259946</v>
      </c>
      <c r="S127" s="11" t="n">
        <f aca="false">IF(O127&lt;Floor_F,MAX((-(Cost_k*Ubar_c+Delay_D)*(1-EXP(-Rho_a*LN((Top_c-O127)/(Top_c-Floor_F))/Delta_c))/Rho_a+EXP(-Rho_a*LN((Top_c-O127)/(Top_c-Floor_F))/Delta_c)*(-Cost_k*Delta_c*Floor_F/Rho_a)),(-Delay_D/Rho_a)),(EXP(-Rho_a*LN(O127/Floor_F)/Delta_c)*(-Cost_k*Delta_c*Floor_F/Rho_a)))</f>
        <v>-226.969249805312</v>
      </c>
      <c r="T127" s="22" t="n">
        <f aca="false">ABS(R127-S127)</f>
        <v>0.02893745463345</v>
      </c>
      <c r="V127" s="17" t="n">
        <f aca="false">30+107*$W$5</f>
        <v>43.375</v>
      </c>
      <c r="W127" s="17" t="n">
        <f aca="false">Ubar_c-Delta_c*V127</f>
        <v>5.73448350844166</v>
      </c>
      <c r="X127" s="11" t="n">
        <f aca="false">(-(Cost_k*Ubar_c+Delay_D)+W127/$W$5*X128)/(Rho_a+W127/$W$5)</f>
        <v>-336.028521026308</v>
      </c>
      <c r="Y127" s="11" t="n">
        <f aca="false">MAX(X127,-Delay_D/Rho_a)</f>
        <v>-335.745877992226</v>
      </c>
      <c r="Z127" s="11" t="n">
        <f aca="false">IF(V127&lt;Floor_F,MAX((-(Cost_k*Ubar_c+Delay_D)*(1-EXP(-Rho_a*LN((Top_c-V127)/(Top_c-Floor_F))/Delta_c))/Rho_a+EXP(-Rho_a*LN((Top_c-V127)/(Top_c-Floor_F))/Delta_c)*(-Cost_k*Delta_c*Floor_F/Rho_a)),(-Delay_D/Rho_a)),(EXP(-Rho_a*LN(V127/Floor_F)/Delta_c)*(-Cost_k*Delta_c*Floor_F/Rho_a)))</f>
        <v>-335.745877992226</v>
      </c>
      <c r="AA127" s="22" t="n">
        <f aca="false">ABS(Y127-Z127)</f>
        <v>0</v>
      </c>
      <c r="AC127" s="17" t="n">
        <f aca="false">30+107*$AD$5</f>
        <v>36.6875</v>
      </c>
      <c r="AD127" s="17" t="n">
        <f aca="false">Ubar_c-Delta_c*AC127</f>
        <v>6.41173487202142</v>
      </c>
      <c r="AE127" s="11" t="n">
        <f aca="false">(-(Cost_k*Ubar_c+Delay_D)+AD127/$AD$5*AE128)/(Rho_a+AD127/$AD$5)</f>
        <v>-378.446150638469</v>
      </c>
      <c r="AF127" s="11" t="n">
        <f aca="false">MAX(AE127,-Delay_D/Rho_a)</f>
        <v>-335.745877992226</v>
      </c>
      <c r="AG127" s="11" t="n">
        <f aca="false">IF(AC127&lt;Floor_F,MAX((-(Cost_k*Ubar_c+Delay_D)*(1-EXP(-Rho_a*LN((Top_c-AC127)/(Top_c-Floor_F))/Delta_c))/Rho_a+EXP(-Rho_a*LN((Top_c-AC127)/(Top_c-Floor_F))/Delta_c)*(-Cost_k*Delta_c*Floor_F/Rho_a)),(-Delay_D/Rho_a)),(EXP(-Rho_a*LN(AC127/Floor_F)/Delta_c)*(-Cost_k*Delta_c*Floor_F/Rho_a)))</f>
        <v>-335.745877992226</v>
      </c>
      <c r="AH127" s="22" t="n">
        <f aca="false">ABS(AF127-AG127)</f>
        <v>0</v>
      </c>
    </row>
    <row r="128" customFormat="false" ht="15" hidden="false" customHeight="false" outlineLevel="0" collapsed="false">
      <c r="O128" s="17" t="n">
        <f aca="false">30+108*$P$5</f>
        <v>57</v>
      </c>
      <c r="P128" s="17" t="n">
        <f aca="false">-Delta_c*O128</f>
        <v>-5.7724602204181</v>
      </c>
      <c r="R128" s="11" t="n">
        <f aca="false">(-P128/$P$5*R127)/(Rho_a-P128/$P$5)</f>
        <v>-226.065036641878</v>
      </c>
      <c r="S128" s="11" t="n">
        <f aca="false">IF(O128&lt;Floor_F,MAX((-(Cost_k*Ubar_c+Delay_D)*(1-EXP(-Rho_a*LN((Top_c-O128)/(Top_c-Floor_F))/Delta_c))/Rho_a+EXP(-Rho_a*LN((Top_c-O128)/(Top_c-Floor_F))/Delta_c)*(-Cost_k*Delta_c*Floor_F/Rho_a)),(-Delay_D/Rho_a)),(EXP(-Rho_a*LN(O128/Floor_F)/Delta_c)*(-Cost_k*Delta_c*Floor_F/Rho_a)))</f>
        <v>-226.032245654582</v>
      </c>
      <c r="T128" s="22" t="n">
        <f aca="false">ABS(R128-S128)</f>
        <v>0.0327909872964653</v>
      </c>
      <c r="V128" s="17" t="n">
        <f aca="false">30+108*$W$5</f>
        <v>43.5</v>
      </c>
      <c r="W128" s="17" t="n">
        <f aca="false">Ubar_c-Delta_c*V128</f>
        <v>5.72182460444952</v>
      </c>
      <c r="X128" s="11" t="n">
        <f aca="false">(-(Cost_k*Ubar_c+Delay_D)+W128/$W$5*X129)/(Rho_a+W128/$W$5)</f>
        <v>-335.146106028583</v>
      </c>
      <c r="Y128" s="11" t="n">
        <f aca="false">MAX(X128,-Delay_D/Rho_a)</f>
        <v>-335.146106028583</v>
      </c>
      <c r="Z128" s="11" t="n">
        <f aca="false">IF(V128&lt;Floor_F,MAX((-(Cost_k*Ubar_c+Delay_D)*(1-EXP(-Rho_a*LN((Top_c-V128)/(Top_c-Floor_F))/Delta_c))/Rho_a+EXP(-Rho_a*LN((Top_c-V128)/(Top_c-Floor_F))/Delta_c)*(-Cost_k*Delta_c*Floor_F/Rho_a)),(-Delay_D/Rho_a)),(EXP(-Rho_a*LN(V128/Floor_F)/Delta_c)*(-Cost_k*Delta_c*Floor_F/Rho_a)))</f>
        <v>-335.365332985087</v>
      </c>
      <c r="AA128" s="22" t="n">
        <f aca="false">ABS(Y128-Z128)</f>
        <v>0.21922695650386</v>
      </c>
      <c r="AC128" s="17" t="n">
        <f aca="false">30+108*$AD$5</f>
        <v>36.75</v>
      </c>
      <c r="AD128" s="17" t="n">
        <f aca="false">Ubar_c-Delta_c*AC128</f>
        <v>6.40540542002534</v>
      </c>
      <c r="AE128" s="11" t="n">
        <f aca="false">(-(Cost_k*Ubar_c+Delay_D)+AD128/$AD$5*AE129)/(Rho_a+AD128/$AD$5)</f>
        <v>-378.090955020214</v>
      </c>
      <c r="AF128" s="11" t="n">
        <f aca="false">MAX(AE128,-Delay_D/Rho_a)</f>
        <v>-335.745877992226</v>
      </c>
      <c r="AG128" s="11" t="n">
        <f aca="false">IF(AC128&lt;Floor_F,MAX((-(Cost_k*Ubar_c+Delay_D)*(1-EXP(-Rho_a*LN((Top_c-AC128)/(Top_c-Floor_F))/Delta_c))/Rho_a+EXP(-Rho_a*LN((Top_c-AC128)/(Top_c-Floor_F))/Delta_c)*(-Cost_k*Delta_c*Floor_F/Rho_a)),(-Delay_D/Rho_a)),(EXP(-Rho_a*LN(AC128/Floor_F)/Delta_c)*(-Cost_k*Delta_c*Floor_F/Rho_a)))</f>
        <v>-335.745877992226</v>
      </c>
      <c r="AH128" s="22" t="n">
        <f aca="false">ABS(AF128-AG128)</f>
        <v>0</v>
      </c>
    </row>
    <row r="129" customFormat="false" ht="15" hidden="false" customHeight="false" outlineLevel="0" collapsed="false">
      <c r="O129" s="17" t="n">
        <f aca="false">30+109*$P$5</f>
        <v>57.25</v>
      </c>
      <c r="P129" s="17" t="n">
        <f aca="false">-Delta_c*O129</f>
        <v>-5.79777802840239</v>
      </c>
      <c r="R129" s="11" t="n">
        <f aca="false">(-P129/$P$5*R128)/(Rho_a-P129/$P$5)</f>
        <v>-225.139763578532</v>
      </c>
      <c r="S129" s="11" t="n">
        <f aca="false">IF(O129&lt;Floor_F,MAX((-(Cost_k*Ubar_c+Delay_D)*(1-EXP(-Rho_a*LN((Top_c-O129)/(Top_c-Floor_F))/Delta_c))/Rho_a+EXP(-Rho_a*LN((Top_c-O129)/(Top_c-Floor_F))/Delta_c)*(-Cost_k*Delta_c*Floor_F/Rho_a)),(-Delay_D/Rho_a)),(EXP(-Rho_a*LN(O129/Floor_F)/Delta_c)*(-Cost_k*Delta_c*Floor_F/Rho_a)))</f>
        <v>-225.103185121429</v>
      </c>
      <c r="T129" s="22" t="n">
        <f aca="false">ABS(R129-S129)</f>
        <v>0.036578457103019</v>
      </c>
      <c r="V129" s="17" t="n">
        <f aca="false">30+109*$W$5</f>
        <v>43.625</v>
      </c>
      <c r="W129" s="17" t="n">
        <f aca="false">Ubar_c-Delta_c*V129</f>
        <v>5.70916570045737</v>
      </c>
      <c r="X129" s="11" t="n">
        <f aca="false">(-(Cost_k*Ubar_c+Delay_D)+W129/$W$5*X130)/(Rho_a+W129/$W$5)</f>
        <v>-334.259901453275</v>
      </c>
      <c r="Y129" s="11" t="n">
        <f aca="false">MAX(X129,-Delay_D/Rho_a)</f>
        <v>-334.259901453275</v>
      </c>
      <c r="Z129" s="11" t="n">
        <f aca="false">IF(V129&lt;Floor_F,MAX((-(Cost_k*Ubar_c+Delay_D)*(1-EXP(-Rho_a*LN((Top_c-V129)/(Top_c-Floor_F))/Delta_c))/Rho_a+EXP(-Rho_a*LN((Top_c-V129)/(Top_c-Floor_F))/Delta_c)*(-Cost_k*Delta_c*Floor_F/Rho_a)),(-Delay_D/Rho_a)),(EXP(-Rho_a*LN(V129/Floor_F)/Delta_c)*(-Cost_k*Delta_c*Floor_F/Rho_a)))</f>
        <v>-334.477678795877</v>
      </c>
      <c r="AA129" s="22" t="n">
        <f aca="false">ABS(Y129-Z129)</f>
        <v>0.217777342601551</v>
      </c>
      <c r="AC129" s="17" t="n">
        <f aca="false">30+109*$AD$5</f>
        <v>36.8125</v>
      </c>
      <c r="AD129" s="17" t="n">
        <f aca="false">Ubar_c-Delta_c*AC129</f>
        <v>6.39907596802927</v>
      </c>
      <c r="AE129" s="11" t="n">
        <f aca="false">(-(Cost_k*Ubar_c+Delay_D)+AD129/$AD$5*AE130)/(Rho_a+AD129/$AD$5)</f>
        <v>-377.735078094029</v>
      </c>
      <c r="AF129" s="11" t="n">
        <f aca="false">MAX(AE129,-Delay_D/Rho_a)</f>
        <v>-335.745877992226</v>
      </c>
      <c r="AG129" s="11" t="n">
        <f aca="false">IF(AC129&lt;Floor_F,MAX((-(Cost_k*Ubar_c+Delay_D)*(1-EXP(-Rho_a*LN((Top_c-AC129)/(Top_c-Floor_F))/Delta_c))/Rho_a+EXP(-Rho_a*LN((Top_c-AC129)/(Top_c-Floor_F))/Delta_c)*(-Cost_k*Delta_c*Floor_F/Rho_a)),(-Delay_D/Rho_a)),(EXP(-Rho_a*LN(AC129/Floor_F)/Delta_c)*(-Cost_k*Delta_c*Floor_F/Rho_a)))</f>
        <v>-335.745877992226</v>
      </c>
      <c r="AH129" s="22" t="n">
        <f aca="false">ABS(AF129-AG129)</f>
        <v>0</v>
      </c>
    </row>
    <row r="130" customFormat="false" ht="15" hidden="false" customHeight="false" outlineLevel="0" collapsed="false">
      <c r="O130" s="17" t="n">
        <f aca="false">30+110*$P$5</f>
        <v>57.5</v>
      </c>
      <c r="P130" s="17" t="n">
        <f aca="false">-Delta_c*O130</f>
        <v>-5.82309583638668</v>
      </c>
      <c r="R130" s="11" t="n">
        <f aca="false">(-P130/$P$5*R129)/(Rho_a-P130/$P$5)</f>
        <v>-224.222267745755</v>
      </c>
      <c r="S130" s="11" t="n">
        <f aca="false">IF(O130&lt;Floor_F,MAX((-(Cost_k*Ubar_c+Delay_D)*(1-EXP(-Rho_a*LN((Top_c-O130)/(Top_c-Floor_F))/Delta_c))/Rho_a+EXP(-Rho_a*LN((Top_c-O130)/(Top_c-Floor_F))/Delta_c)*(-Cost_k*Delta_c*Floor_F/Rho_a)),(-Delay_D/Rho_a)),(EXP(-Rho_a*LN(O130/Floor_F)/Delta_c)*(-Cost_k*Delta_c*Floor_F/Rho_a)))</f>
        <v>-224.181966613365</v>
      </c>
      <c r="T130" s="22" t="n">
        <f aca="false">ABS(R130-S130)</f>
        <v>0.0403011323895441</v>
      </c>
      <c r="V130" s="17" t="n">
        <f aca="false">30+110*$W$5</f>
        <v>43.75</v>
      </c>
      <c r="W130" s="17" t="n">
        <f aca="false">Ubar_c-Delta_c*V130</f>
        <v>5.69650679646523</v>
      </c>
      <c r="X130" s="11" t="n">
        <f aca="false">(-(Cost_k*Ubar_c+Delay_D)+W130/$W$5*X131)/(Rho_a+W130/$W$5)</f>
        <v>-333.369882587149</v>
      </c>
      <c r="Y130" s="11" t="n">
        <f aca="false">MAX(X130,-Delay_D/Rho_a)</f>
        <v>-333.369882587149</v>
      </c>
      <c r="Z130" s="11" t="n">
        <f aca="false">IF(V130&lt;Floor_F,MAX((-(Cost_k*Ubar_c+Delay_D)*(1-EXP(-Rho_a*LN((Top_c-V130)/(Top_c-Floor_F))/Delta_c))/Rho_a+EXP(-Rho_a*LN((Top_c-V130)/(Top_c-Floor_F))/Delta_c)*(-Cost_k*Delta_c*Floor_F/Rho_a)),(-Delay_D/Rho_a)),(EXP(-Rho_a*LN(V130/Floor_F)/Delta_c)*(-Cost_k*Delta_c*Floor_F/Rho_a)))</f>
        <v>-333.586195836674</v>
      </c>
      <c r="AA130" s="22" t="n">
        <f aca="false">ABS(Y130-Z130)</f>
        <v>0.216313249524603</v>
      </c>
      <c r="AC130" s="17" t="n">
        <f aca="false">30+110*$AD$5</f>
        <v>36.875</v>
      </c>
      <c r="AD130" s="17" t="n">
        <f aca="false">Ubar_c-Delta_c*AC130</f>
        <v>6.3927465160332</v>
      </c>
      <c r="AE130" s="11" t="n">
        <f aca="false">(-(Cost_k*Ubar_c+Delay_D)+AD130/$AD$5*AE131)/(Rho_a+AD130/$AD$5)</f>
        <v>-377.378517877897</v>
      </c>
      <c r="AF130" s="11" t="n">
        <f aca="false">MAX(AE130,-Delay_D/Rho_a)</f>
        <v>-335.745877992226</v>
      </c>
      <c r="AG130" s="11" t="n">
        <f aca="false">IF(AC130&lt;Floor_F,MAX((-(Cost_k*Ubar_c+Delay_D)*(1-EXP(-Rho_a*LN((Top_c-AC130)/(Top_c-Floor_F))/Delta_c))/Rho_a+EXP(-Rho_a*LN((Top_c-AC130)/(Top_c-Floor_F))/Delta_c)*(-Cost_k*Delta_c*Floor_F/Rho_a)),(-Delay_D/Rho_a)),(EXP(-Rho_a*LN(AC130/Floor_F)/Delta_c)*(-Cost_k*Delta_c*Floor_F/Rho_a)))</f>
        <v>-335.745877992226</v>
      </c>
      <c r="AH130" s="22" t="n">
        <f aca="false">ABS(AF130-AG130)</f>
        <v>0</v>
      </c>
    </row>
    <row r="131" customFormat="false" ht="15" hidden="false" customHeight="false" outlineLevel="0" collapsed="false">
      <c r="O131" s="17" t="n">
        <f aca="false">30+111*$P$5</f>
        <v>57.75</v>
      </c>
      <c r="P131" s="17" t="n">
        <f aca="false">-Delta_c*O131</f>
        <v>-5.84841364437097</v>
      </c>
      <c r="R131" s="11" t="n">
        <f aca="false">(-P131/$P$5*R130)/(Rho_a-P131/$P$5)</f>
        <v>-223.312450524102</v>
      </c>
      <c r="S131" s="11" t="n">
        <f aca="false">IF(O131&lt;Floor_F,MAX((-(Cost_k*Ubar_c+Delay_D)*(1-EXP(-Rho_a*LN((Top_c-O131)/(Top_c-Floor_F))/Delta_c))/Rho_a+EXP(-Rho_a*LN((Top_c-O131)/(Top_c-Floor_F))/Delta_c)*(-Cost_k*Delta_c*Floor_F/Rho_a)),(-Delay_D/Rho_a)),(EXP(-Rho_a*LN(O131/Floor_F)/Delta_c)*(-Cost_k*Delta_c*Floor_F/Rho_a)))</f>
        <v>-223.268490271416</v>
      </c>
      <c r="T131" s="22" t="n">
        <f aca="false">ABS(R131-S131)</f>
        <v>0.0439602526862757</v>
      </c>
      <c r="V131" s="17" t="n">
        <f aca="false">30+111*$W$5</f>
        <v>43.875</v>
      </c>
      <c r="W131" s="17" t="n">
        <f aca="false">Ubar_c-Delta_c*V131</f>
        <v>5.68384789247308</v>
      </c>
      <c r="X131" s="11" t="n">
        <f aca="false">(-(Cost_k*Ubar_c+Delay_D)+W131/$W$5*X132)/(Rho_a+W131/$W$5)</f>
        <v>-332.476024500527</v>
      </c>
      <c r="Y131" s="11" t="n">
        <f aca="false">MAX(X131,-Delay_D/Rho_a)</f>
        <v>-332.476024500527</v>
      </c>
      <c r="Z131" s="11" t="n">
        <f aca="false">IF(V131&lt;Floor_F,MAX((-(Cost_k*Ubar_c+Delay_D)*(1-EXP(-Rho_a*LN((Top_c-V131)/(Top_c-Floor_F))/Delta_c))/Rho_a+EXP(-Rho_a*LN((Top_c-V131)/(Top_c-Floor_F))/Delta_c)*(-Cost_k*Delta_c*Floor_F/Rho_a)),(-Delay_D/Rho_a)),(EXP(-Rho_a*LN(V131/Floor_F)/Delta_c)*(-Cost_k*Delta_c*Floor_F/Rho_a)))</f>
        <v>-332.690859029075</v>
      </c>
      <c r="AA131" s="22" t="n">
        <f aca="false">ABS(Y131-Z131)</f>
        <v>0.214834528547158</v>
      </c>
      <c r="AC131" s="17" t="n">
        <f aca="false">30+111*$AD$5</f>
        <v>36.9375</v>
      </c>
      <c r="AD131" s="17" t="n">
        <f aca="false">Ubar_c-Delta_c*AC131</f>
        <v>6.38641706403713</v>
      </c>
      <c r="AE131" s="11" t="n">
        <f aca="false">(-(Cost_k*Ubar_c+Delay_D)+AD131/$AD$5*AE132)/(Rho_a+AD131/$AD$5)</f>
        <v>-377.021272382065</v>
      </c>
      <c r="AF131" s="11" t="n">
        <f aca="false">MAX(AE131,-Delay_D/Rho_a)</f>
        <v>-335.745877992226</v>
      </c>
      <c r="AG131" s="11" t="n">
        <f aca="false">IF(AC131&lt;Floor_F,MAX((-(Cost_k*Ubar_c+Delay_D)*(1-EXP(-Rho_a*LN((Top_c-AC131)/(Top_c-Floor_F))/Delta_c))/Rho_a+EXP(-Rho_a*LN((Top_c-AC131)/(Top_c-Floor_F))/Delta_c)*(-Cost_k*Delta_c*Floor_F/Rho_a)),(-Delay_D/Rho_a)),(EXP(-Rho_a*LN(AC131/Floor_F)/Delta_c)*(-Cost_k*Delta_c*Floor_F/Rho_a)))</f>
        <v>-335.745877992226</v>
      </c>
      <c r="AH131" s="22" t="n">
        <f aca="false">ABS(AF131-AG131)</f>
        <v>0</v>
      </c>
    </row>
    <row r="132" customFormat="false" ht="15" hidden="false" customHeight="false" outlineLevel="0" collapsed="false">
      <c r="O132" s="17" t="n">
        <f aca="false">30+112*$P$5</f>
        <v>58</v>
      </c>
      <c r="P132" s="17" t="n">
        <f aca="false">-Delta_c*O132</f>
        <v>-5.87373145235526</v>
      </c>
      <c r="R132" s="11" t="n">
        <f aca="false">(-P132/$P$5*R131)/(Rho_a-P132/$P$5)</f>
        <v>-222.410214962672</v>
      </c>
      <c r="S132" s="11" t="n">
        <f aca="false">IF(O132&lt;Floor_F,MAX((-(Cost_k*Ubar_c+Delay_D)*(1-EXP(-Rho_a*LN((Top_c-O132)/(Top_c-Floor_F))/Delta_c))/Rho_a+EXP(-Rho_a*LN((Top_c-O132)/(Top_c-Floor_F))/Delta_c)*(-Cost_k*Delta_c*Floor_F/Rho_a)),(-Delay_D/Rho_a)),(EXP(-Rho_a*LN(O132/Floor_F)/Delta_c)*(-Cost_k*Delta_c*Floor_F/Rho_a)))</f>
        <v>-222.36265793319</v>
      </c>
      <c r="T132" s="22" t="n">
        <f aca="false">ABS(R132-S132)</f>
        <v>0.0475570294819363</v>
      </c>
      <c r="V132" s="17" t="n">
        <f aca="false">30+112*$W$5</f>
        <v>44</v>
      </c>
      <c r="W132" s="17" t="n">
        <f aca="false">Ubar_c-Delta_c*V132</f>
        <v>5.67118898848094</v>
      </c>
      <c r="X132" s="11" t="n">
        <f aca="false">(-(Cost_k*Ubar_c+Delay_D)+W132/$W$5*X133)/(Rho_a+W132/$W$5)</f>
        <v>-331.57830204491</v>
      </c>
      <c r="Y132" s="11" t="n">
        <f aca="false">MAX(X132,-Delay_D/Rho_a)</f>
        <v>-331.57830204491</v>
      </c>
      <c r="Z132" s="11" t="n">
        <f aca="false">IF(V132&lt;Floor_F,MAX((-(Cost_k*Ubar_c+Delay_D)*(1-EXP(-Rho_a*LN((Top_c-V132)/(Top_c-Floor_F))/Delta_c))/Rho_a+EXP(-Rho_a*LN((Top_c-V132)/(Top_c-Floor_F))/Delta_c)*(-Cost_k*Delta_c*Floor_F/Rho_a)),(-Delay_D/Rho_a)),(EXP(-Rho_a*LN(V132/Floor_F)/Delta_c)*(-Cost_k*Delta_c*Floor_F/Rho_a)))</f>
        <v>-331.791643074071</v>
      </c>
      <c r="AA132" s="22" t="n">
        <f aca="false">ABS(Y132-Z132)</f>
        <v>0.213341029160972</v>
      </c>
      <c r="AC132" s="17" t="n">
        <f aca="false">30+112*$AD$5</f>
        <v>37</v>
      </c>
      <c r="AD132" s="17" t="n">
        <f aca="false">Ubar_c-Delta_c*AC132</f>
        <v>6.38008761204106</v>
      </c>
      <c r="AE132" s="11" t="n">
        <f aca="false">(-(Cost_k*Ubar_c+Delay_D)+AD132/$AD$5*AE133)/(Rho_a+AD132/$AD$5)</f>
        <v>-376.663339609008</v>
      </c>
      <c r="AF132" s="11" t="n">
        <f aca="false">MAX(AE132,-Delay_D/Rho_a)</f>
        <v>-335.745877992226</v>
      </c>
      <c r="AG132" s="11" t="n">
        <f aca="false">IF(AC132&lt;Floor_F,MAX((-(Cost_k*Ubar_c+Delay_D)*(1-EXP(-Rho_a*LN((Top_c-AC132)/(Top_c-Floor_F))/Delta_c))/Rho_a+EXP(-Rho_a*LN((Top_c-AC132)/(Top_c-Floor_F))/Delta_c)*(-Cost_k*Delta_c*Floor_F/Rho_a)),(-Delay_D/Rho_a)),(EXP(-Rho_a*LN(AC132/Floor_F)/Delta_c)*(-Cost_k*Delta_c*Floor_F/Rho_a)))</f>
        <v>-335.745877992226</v>
      </c>
      <c r="AH132" s="22" t="n">
        <f aca="false">ABS(AF132-AG132)</f>
        <v>0</v>
      </c>
    </row>
    <row r="133" customFormat="false" ht="15" hidden="false" customHeight="false" outlineLevel="0" collapsed="false">
      <c r="O133" s="17" t="n">
        <f aca="false">30+113*$P$5</f>
        <v>58.25</v>
      </c>
      <c r="P133" s="17" t="n">
        <f aca="false">-Delta_c*O133</f>
        <v>-5.89904926033955</v>
      </c>
      <c r="R133" s="11" t="n">
        <f aca="false">(-P133/$P$5*R132)/(Rho_a-P133/$P$5)</f>
        <v>-221.515465743869</v>
      </c>
      <c r="S133" s="11" t="n">
        <f aca="false">IF(O133&lt;Floor_F,MAX((-(Cost_k*Ubar_c+Delay_D)*(1-EXP(-Rho_a*LN((Top_c-O133)/(Top_c-Floor_F))/Delta_c))/Rho_a+EXP(-Rho_a*LN((Top_c-O133)/(Top_c-Floor_F))/Delta_c)*(-Cost_k*Delta_c*Floor_F/Rho_a)),(-Delay_D/Rho_a)),(EXP(-Rho_a*LN(O133/Floor_F)/Delta_c)*(-Cost_k*Delta_c*Floor_F/Rho_a)))</f>
        <v>-221.464373096903</v>
      </c>
      <c r="T133" s="22" t="n">
        <f aca="false">ABS(R133-S133)</f>
        <v>0.0510926469655146</v>
      </c>
      <c r="V133" s="17" t="n">
        <f aca="false">30+113*$W$5</f>
        <v>44.125</v>
      </c>
      <c r="W133" s="17" t="n">
        <f aca="false">Ubar_c-Delta_c*V133</f>
        <v>5.65853008448879</v>
      </c>
      <c r="X133" s="11" t="n">
        <f aca="false">(-(Cost_k*Ubar_c+Delay_D)+W133/$W$5*X134)/(Rho_a+W133/$W$5)</f>
        <v>-330.676689850562</v>
      </c>
      <c r="Y133" s="11" t="n">
        <f aca="false">MAX(X133,-Delay_D/Rho_a)</f>
        <v>-330.676689850562</v>
      </c>
      <c r="Z133" s="11" t="n">
        <f aca="false">IF(V133&lt;Floor_F,MAX((-(Cost_k*Ubar_c+Delay_D)*(1-EXP(-Rho_a*LN((Top_c-V133)/(Top_c-Floor_F))/Delta_c))/Rho_a+EXP(-Rho_a*LN((Top_c-V133)/(Top_c-Floor_F))/Delta_c)*(-Cost_k*Delta_c*Floor_F/Rho_a)),(-Delay_D/Rho_a)),(EXP(-Rho_a*LN(V133/Floor_F)/Delta_c)*(-Cost_k*Delta_c*Floor_F/Rho_a)))</f>
        <v>-330.888522449612</v>
      </c>
      <c r="AA133" s="22" t="n">
        <f aca="false">ABS(Y133-Z133)</f>
        <v>0.211832599050695</v>
      </c>
      <c r="AC133" s="17" t="n">
        <f aca="false">30+113*$AD$5</f>
        <v>37.0625</v>
      </c>
      <c r="AD133" s="17" t="n">
        <f aca="false">Ubar_c-Delta_c*AC133</f>
        <v>6.37375816004498</v>
      </c>
      <c r="AE133" s="11" t="n">
        <f aca="false">(-(Cost_k*Ubar_c+Delay_D)+AD133/$AD$5*AE134)/(Rho_a+AD133/$AD$5)</f>
        <v>-376.304717553392</v>
      </c>
      <c r="AF133" s="11" t="n">
        <f aca="false">MAX(AE133,-Delay_D/Rho_a)</f>
        <v>-335.745877992226</v>
      </c>
      <c r="AG133" s="11" t="n">
        <f aca="false">IF(AC133&lt;Floor_F,MAX((-(Cost_k*Ubar_c+Delay_D)*(1-EXP(-Rho_a*LN((Top_c-AC133)/(Top_c-Floor_F))/Delta_c))/Rho_a+EXP(-Rho_a*LN((Top_c-AC133)/(Top_c-Floor_F))/Delta_c)*(-Cost_k*Delta_c*Floor_F/Rho_a)),(-Delay_D/Rho_a)),(EXP(-Rho_a*LN(AC133/Floor_F)/Delta_c)*(-Cost_k*Delta_c*Floor_F/Rho_a)))</f>
        <v>-335.745877992226</v>
      </c>
      <c r="AH133" s="22" t="n">
        <f aca="false">ABS(AF133-AG133)</f>
        <v>0</v>
      </c>
    </row>
    <row r="134" customFormat="false" ht="15" hidden="false" customHeight="false" outlineLevel="0" collapsed="false">
      <c r="O134" s="17" t="n">
        <f aca="false">30+114*$P$5</f>
        <v>58.5</v>
      </c>
      <c r="P134" s="17" t="n">
        <f aca="false">-Delta_c*O134</f>
        <v>-5.92436706832384</v>
      </c>
      <c r="R134" s="11" t="n">
        <f aca="false">(-P134/$P$5*R133)/(Rho_a-P134/$P$5)</f>
        <v>-220.628109149047</v>
      </c>
      <c r="S134" s="11" t="n">
        <f aca="false">IF(O134&lt;Floor_F,MAX((-(Cost_k*Ubar_c+Delay_D)*(1-EXP(-Rho_a*LN((Top_c-O134)/(Top_c-Floor_F))/Delta_c))/Rho_a+EXP(-Rho_a*LN((Top_c-O134)/(Top_c-Floor_F))/Delta_c)*(-Cost_k*Delta_c*Floor_F/Rho_a)),(-Delay_D/Rho_a)),(EXP(-Rho_a*LN(O134/Floor_F)/Delta_c)*(-Cost_k*Delta_c*Floor_F/Rho_a)))</f>
        <v>-220.573540886302</v>
      </c>
      <c r="T134" s="22" t="n">
        <f aca="false">ABS(R134-S134)</f>
        <v>0.0545682627452209</v>
      </c>
      <c r="V134" s="17" t="n">
        <f aca="false">30+114*$W$5</f>
        <v>44.25</v>
      </c>
      <c r="W134" s="17" t="n">
        <f aca="false">Ubar_c-Delta_c*V134</f>
        <v>5.64587118049665</v>
      </c>
      <c r="X134" s="11" t="n">
        <f aca="false">(-(Cost_k*Ubar_c+Delay_D)+W134/$W$5*X135)/(Rho_a+W134/$W$5)</f>
        <v>-329.771162324065</v>
      </c>
      <c r="Y134" s="11" t="n">
        <f aca="false">MAX(X134,-Delay_D/Rho_a)</f>
        <v>-329.771162324065</v>
      </c>
      <c r="Z134" s="11" t="n">
        <f aca="false">IF(V134&lt;Floor_F,MAX((-(Cost_k*Ubar_c+Delay_D)*(1-EXP(-Rho_a*LN((Top_c-V134)/(Top_c-Floor_F))/Delta_c))/Rho_a+EXP(-Rho_a*LN((Top_c-V134)/(Top_c-Floor_F))/Delta_c)*(-Cost_k*Delta_c*Floor_F/Rho_a)),(-Delay_D/Rho_a)),(EXP(-Rho_a*LN(V134/Floor_F)/Delta_c)*(-Cost_k*Delta_c*Floor_F/Rho_a)))</f>
        <v>-329.981471408133</v>
      </c>
      <c r="AA134" s="22" t="n">
        <f aca="false">ABS(Y134-Z134)</f>
        <v>0.210309084068058</v>
      </c>
      <c r="AC134" s="17" t="n">
        <f aca="false">30+114*$AD$5</f>
        <v>37.125</v>
      </c>
      <c r="AD134" s="17" t="n">
        <f aca="false">Ubar_c-Delta_c*AC134</f>
        <v>6.36742870804891</v>
      </c>
      <c r="AE134" s="11" t="n">
        <f aca="false">(-(Cost_k*Ubar_c+Delay_D)+AD134/$AD$5*AE135)/(Rho_a+AD134/$AD$5)</f>
        <v>-375.945404202035</v>
      </c>
      <c r="AF134" s="11" t="n">
        <f aca="false">MAX(AE134,-Delay_D/Rho_a)</f>
        <v>-335.745877992226</v>
      </c>
      <c r="AG134" s="11" t="n">
        <f aca="false">IF(AC134&lt;Floor_F,MAX((-(Cost_k*Ubar_c+Delay_D)*(1-EXP(-Rho_a*LN((Top_c-AC134)/(Top_c-Floor_F))/Delta_c))/Rho_a+EXP(-Rho_a*LN((Top_c-AC134)/(Top_c-Floor_F))/Delta_c)*(-Cost_k*Delta_c*Floor_F/Rho_a)),(-Delay_D/Rho_a)),(EXP(-Rho_a*LN(AC134/Floor_F)/Delta_c)*(-Cost_k*Delta_c*Floor_F/Rho_a)))</f>
        <v>-335.745877992226</v>
      </c>
      <c r="AH134" s="22" t="n">
        <f aca="false">ABS(AF134-AG134)</f>
        <v>0</v>
      </c>
    </row>
    <row r="135" customFormat="false" ht="15" hidden="false" customHeight="false" outlineLevel="0" collapsed="false">
      <c r="O135" s="17" t="n">
        <f aca="false">30+115*$P$5</f>
        <v>58.75</v>
      </c>
      <c r="P135" s="17" t="n">
        <f aca="false">-Delta_c*O135</f>
        <v>-5.94968487630813</v>
      </c>
      <c r="R135" s="11" t="n">
        <f aca="false">(-P135/$P$5*R134)/(Rho_a-P135/$P$5)</f>
        <v>-219.74805302503</v>
      </c>
      <c r="S135" s="11" t="n">
        <f aca="false">IF(O135&lt;Floor_F,MAX((-(Cost_k*Ubar_c+Delay_D)*(1-EXP(-Rho_a*LN((Top_c-O135)/(Top_c-Floor_F))/Delta_c))/Rho_a+EXP(-Rho_a*LN((Top_c-O135)/(Top_c-Floor_F))/Delta_c)*(-Cost_k*Delta_c*Floor_F/Rho_a)),(-Delay_D/Rho_a)),(EXP(-Rho_a*LN(O135/Floor_F)/Delta_c)*(-Cost_k*Delta_c*Floor_F/Rho_a)))</f>
        <v>-219.690068016484</v>
      </c>
      <c r="T135" s="22" t="n">
        <f aca="false">ABS(R135-S135)</f>
        <v>0.0579850085457565</v>
      </c>
      <c r="V135" s="17" t="n">
        <f aca="false">30+115*$W$5</f>
        <v>44.375</v>
      </c>
      <c r="W135" s="17" t="n">
        <f aca="false">Ubar_c-Delta_c*V135</f>
        <v>5.6332122765045</v>
      </c>
      <c r="X135" s="11" t="n">
        <f aca="false">(-(Cost_k*Ubar_c+Delay_D)+W135/$W$5*X136)/(Rho_a+W135/$W$5)</f>
        <v>-328.861693645844</v>
      </c>
      <c r="Y135" s="11" t="n">
        <f aca="false">MAX(X135,-Delay_D/Rho_a)</f>
        <v>-328.861693645844</v>
      </c>
      <c r="Z135" s="11" t="n">
        <f aca="false">IF(V135&lt;Floor_F,MAX((-(Cost_k*Ubar_c+Delay_D)*(1-EXP(-Rho_a*LN((Top_c-V135)/(Top_c-Floor_F))/Delta_c))/Rho_a+EXP(-Rho_a*LN((Top_c-V135)/(Top_c-Floor_F))/Delta_c)*(-Cost_k*Delta_c*Floor_F/Rho_a)),(-Delay_D/Rho_a)),(EXP(-Rho_a*LN(V135/Floor_F)/Delta_c)*(-Cost_k*Delta_c*Floor_F/Rho_a)))</f>
        <v>-329.07046397405</v>
      </c>
      <c r="AA135" s="22" t="n">
        <f aca="false">ABS(Y135-Z135)</f>
        <v>0.20877032820664</v>
      </c>
      <c r="AC135" s="17" t="n">
        <f aca="false">30+115*$AD$5</f>
        <v>37.1875</v>
      </c>
      <c r="AD135" s="17" t="n">
        <f aca="false">Ubar_c-Delta_c*AC135</f>
        <v>6.36109925605284</v>
      </c>
      <c r="AE135" s="11" t="n">
        <f aca="false">(-(Cost_k*Ubar_c+Delay_D)+AD135/$AD$5*AE136)/(Rho_a+AD135/$AD$5)</f>
        <v>-375.585397533866</v>
      </c>
      <c r="AF135" s="11" t="n">
        <f aca="false">MAX(AE135,-Delay_D/Rho_a)</f>
        <v>-335.745877992226</v>
      </c>
      <c r="AG135" s="11" t="n">
        <f aca="false">IF(AC135&lt;Floor_F,MAX((-(Cost_k*Ubar_c+Delay_D)*(1-EXP(-Rho_a*LN((Top_c-AC135)/(Top_c-Floor_F))/Delta_c))/Rho_a+EXP(-Rho_a*LN((Top_c-AC135)/(Top_c-Floor_F))/Delta_c)*(-Cost_k*Delta_c*Floor_F/Rho_a)),(-Delay_D/Rho_a)),(EXP(-Rho_a*LN(AC135/Floor_F)/Delta_c)*(-Cost_k*Delta_c*Floor_F/Rho_a)))</f>
        <v>-335.745877992226</v>
      </c>
      <c r="AH135" s="22" t="n">
        <f aca="false">ABS(AF135-AG135)</f>
        <v>0</v>
      </c>
    </row>
    <row r="136" customFormat="false" ht="15" hidden="false" customHeight="false" outlineLevel="0" collapsed="false">
      <c r="O136" s="17" t="n">
        <f aca="false">30+116*$P$5</f>
        <v>59</v>
      </c>
      <c r="P136" s="17" t="n">
        <f aca="false">-Delta_c*O136</f>
        <v>-5.97500268429242</v>
      </c>
      <c r="R136" s="11" t="n">
        <f aca="false">(-P136/$P$5*R135)/(Rho_a-P136/$P$5)</f>
        <v>-218.875206751462</v>
      </c>
      <c r="S136" s="11" t="n">
        <f aca="false">IF(O136&lt;Floor_F,MAX((-(Cost_k*Ubar_c+Delay_D)*(1-EXP(-Rho_a*LN((Top_c-O136)/(Top_c-Floor_F))/Delta_c))/Rho_a+EXP(-Rho_a*LN((Top_c-O136)/(Top_c-Floor_F))/Delta_c)*(-Cost_k*Delta_c*Floor_F/Rho_a)),(-Delay_D/Rho_a)),(EXP(-Rho_a*LN(O136/Floor_F)/Delta_c)*(-Cost_k*Delta_c*Floor_F/Rho_a)))</f>
        <v>-218.813862760577</v>
      </c>
      <c r="T136" s="22" t="n">
        <f aca="false">ABS(R136-S136)</f>
        <v>0.0613439908847226</v>
      </c>
      <c r="V136" s="17" t="n">
        <f aca="false">30+116*$W$5</f>
        <v>44.5</v>
      </c>
      <c r="W136" s="17" t="n">
        <f aca="false">Ubar_c-Delta_c*V136</f>
        <v>5.62055337251236</v>
      </c>
      <c r="X136" s="11" t="n">
        <f aca="false">(-(Cost_k*Ubar_c+Delay_D)+W136/$W$5*X137)/(Rho_a+W136/$W$5)</f>
        <v>-327.94825776765</v>
      </c>
      <c r="Y136" s="11" t="n">
        <f aca="false">MAX(X136,-Delay_D/Rho_a)</f>
        <v>-327.94825776765</v>
      </c>
      <c r="Z136" s="11" t="n">
        <f aca="false">IF(V136&lt;Floor_F,MAX((-(Cost_k*Ubar_c+Delay_D)*(1-EXP(-Rho_a*LN((Top_c-V136)/(Top_c-Floor_F))/Delta_c))/Rho_a+EXP(-Rho_a*LN((Top_c-V136)/(Top_c-Floor_F))/Delta_c)*(-Cost_k*Delta_c*Floor_F/Rho_a)),(-Delay_D/Rho_a)),(EXP(-Rho_a*LN(V136/Floor_F)/Delta_c)*(-Cost_k*Delta_c*Floor_F/Rho_a)))</f>
        <v>-328.155473941225</v>
      </c>
      <c r="AA136" s="22" t="n">
        <f aca="false">ABS(Y136-Z136)</f>
        <v>0.207216173575375</v>
      </c>
      <c r="AC136" s="17" t="n">
        <f aca="false">30+116*$AD$5</f>
        <v>37.25</v>
      </c>
      <c r="AD136" s="17" t="n">
        <f aca="false">Ubar_c-Delta_c*AC136</f>
        <v>6.35476980405677</v>
      </c>
      <c r="AE136" s="11" t="n">
        <f aca="false">(-(Cost_k*Ubar_c+Delay_D)+AD136/$AD$5*AE137)/(Rho_a+AD136/$AD$5)</f>
        <v>-375.224695519891</v>
      </c>
      <c r="AF136" s="11" t="n">
        <f aca="false">MAX(AE136,-Delay_D/Rho_a)</f>
        <v>-335.745877992226</v>
      </c>
      <c r="AG136" s="11" t="n">
        <f aca="false">IF(AC136&lt;Floor_F,MAX((-(Cost_k*Ubar_c+Delay_D)*(1-EXP(-Rho_a*LN((Top_c-AC136)/(Top_c-Floor_F))/Delta_c))/Rho_a+EXP(-Rho_a*LN((Top_c-AC136)/(Top_c-Floor_F))/Delta_c)*(-Cost_k*Delta_c*Floor_F/Rho_a)),(-Delay_D/Rho_a)),(EXP(-Rho_a*LN(AC136/Floor_F)/Delta_c)*(-Cost_k*Delta_c*Floor_F/Rho_a)))</f>
        <v>-335.745877992226</v>
      </c>
      <c r="AH136" s="22" t="n">
        <f aca="false">ABS(AF136-AG136)</f>
        <v>0</v>
      </c>
    </row>
    <row r="137" customFormat="false" ht="15" hidden="false" customHeight="false" outlineLevel="0" collapsed="false">
      <c r="O137" s="17" t="n">
        <f aca="false">30+117*$P$5</f>
        <v>59.25</v>
      </c>
      <c r="P137" s="17" t="n">
        <f aca="false">-Delta_c*O137</f>
        <v>-6.00032049227671</v>
      </c>
      <c r="R137" s="11" t="n">
        <f aca="false">(-P137/$P$5*R136)/(Rho_a-P137/$P$5)</f>
        <v>-218.009481208975</v>
      </c>
      <c r="S137" s="11" t="n">
        <f aca="false">IF(O137&lt;Floor_F,MAX((-(Cost_k*Ubar_c+Delay_D)*(1-EXP(-Rho_a*LN((Top_c-O137)/(Top_c-Floor_F))/Delta_c))/Rho_a+EXP(-Rho_a*LN((Top_c-O137)/(Top_c-Floor_F))/Delta_c)*(-Cost_k*Delta_c*Floor_F/Rho_a)),(-Delay_D/Rho_a)),(EXP(-Rho_a*LN(O137/Floor_F)/Delta_c)*(-Cost_k*Delta_c*Floor_F/Rho_a)))</f>
        <v>-217.944834917247</v>
      </c>
      <c r="T137" s="22" t="n">
        <f aca="false">ABS(R137-S137)</f>
        <v>0.0646462917284794</v>
      </c>
      <c r="V137" s="17" t="n">
        <f aca="false">30+117*$W$5</f>
        <v>44.625</v>
      </c>
      <c r="W137" s="17" t="n">
        <f aca="false">Ubar_c-Delta_c*V137</f>
        <v>5.60789446852021</v>
      </c>
      <c r="X137" s="11" t="n">
        <f aca="false">(-(Cost_k*Ubar_c+Delay_D)+W137/$W$5*X138)/(Rho_a+W137/$W$5)</f>
        <v>-327.030828410021</v>
      </c>
      <c r="Y137" s="11" t="n">
        <f aca="false">MAX(X137,-Delay_D/Rho_a)</f>
        <v>-327.030828410021</v>
      </c>
      <c r="Z137" s="11" t="n">
        <f aca="false">IF(V137&lt;Floor_F,MAX((-(Cost_k*Ubar_c+Delay_D)*(1-EXP(-Rho_a*LN((Top_c-V137)/(Top_c-Floor_F))/Delta_c))/Rho_a+EXP(-Rho_a*LN((Top_c-V137)/(Top_c-Floor_F))/Delta_c)*(-Cost_k*Delta_c*Floor_F/Rho_a)),(-Delay_D/Rho_a)),(EXP(-Rho_a*LN(V137/Floor_F)/Delta_c)*(-Cost_k*Delta_c*Floor_F/Rho_a)))</f>
        <v>-327.236474870393</v>
      </c>
      <c r="AA137" s="22" t="n">
        <f aca="false">ABS(Y137-Z137)</f>
        <v>0.205646460371952</v>
      </c>
      <c r="AC137" s="17" t="n">
        <f aca="false">30+117*$AD$5</f>
        <v>37.3125</v>
      </c>
      <c r="AD137" s="17" t="n">
        <f aca="false">Ubar_c-Delta_c*AC137</f>
        <v>6.34844035206069</v>
      </c>
      <c r="AE137" s="11" t="n">
        <f aca="false">(-(Cost_k*Ubar_c+Delay_D)+AD137/$AD$5*AE138)/(Rho_a+AD137/$AD$5)</f>
        <v>-374.86329612315</v>
      </c>
      <c r="AF137" s="11" t="n">
        <f aca="false">MAX(AE137,-Delay_D/Rho_a)</f>
        <v>-335.745877992226</v>
      </c>
      <c r="AG137" s="11" t="n">
        <f aca="false">IF(AC137&lt;Floor_F,MAX((-(Cost_k*Ubar_c+Delay_D)*(1-EXP(-Rho_a*LN((Top_c-AC137)/(Top_c-Floor_F))/Delta_c))/Rho_a+EXP(-Rho_a*LN((Top_c-AC137)/(Top_c-Floor_F))/Delta_c)*(-Cost_k*Delta_c*Floor_F/Rho_a)),(-Delay_D/Rho_a)),(EXP(-Rho_a*LN(AC137/Floor_F)/Delta_c)*(-Cost_k*Delta_c*Floor_F/Rho_a)))</f>
        <v>-335.745877992226</v>
      </c>
      <c r="AH137" s="22" t="n">
        <f aca="false">ABS(AF137-AG137)</f>
        <v>0</v>
      </c>
    </row>
    <row r="138" customFormat="false" ht="15" hidden="false" customHeight="false" outlineLevel="0" collapsed="false">
      <c r="O138" s="17" t="n">
        <f aca="false">30+118*$P$5</f>
        <v>59.5</v>
      </c>
      <c r="P138" s="17" t="n">
        <f aca="false">-Delta_c*O138</f>
        <v>-6.025638300261</v>
      </c>
      <c r="R138" s="11" t="n">
        <f aca="false">(-P138/$P$5*R137)/(Rho_a-P138/$P$5)</f>
        <v>-217.150788748156</v>
      </c>
      <c r="S138" s="11" t="n">
        <f aca="false">IF(O138&lt;Floor_F,MAX((-(Cost_k*Ubar_c+Delay_D)*(1-EXP(-Rho_a*LN((Top_c-O138)/(Top_c-Floor_F))/Delta_c))/Rho_a+EXP(-Rho_a*LN((Top_c-O138)/(Top_c-Floor_F))/Delta_c)*(-Cost_k*Delta_c*Floor_F/Rho_a)),(-Delay_D/Rho_a)),(EXP(-Rho_a*LN(O138/Floor_F)/Delta_c)*(-Cost_k*Delta_c*Floor_F/Rho_a)))</f>
        <v>-217.082895779027</v>
      </c>
      <c r="T138" s="22" t="n">
        <f aca="false">ABS(R138-S138)</f>
        <v>0.0678929691284793</v>
      </c>
      <c r="V138" s="17" t="n">
        <f aca="false">30+118*$W$5</f>
        <v>44.75</v>
      </c>
      <c r="W138" s="17" t="n">
        <f aca="false">Ubar_c-Delta_c*V138</f>
        <v>5.59523556452807</v>
      </c>
      <c r="X138" s="11" t="n">
        <f aca="false">(-(Cost_k*Ubar_c+Delay_D)+W138/$W$5*X139)/(Rho_a+W138/$W$5)</f>
        <v>-326.109379059699</v>
      </c>
      <c r="Y138" s="11" t="n">
        <f aca="false">MAX(X138,-Delay_D/Rho_a)</f>
        <v>-326.109379059699</v>
      </c>
      <c r="Z138" s="11" t="n">
        <f aca="false">IF(V138&lt;Floor_F,MAX((-(Cost_k*Ubar_c+Delay_D)*(1-EXP(-Rho_a*LN((Top_c-V138)/(Top_c-Floor_F))/Delta_c))/Rho_a+EXP(-Rho_a*LN((Top_c-V138)/(Top_c-Floor_F))/Delta_c)*(-Cost_k*Delta_c*Floor_F/Rho_a)),(-Delay_D/Rho_a)),(EXP(-Rho_a*LN(V138/Floor_F)/Delta_c)*(-Cost_k*Delta_c*Floor_F/Rho_a)))</f>
        <v>-326.313440086555</v>
      </c>
      <c r="AA138" s="22" t="n">
        <f aca="false">ABS(Y138-Z138)</f>
        <v>0.204061026856039</v>
      </c>
      <c r="AC138" s="17" t="n">
        <f aca="false">30+118*$AD$5</f>
        <v>37.375</v>
      </c>
      <c r="AD138" s="17" t="n">
        <f aca="false">Ubar_c-Delta_c*AC138</f>
        <v>6.34211090006462</v>
      </c>
      <c r="AE138" s="11" t="n">
        <f aca="false">(-(Cost_k*Ubar_c+Delay_D)+AD138/$AD$5*AE139)/(Rho_a+AD138/$AD$5)</f>
        <v>-374.501197298679</v>
      </c>
      <c r="AF138" s="11" t="n">
        <f aca="false">MAX(AE138,-Delay_D/Rho_a)</f>
        <v>-335.745877992226</v>
      </c>
      <c r="AG138" s="11" t="n">
        <f aca="false">IF(AC138&lt;Floor_F,MAX((-(Cost_k*Ubar_c+Delay_D)*(1-EXP(-Rho_a*LN((Top_c-AC138)/(Top_c-Floor_F))/Delta_c))/Rho_a+EXP(-Rho_a*LN((Top_c-AC138)/(Top_c-Floor_F))/Delta_c)*(-Cost_k*Delta_c*Floor_F/Rho_a)),(-Delay_D/Rho_a)),(EXP(-Rho_a*LN(AC138/Floor_F)/Delta_c)*(-Cost_k*Delta_c*Floor_F/Rho_a)))</f>
        <v>-335.745877992226</v>
      </c>
      <c r="AH138" s="22" t="n">
        <f aca="false">ABS(AF138-AG138)</f>
        <v>0</v>
      </c>
    </row>
    <row r="139" customFormat="false" ht="15" hidden="false" customHeight="false" outlineLevel="0" collapsed="false">
      <c r="O139" s="17" t="n">
        <f aca="false">30+119*$P$5</f>
        <v>59.75</v>
      </c>
      <c r="P139" s="17" t="n">
        <f aca="false">-Delta_c*O139</f>
        <v>-6.05095610824529</v>
      </c>
      <c r="R139" s="11" t="n">
        <f aca="false">(-P139/$P$5*R138)/(Rho_a-P139/$P$5)</f>
        <v>-216.299043159267</v>
      </c>
      <c r="S139" s="11" t="n">
        <f aca="false">IF(O139&lt;Floor_F,MAX((-(Cost_k*Ubar_c+Delay_D)*(1-EXP(-Rho_a*LN((Top_c-O139)/(Top_c-Floor_F))/Delta_c))/Rho_a+EXP(-Rho_a*LN((Top_c-O139)/(Top_c-Floor_F))/Delta_c)*(-Cost_k*Delta_c*Floor_F/Rho_a)),(-Delay_D/Rho_a)),(EXP(-Rho_a*LN(O139/Floor_F)/Delta_c)*(-Cost_k*Delta_c*Floor_F/Rho_a)))</f>
        <v>-216.227958101428</v>
      </c>
      <c r="T139" s="22" t="n">
        <f aca="false">ABS(R139-S139)</f>
        <v>0.0710850578390989</v>
      </c>
      <c r="V139" s="17" t="n">
        <f aca="false">30+119*$W$5</f>
        <v>44.875</v>
      </c>
      <c r="W139" s="17" t="n">
        <f aca="false">Ubar_c-Delta_c*V139</f>
        <v>5.58257666053592</v>
      </c>
      <c r="X139" s="11" t="n">
        <f aca="false">(-(Cost_k*Ubar_c+Delay_D)+W139/$W$5*X140)/(Rho_a+W139/$W$5)</f>
        <v>-325.183882967018</v>
      </c>
      <c r="Y139" s="11" t="n">
        <f aca="false">MAX(X139,-Delay_D/Rho_a)</f>
        <v>-325.183882967018</v>
      </c>
      <c r="Z139" s="11" t="n">
        <f aca="false">IF(V139&lt;Floor_F,MAX((-(Cost_k*Ubar_c+Delay_D)*(1-EXP(-Rho_a*LN((Top_c-V139)/(Top_c-Floor_F))/Delta_c))/Rho_a+EXP(-Rho_a*LN((Top_c-V139)/(Top_c-Floor_F))/Delta_c)*(-Cost_k*Delta_c*Floor_F/Rho_a)),(-Delay_D/Rho_a)),(EXP(-Rho_a*LN(V139/Floor_F)/Delta_c)*(-Cost_k*Delta_c*Floor_F/Rho_a)))</f>
        <v>-325.386342676339</v>
      </c>
      <c r="AA139" s="22" t="n">
        <f aca="false">ABS(Y139-Z139)</f>
        <v>0.202459709321602</v>
      </c>
      <c r="AC139" s="17" t="n">
        <f aca="false">30+119*$AD$5</f>
        <v>37.4375</v>
      </c>
      <c r="AD139" s="17" t="n">
        <f aca="false">Ubar_c-Delta_c*AC139</f>
        <v>6.33578144806855</v>
      </c>
      <c r="AE139" s="11" t="n">
        <f aca="false">(-(Cost_k*Ubar_c+Delay_D)+AD139/$AD$5*AE140)/(Rho_a+AD139/$AD$5)</f>
        <v>-374.13839699347</v>
      </c>
      <c r="AF139" s="11" t="n">
        <f aca="false">MAX(AE139,-Delay_D/Rho_a)</f>
        <v>-335.745877992226</v>
      </c>
      <c r="AG139" s="11" t="n">
        <f aca="false">IF(AC139&lt;Floor_F,MAX((-(Cost_k*Ubar_c+Delay_D)*(1-EXP(-Rho_a*LN((Top_c-AC139)/(Top_c-Floor_F))/Delta_c))/Rho_a+EXP(-Rho_a*LN((Top_c-AC139)/(Top_c-Floor_F))/Delta_c)*(-Cost_k*Delta_c*Floor_F/Rho_a)),(-Delay_D/Rho_a)),(EXP(-Rho_a*LN(AC139/Floor_F)/Delta_c)*(-Cost_k*Delta_c*Floor_F/Rho_a)))</f>
        <v>-335.745877992226</v>
      </c>
      <c r="AH139" s="22" t="n">
        <f aca="false">ABS(AF139-AG139)</f>
        <v>0</v>
      </c>
    </row>
    <row r="140" customFormat="false" ht="15" hidden="false" customHeight="false" outlineLevel="0" collapsed="false">
      <c r="O140" s="17" t="n">
        <f aca="false">30+120*$P$5</f>
        <v>60</v>
      </c>
      <c r="P140" s="17" t="n">
        <f aca="false">-Delta_c*O140</f>
        <v>-6.07627391622958</v>
      </c>
      <c r="R140" s="11" t="n">
        <f aca="false">(-P140/$P$5*R139)/(Rho_a-P140/$P$5)</f>
        <v>-215.454159642731</v>
      </c>
      <c r="S140" s="11" t="n">
        <f aca="false">IF(O140&lt;Floor_F,MAX((-(Cost_k*Ubar_c+Delay_D)*(1-EXP(-Rho_a*LN((Top_c-O140)/(Top_c-Floor_F))/Delta_c))/Rho_a+EXP(-Rho_a*LN((Top_c-O140)/(Top_c-Floor_F))/Delta_c)*(-Cost_k*Delta_c*Floor_F/Rho_a)),(-Delay_D/Rho_a)),(EXP(-Rho_a*LN(O140/Floor_F)/Delta_c)*(-Cost_k*Delta_c*Floor_F/Rho_a)))</f>
        <v>-215.379936072815</v>
      </c>
      <c r="T140" s="22" t="n">
        <f aca="false">ABS(R140-S140)</f>
        <v>0.0742235699161711</v>
      </c>
      <c r="V140" s="17" t="n">
        <f aca="false">30+120*$W$5</f>
        <v>45</v>
      </c>
      <c r="W140" s="17" t="n">
        <f aca="false">Ubar_c-Delta_c*V140</f>
        <v>5.56991775654378</v>
      </c>
      <c r="X140" s="11" t="n">
        <f aca="false">(-(Cost_k*Ubar_c+Delay_D)+W140/$W$5*X141)/(Rho_a+W140/$W$5)</f>
        <v>-324.254313143255</v>
      </c>
      <c r="Y140" s="11" t="n">
        <f aca="false">MAX(X140,-Delay_D/Rho_a)</f>
        <v>-324.254313143255</v>
      </c>
      <c r="Z140" s="11" t="n">
        <f aca="false">IF(V140&lt;Floor_F,MAX((-(Cost_k*Ubar_c+Delay_D)*(1-EXP(-Rho_a*LN((Top_c-V140)/(Top_c-Floor_F))/Delta_c))/Rho_a+EXP(-Rho_a*LN((Top_c-V140)/(Top_c-Floor_F))/Delta_c)*(-Cost_k*Delta_c*Floor_F/Rho_a)),(-Delay_D/Rho_a)),(EXP(-Rho_a*LN(V140/Floor_F)/Delta_c)*(-Cost_k*Delta_c*Floor_F/Rho_a)))</f>
        <v>-324.455155485324</v>
      </c>
      <c r="AA140" s="22" t="n">
        <f aca="false">ABS(Y140-Z140)</f>
        <v>0.200842342069109</v>
      </c>
      <c r="AC140" s="17" t="n">
        <f aca="false">30+120*$AD$5</f>
        <v>37.5</v>
      </c>
      <c r="AD140" s="17" t="n">
        <f aca="false">Ubar_c-Delta_c*AC140</f>
        <v>6.32945199607248</v>
      </c>
      <c r="AE140" s="11" t="n">
        <f aca="false">(-(Cost_k*Ubar_c+Delay_D)+AD140/$AD$5*AE141)/(Rho_a+AD140/$AD$5)</f>
        <v>-373.774893146433</v>
      </c>
      <c r="AF140" s="11" t="n">
        <f aca="false">MAX(AE140,-Delay_D/Rho_a)</f>
        <v>-335.745877992226</v>
      </c>
      <c r="AG140" s="11" t="n">
        <f aca="false">IF(AC140&lt;Floor_F,MAX((-(Cost_k*Ubar_c+Delay_D)*(1-EXP(-Rho_a*LN((Top_c-AC140)/(Top_c-Floor_F))/Delta_c))/Rho_a+EXP(-Rho_a*LN((Top_c-AC140)/(Top_c-Floor_F))/Delta_c)*(-Cost_k*Delta_c*Floor_F/Rho_a)),(-Delay_D/Rho_a)),(EXP(-Rho_a*LN(AC140/Floor_F)/Delta_c)*(-Cost_k*Delta_c*Floor_F/Rho_a)))</f>
        <v>-335.745877992226</v>
      </c>
      <c r="AH140" s="22" t="n">
        <f aca="false">ABS(AF140-AG140)</f>
        <v>0</v>
      </c>
    </row>
    <row r="141" customFormat="false" ht="15" hidden="false" customHeight="false" outlineLevel="0" collapsed="false">
      <c r="O141" s="17" t="n">
        <f aca="false">30+121*$P$5</f>
        <v>60.25</v>
      </c>
      <c r="P141" s="17" t="n">
        <f aca="false">-Delta_c*O141</f>
        <v>-6.10159172421387</v>
      </c>
      <c r="R141" s="11" t="n">
        <f aca="false">(-P141/$P$5*R140)/(Rho_a-P141/$P$5)</f>
        <v>-214.616054780321</v>
      </c>
      <c r="S141" s="11" t="n">
        <f aca="false">IF(O141&lt;Floor_F,MAX((-(Cost_k*Ubar_c+Delay_D)*(1-EXP(-Rho_a*LN((Top_c-O141)/(Top_c-Floor_F))/Delta_c))/Rho_a+EXP(-Rho_a*LN((Top_c-O141)/(Top_c-Floor_F))/Delta_c)*(-Cost_k*Delta_c*Floor_F/Rho_a)),(-Delay_D/Rho_a)),(EXP(-Rho_a*LN(O141/Floor_F)/Delta_c)*(-Cost_k*Delta_c*Floor_F/Rho_a)))</f>
        <v>-214.538745285022</v>
      </c>
      <c r="T141" s="22" t="n">
        <f aca="false">ABS(R141-S141)</f>
        <v>0.0773094952989197</v>
      </c>
      <c r="V141" s="17" t="n">
        <f aca="false">30+121*$W$5</f>
        <v>45.125</v>
      </c>
      <c r="W141" s="17" t="n">
        <f aca="false">Ubar_c-Delta_c*V141</f>
        <v>5.55725885255163</v>
      </c>
      <c r="X141" s="11" t="n">
        <f aca="false">(-(Cost_k*Ubar_c+Delay_D)+W141/$W$5*X142)/(Rho_a+W141/$W$5)</f>
        <v>-323.320642357946</v>
      </c>
      <c r="Y141" s="11" t="n">
        <f aca="false">MAX(X141,-Delay_D/Rho_a)</f>
        <v>-323.320642357946</v>
      </c>
      <c r="Z141" s="11" t="n">
        <f aca="false">IF(V141&lt;Floor_F,MAX((-(Cost_k*Ubar_c+Delay_D)*(1-EXP(-Rho_a*LN((Top_c-V141)/(Top_c-Floor_F))/Delta_c))/Rho_a+EXP(-Rho_a*LN((Top_c-V141)/(Top_c-Floor_F))/Delta_c)*(-Cost_k*Delta_c*Floor_F/Rho_a)),(-Delay_D/Rho_a)),(EXP(-Rho_a*LN(V141/Floor_F)/Delta_c)*(-Cost_k*Delta_c*Floor_F/Rho_a)))</f>
        <v>-323.519851115323</v>
      </c>
      <c r="AA141" s="22" t="n">
        <f aca="false">ABS(Y141-Z141)</f>
        <v>0.199208757376994</v>
      </c>
      <c r="AC141" s="17" t="n">
        <f aca="false">30+121*$AD$5</f>
        <v>37.5625</v>
      </c>
      <c r="AD141" s="17" t="n">
        <f aca="false">Ubar_c-Delta_c*AC141</f>
        <v>6.3231225440764</v>
      </c>
      <c r="AE141" s="11" t="n">
        <f aca="false">(-(Cost_k*Ubar_c+Delay_D)+AD141/$AD$5*AE142)/(Rho_a+AD141/$AD$5)</f>
        <v>-373.410683688355</v>
      </c>
      <c r="AF141" s="11" t="n">
        <f aca="false">MAX(AE141,-Delay_D/Rho_a)</f>
        <v>-335.745877992226</v>
      </c>
      <c r="AG141" s="11" t="n">
        <f aca="false">IF(AC141&lt;Floor_F,MAX((-(Cost_k*Ubar_c+Delay_D)*(1-EXP(-Rho_a*LN((Top_c-AC141)/(Top_c-Floor_F))/Delta_c))/Rho_a+EXP(-Rho_a*LN((Top_c-AC141)/(Top_c-Floor_F))/Delta_c)*(-Cost_k*Delta_c*Floor_F/Rho_a)),(-Delay_D/Rho_a)),(EXP(-Rho_a*LN(AC141/Floor_F)/Delta_c)*(-Cost_k*Delta_c*Floor_F/Rho_a)))</f>
        <v>-335.745877992226</v>
      </c>
      <c r="AH141" s="22" t="n">
        <f aca="false">ABS(AF141-AG141)</f>
        <v>0</v>
      </c>
    </row>
    <row r="142" customFormat="false" ht="15" hidden="false" customHeight="false" outlineLevel="0" collapsed="false">
      <c r="O142" s="17" t="n">
        <f aca="false">30+122*$P$5</f>
        <v>60.5</v>
      </c>
      <c r="P142" s="17" t="n">
        <f aca="false">-Delta_c*O142</f>
        <v>-6.12690953219816</v>
      </c>
      <c r="R142" s="11" t="n">
        <f aca="false">(-P142/$P$5*R141)/(Rho_a-P142/$P$5)</f>
        <v>-213.784646507075</v>
      </c>
      <c r="S142" s="11" t="n">
        <f aca="false">IF(O142&lt;Floor_F,MAX((-(Cost_k*Ubar_c+Delay_D)*(1-EXP(-Rho_a*LN((Top_c-O142)/(Top_c-Floor_F))/Delta_c))/Rho_a+EXP(-Rho_a*LN((Top_c-O142)/(Top_c-Floor_F))/Delta_c)*(-Cost_k*Delta_c*Floor_F/Rho_a)),(-Delay_D/Rho_a)),(EXP(-Rho_a*LN(O142/Floor_F)/Delta_c)*(-Cost_k*Delta_c*Floor_F/Rho_a)))</f>
        <v>-213.704302704701</v>
      </c>
      <c r="T142" s="22" t="n">
        <f aca="false">ABS(R142-S142)</f>
        <v>0.0803438023740455</v>
      </c>
      <c r="V142" s="17" t="n">
        <f aca="false">30+122*$W$5</f>
        <v>45.25</v>
      </c>
      <c r="W142" s="17" t="n">
        <f aca="false">Ubar_c-Delta_c*V142</f>
        <v>5.54459994855949</v>
      </c>
      <c r="X142" s="11" t="n">
        <f aca="false">(-(Cost_k*Ubar_c+Delay_D)+W142/$W$5*X143)/(Rho_a+W142/$W$5)</f>
        <v>-322.382843136165</v>
      </c>
      <c r="Y142" s="11" t="n">
        <f aca="false">MAX(X142,-Delay_D/Rho_a)</f>
        <v>-322.382843136165</v>
      </c>
      <c r="Z142" s="11" t="n">
        <f aca="false">IF(V142&lt;Floor_F,MAX((-(Cost_k*Ubar_c+Delay_D)*(1-EXP(-Rho_a*LN((Top_c-V142)/(Top_c-Floor_F))/Delta_c))/Rho_a+EXP(-Rho_a*LN((Top_c-V142)/(Top_c-Floor_F))/Delta_c)*(-Cost_k*Delta_c*Floor_F/Rho_a)),(-Delay_D/Rho_a)),(EXP(-Rho_a*LN(V142/Floor_F)/Delta_c)*(-Cost_k*Delta_c*Floor_F/Rho_a)))</f>
        <v>-322.580401921638</v>
      </c>
      <c r="AA142" s="22" t="n">
        <f aca="false">ABS(Y142-Z142)</f>
        <v>0.19755878547295</v>
      </c>
      <c r="AC142" s="17" t="n">
        <f aca="false">30+122*$AD$5</f>
        <v>37.625</v>
      </c>
      <c r="AD142" s="17" t="n">
        <f aca="false">Ubar_c-Delta_c*AC142</f>
        <v>6.31679309208033</v>
      </c>
      <c r="AE142" s="11" t="n">
        <f aca="false">(-(Cost_k*Ubar_c+Delay_D)+AD142/$AD$5*AE143)/(Rho_a+AD142/$AD$5)</f>
        <v>-373.045766541859</v>
      </c>
      <c r="AF142" s="11" t="n">
        <f aca="false">MAX(AE142,-Delay_D/Rho_a)</f>
        <v>-335.745877992226</v>
      </c>
      <c r="AG142" s="11" t="n">
        <f aca="false">IF(AC142&lt;Floor_F,MAX((-(Cost_k*Ubar_c+Delay_D)*(1-EXP(-Rho_a*LN((Top_c-AC142)/(Top_c-Floor_F))/Delta_c))/Rho_a+EXP(-Rho_a*LN((Top_c-AC142)/(Top_c-Floor_F))/Delta_c)*(-Cost_k*Delta_c*Floor_F/Rho_a)),(-Delay_D/Rho_a)),(EXP(-Rho_a*LN(AC142/Floor_F)/Delta_c)*(-Cost_k*Delta_c*Floor_F/Rho_a)))</f>
        <v>-335.745877992226</v>
      </c>
      <c r="AH142" s="22" t="n">
        <f aca="false">ABS(AF142-AG142)</f>
        <v>0</v>
      </c>
    </row>
    <row r="143" customFormat="false" ht="15" hidden="false" customHeight="false" outlineLevel="0" collapsed="false">
      <c r="O143" s="17" t="n">
        <f aca="false">30+123*$P$5</f>
        <v>60.75</v>
      </c>
      <c r="P143" s="17" t="n">
        <f aca="false">-Delta_c*O143</f>
        <v>-6.15222734018245</v>
      </c>
      <c r="R143" s="11" t="n">
        <f aca="false">(-P143/$P$5*R142)/(Rho_a-P143/$P$5)</f>
        <v>-212.95985408388</v>
      </c>
      <c r="S143" s="11" t="n">
        <f aca="false">IF(O143&lt;Floor_F,MAX((-(Cost_k*Ubar_c+Delay_D)*(1-EXP(-Rho_a*LN((Top_c-O143)/(Top_c-Floor_F))/Delta_c))/Rho_a+EXP(-Rho_a*LN((Top_c-O143)/(Top_c-Floor_F))/Delta_c)*(-Cost_k*Delta_c*Floor_F/Rho_a)),(-Delay_D/Rho_a)),(EXP(-Rho_a*LN(O143/Floor_F)/Delta_c)*(-Cost_k*Delta_c*Floor_F/Rho_a)))</f>
        <v>-212.876526645356</v>
      </c>
      <c r="T143" s="22" t="n">
        <f aca="false">ABS(R143-S143)</f>
        <v>0.0833274385235825</v>
      </c>
      <c r="V143" s="17" t="n">
        <f aca="false">30+123*$W$5</f>
        <v>45.375</v>
      </c>
      <c r="W143" s="17" t="n">
        <f aca="false">Ubar_c-Delta_c*V143</f>
        <v>5.53194104456734</v>
      </c>
      <c r="X143" s="11" t="n">
        <f aca="false">(-(Cost_k*Ubar_c+Delay_D)+W143/$W$5*X144)/(Rho_a+W143/$W$5)</f>
        <v>-321.440887755764</v>
      </c>
      <c r="Y143" s="11" t="n">
        <f aca="false">MAX(X143,-Delay_D/Rho_a)</f>
        <v>-321.440887755764</v>
      </c>
      <c r="Z143" s="11" t="n">
        <f aca="false">IF(V143&lt;Floor_F,MAX((-(Cost_k*Ubar_c+Delay_D)*(1-EXP(-Rho_a*LN((Top_c-V143)/(Top_c-Floor_F))/Delta_c))/Rho_a+EXP(-Rho_a*LN((Top_c-V143)/(Top_c-Floor_F))/Delta_c)*(-Cost_k*Delta_c*Floor_F/Rho_a)),(-Delay_D/Rho_a)),(EXP(-Rho_a*LN(V143/Floor_F)/Delta_c)*(-Cost_k*Delta_c*Floor_F/Rho_a)))</f>
        <v>-321.636780010269</v>
      </c>
      <c r="AA143" s="22" t="n">
        <f aca="false">ABS(Y143-Z143)</f>
        <v>0.195892254504827</v>
      </c>
      <c r="AC143" s="17" t="n">
        <f aca="false">30+123*$AD$5</f>
        <v>37.6875</v>
      </c>
      <c r="AD143" s="17" t="n">
        <f aca="false">Ubar_c-Delta_c*AC143</f>
        <v>6.31046364008426</v>
      </c>
      <c r="AE143" s="11" t="n">
        <f aca="false">(-(Cost_k*Ubar_c+Delay_D)+AD143/$AD$5*AE144)/(Rho_a+AD143/$AD$5)</f>
        <v>-372.680139621365</v>
      </c>
      <c r="AF143" s="11" t="n">
        <f aca="false">MAX(AE143,-Delay_D/Rho_a)</f>
        <v>-335.745877992226</v>
      </c>
      <c r="AG143" s="11" t="n">
        <f aca="false">IF(AC143&lt;Floor_F,MAX((-(Cost_k*Ubar_c+Delay_D)*(1-EXP(-Rho_a*LN((Top_c-AC143)/(Top_c-Floor_F))/Delta_c))/Rho_a+EXP(-Rho_a*LN((Top_c-AC143)/(Top_c-Floor_F))/Delta_c)*(-Cost_k*Delta_c*Floor_F/Rho_a)),(-Delay_D/Rho_a)),(EXP(-Rho_a*LN(AC143/Floor_F)/Delta_c)*(-Cost_k*Delta_c*Floor_F/Rho_a)))</f>
        <v>-335.745877992226</v>
      </c>
      <c r="AH143" s="22" t="n">
        <f aca="false">ABS(AF143-AG143)</f>
        <v>0</v>
      </c>
    </row>
    <row r="144" customFormat="false" ht="15" hidden="false" customHeight="false" outlineLevel="0" collapsed="false">
      <c r="O144" s="17" t="n">
        <f aca="false">30+124*$P$5</f>
        <v>61</v>
      </c>
      <c r="P144" s="17" t="n">
        <f aca="false">-Delta_c*O144</f>
        <v>-6.17754514816674</v>
      </c>
      <c r="R144" s="11" t="n">
        <f aca="false">(-P144/$P$5*R143)/(Rho_a-P144/$P$5)</f>
        <v>-212.141598070725</v>
      </c>
      <c r="S144" s="11" t="n">
        <f aca="false">IF(O144&lt;Floor_F,MAX((-(Cost_k*Ubar_c+Delay_D)*(1-EXP(-Rho_a*LN((Top_c-O144)/(Top_c-Floor_F))/Delta_c))/Rho_a+EXP(-Rho_a*LN((Top_c-O144)/(Top_c-Floor_F))/Delta_c)*(-Cost_k*Delta_c*Floor_F/Rho_a)),(-Delay_D/Rho_a)),(EXP(-Rho_a*LN(O144/Floor_F)/Delta_c)*(-Cost_k*Delta_c*Floor_F/Rho_a)))</f>
        <v>-212.055336740068</v>
      </c>
      <c r="T144" s="22" t="n">
        <f aca="false">ABS(R144-S144)</f>
        <v>0.0862613306569529</v>
      </c>
      <c r="V144" s="17" t="n">
        <f aca="false">30+124*$W$5</f>
        <v>45.5</v>
      </c>
      <c r="W144" s="17" t="n">
        <f aca="false">Ubar_c-Delta_c*V144</f>
        <v>5.5192821405752</v>
      </c>
      <c r="X144" s="11" t="n">
        <f aca="false">(-(Cost_k*Ubar_c+Delay_D)+W144/$W$5*X145)/(Rho_a+W144/$W$5)</f>
        <v>-320.494748244581</v>
      </c>
      <c r="Y144" s="11" t="n">
        <f aca="false">MAX(X144,-Delay_D/Rho_a)</f>
        <v>-320.494748244581</v>
      </c>
      <c r="Z144" s="11" t="n">
        <f aca="false">IF(V144&lt;Floor_F,MAX((-(Cost_k*Ubar_c+Delay_D)*(1-EXP(-Rho_a*LN((Top_c-V144)/(Top_c-Floor_F))/Delta_c))/Rho_a+EXP(-Rho_a*LN((Top_c-V144)/(Top_c-Floor_F))/Delta_c)*(-Cost_k*Delta_c*Floor_F/Rho_a)),(-Delay_D/Rho_a)),(EXP(-Rho_a*LN(V144/Floor_F)/Delta_c)*(-Cost_k*Delta_c*Floor_F/Rho_a)))</f>
        <v>-320.688957235092</v>
      </c>
      <c r="AA144" s="22" t="n">
        <f aca="false">ABS(Y144-Z144)</f>
        <v>0.194208990510333</v>
      </c>
      <c r="AC144" s="17" t="n">
        <f aca="false">30+124*$AD$5</f>
        <v>37.75</v>
      </c>
      <c r="AD144" s="17" t="n">
        <f aca="false">Ubar_c-Delta_c*AC144</f>
        <v>6.30413418808819</v>
      </c>
      <c r="AE144" s="11" t="n">
        <f aca="false">(-(Cost_k*Ubar_c+Delay_D)+AD144/$AD$5*AE145)/(Rho_a+AD144/$AD$5)</f>
        <v>-372.313800833048</v>
      </c>
      <c r="AF144" s="11" t="n">
        <f aca="false">MAX(AE144,-Delay_D/Rho_a)</f>
        <v>-335.745877992226</v>
      </c>
      <c r="AG144" s="11" t="n">
        <f aca="false">IF(AC144&lt;Floor_F,MAX((-(Cost_k*Ubar_c+Delay_D)*(1-EXP(-Rho_a*LN((Top_c-AC144)/(Top_c-Floor_F))/Delta_c))/Rho_a+EXP(-Rho_a*LN((Top_c-AC144)/(Top_c-Floor_F))/Delta_c)*(-Cost_k*Delta_c*Floor_F/Rho_a)),(-Delay_D/Rho_a)),(EXP(-Rho_a*LN(AC144/Floor_F)/Delta_c)*(-Cost_k*Delta_c*Floor_F/Rho_a)))</f>
        <v>-335.745877992226</v>
      </c>
      <c r="AH144" s="22" t="n">
        <f aca="false">ABS(AF144-AG144)</f>
        <v>0</v>
      </c>
    </row>
    <row r="145" customFormat="false" ht="15" hidden="false" customHeight="false" outlineLevel="0" collapsed="false">
      <c r="O145" s="17" t="n">
        <f aca="false">30+125*$P$5</f>
        <v>61.25</v>
      </c>
      <c r="P145" s="17" t="n">
        <f aca="false">-Delta_c*O145</f>
        <v>-6.20286295615103</v>
      </c>
      <c r="R145" s="11" t="n">
        <f aca="false">(-P145/$P$5*R144)/(Rho_a-P145/$P$5)</f>
        <v>-211.329800300604</v>
      </c>
      <c r="S145" s="11" t="n">
        <f aca="false">IF(O145&lt;Floor_F,MAX((-(Cost_k*Ubar_c+Delay_D)*(1-EXP(-Rho_a*LN((Top_c-O145)/(Top_c-Floor_F))/Delta_c))/Rho_a+EXP(-Rho_a*LN((Top_c-O145)/(Top_c-Floor_F))/Delta_c)*(-Cost_k*Delta_c*Floor_F/Rho_a)),(-Delay_D/Rho_a)),(EXP(-Rho_a*LN(O145/Floor_F)/Delta_c)*(-Cost_k*Delta_c*Floor_F/Rho_a)))</f>
        <v>-211.240653914877</v>
      </c>
      <c r="T145" s="22" t="n">
        <f aca="false">ABS(R145-S145)</f>
        <v>0.0891463857267354</v>
      </c>
      <c r="V145" s="17" t="n">
        <f aca="false">30+125*$W$5</f>
        <v>45.625</v>
      </c>
      <c r="W145" s="17" t="n">
        <f aca="false">Ubar_c-Delta_c*V145</f>
        <v>5.50662323658305</v>
      </c>
      <c r="X145" s="11" t="n">
        <f aca="false">(-(Cost_k*Ubar_c+Delay_D)+W145/$W$5*X146)/(Rho_a+W145/$W$5)</f>
        <v>-319.544396377605</v>
      </c>
      <c r="Y145" s="11" t="n">
        <f aca="false">MAX(X145,-Delay_D/Rho_a)</f>
        <v>-319.544396377605</v>
      </c>
      <c r="Z145" s="11" t="n">
        <f aca="false">IF(V145&lt;Floor_F,MAX((-(Cost_k*Ubar_c+Delay_D)*(1-EXP(-Rho_a*LN((Top_c-V145)/(Top_c-Floor_F))/Delta_c))/Rho_a+EXP(-Rho_a*LN((Top_c-V145)/(Top_c-Floor_F))/Delta_c)*(-Cost_k*Delta_c*Floor_F/Rho_a)),(-Delay_D/Rho_a)),(EXP(-Rho_a*LN(V145/Floor_F)/Delta_c)*(-Cost_k*Delta_c*Floor_F/Rho_a)))</f>
        <v>-319.736905194992</v>
      </c>
      <c r="AA145" s="22" t="n">
        <f aca="false">ABS(Y145-Z145)</f>
        <v>0.192508817387022</v>
      </c>
      <c r="AC145" s="17" t="n">
        <f aca="false">30+125*$AD$5</f>
        <v>37.8125</v>
      </c>
      <c r="AD145" s="17" t="n">
        <f aca="false">Ubar_c-Delta_c*AC145</f>
        <v>6.29780473609211</v>
      </c>
      <c r="AE145" s="11" t="n">
        <f aca="false">(-(Cost_k*Ubar_c+Delay_D)+AD145/$AD$5*AE146)/(Rho_a+AD145/$AD$5)</f>
        <v>-371.946748074798</v>
      </c>
      <c r="AF145" s="11" t="n">
        <f aca="false">MAX(AE145,-Delay_D/Rho_a)</f>
        <v>-335.745877992226</v>
      </c>
      <c r="AG145" s="11" t="n">
        <f aca="false">IF(AC145&lt;Floor_F,MAX((-(Cost_k*Ubar_c+Delay_D)*(1-EXP(-Rho_a*LN((Top_c-AC145)/(Top_c-Floor_F))/Delta_c))/Rho_a+EXP(-Rho_a*LN((Top_c-AC145)/(Top_c-Floor_F))/Delta_c)*(-Cost_k*Delta_c*Floor_F/Rho_a)),(-Delay_D/Rho_a)),(EXP(-Rho_a*LN(AC145/Floor_F)/Delta_c)*(-Cost_k*Delta_c*Floor_F/Rho_a)))</f>
        <v>-335.745877992226</v>
      </c>
      <c r="AH145" s="22" t="n">
        <f aca="false">ABS(AF145-AG145)</f>
        <v>0</v>
      </c>
    </row>
    <row r="146" customFormat="false" ht="15" hidden="false" customHeight="false" outlineLevel="0" collapsed="false">
      <c r="O146" s="17" t="n">
        <f aca="false">30+126*$P$5</f>
        <v>61.5</v>
      </c>
      <c r="P146" s="17" t="n">
        <f aca="false">-Delta_c*O146</f>
        <v>-6.22818076413532</v>
      </c>
      <c r="R146" s="11" t="n">
        <f aca="false">(-P146/$P$5*R145)/(Rho_a-P146/$P$5)</f>
        <v>-210.524383854045</v>
      </c>
      <c r="S146" s="11" t="n">
        <f aca="false">IF(O146&lt;Floor_F,MAX((-(Cost_k*Ubar_c+Delay_D)*(1-EXP(-Rho_a*LN((Top_c-O146)/(Top_c-Floor_F))/Delta_c))/Rho_a+EXP(-Rho_a*LN((Top_c-O146)/(Top_c-Floor_F))/Delta_c)*(-Cost_k*Delta_c*Floor_F/Rho_a)),(-Delay_D/Rho_a)),(EXP(-Rho_a*LN(O146/Floor_F)/Delta_c)*(-Cost_k*Delta_c*Floor_F/Rho_a)))</f>
        <v>-210.432400362814</v>
      </c>
      <c r="T146" s="22" t="n">
        <f aca="false">ABS(R146-S146)</f>
        <v>0.0919834912309057</v>
      </c>
      <c r="V146" s="17" t="n">
        <f aca="false">30+126*$W$5</f>
        <v>45.75</v>
      </c>
      <c r="W146" s="17" t="n">
        <f aca="false">Ubar_c-Delta_c*V146</f>
        <v>5.49396433259091</v>
      </c>
      <c r="X146" s="11" t="n">
        <f aca="false">(-(Cost_k*Ubar_c+Delay_D)+W146/$W$5*X147)/(Rho_a+W146/$W$5)</f>
        <v>-318.589803674102</v>
      </c>
      <c r="Y146" s="11" t="n">
        <f aca="false">MAX(X146,-Delay_D/Rho_a)</f>
        <v>-318.589803674102</v>
      </c>
      <c r="Z146" s="11" t="n">
        <f aca="false">IF(V146&lt;Floor_F,MAX((-(Cost_k*Ubar_c+Delay_D)*(1-EXP(-Rho_a*LN((Top_c-V146)/(Top_c-Floor_F))/Delta_c))/Rho_a+EXP(-Rho_a*LN((Top_c-V146)/(Top_c-Floor_F))/Delta_c)*(-Cost_k*Delta_c*Floor_F/Rho_a)),(-Delay_D/Rho_a)),(EXP(-Rho_a*LN(V146/Floor_F)/Delta_c)*(-Cost_k*Delta_c*Floor_F/Rho_a)))</f>
        <v>-318.780595230963</v>
      </c>
      <c r="AA146" s="22" t="n">
        <f aca="false">ABS(Y146-Z146)</f>
        <v>0.190791556861711</v>
      </c>
      <c r="AC146" s="17" t="n">
        <f aca="false">30+126*$AD$5</f>
        <v>37.875</v>
      </c>
      <c r="AD146" s="17" t="n">
        <f aca="false">Ubar_c-Delta_c*AC146</f>
        <v>6.29147528409604</v>
      </c>
      <c r="AE146" s="11" t="n">
        <f aca="false">(-(Cost_k*Ubar_c+Delay_D)+AD146/$AD$5*AE147)/(Rho_a+AD146/$AD$5)</f>
        <v>-371.57897923618</v>
      </c>
      <c r="AF146" s="11" t="n">
        <f aca="false">MAX(AE146,-Delay_D/Rho_a)</f>
        <v>-335.745877992226</v>
      </c>
      <c r="AG146" s="11" t="n">
        <f aca="false">IF(AC146&lt;Floor_F,MAX((-(Cost_k*Ubar_c+Delay_D)*(1-EXP(-Rho_a*LN((Top_c-AC146)/(Top_c-Floor_F))/Delta_c))/Rho_a+EXP(-Rho_a*LN((Top_c-AC146)/(Top_c-Floor_F))/Delta_c)*(-Cost_k*Delta_c*Floor_F/Rho_a)),(-Delay_D/Rho_a)),(EXP(-Rho_a*LN(AC146/Floor_F)/Delta_c)*(-Cost_k*Delta_c*Floor_F/Rho_a)))</f>
        <v>-335.745877992226</v>
      </c>
      <c r="AH146" s="22" t="n">
        <f aca="false">ABS(AF146-AG146)</f>
        <v>0</v>
      </c>
    </row>
    <row r="147" customFormat="false" ht="15" hidden="false" customHeight="false" outlineLevel="0" collapsed="false">
      <c r="O147" s="17" t="n">
        <f aca="false">30+127*$P$5</f>
        <v>61.75</v>
      </c>
      <c r="P147" s="17" t="n">
        <f aca="false">-Delta_c*O147</f>
        <v>-6.25349857211961</v>
      </c>
      <c r="R147" s="11" t="n">
        <f aca="false">(-P147/$P$5*R146)/(Rho_a-P147/$P$5)</f>
        <v>-209.725273034242</v>
      </c>
      <c r="S147" s="11" t="n">
        <f aca="false">IF(O147&lt;Floor_F,MAX((-(Cost_k*Ubar_c+Delay_D)*(1-EXP(-Rho_a*LN((Top_c-O147)/(Top_c-Floor_F))/Delta_c))/Rho_a+EXP(-Rho_a*LN((Top_c-O147)/(Top_c-Floor_F))/Delta_c)*(-Cost_k*Delta_c*Floor_F/Rho_a)),(-Delay_D/Rho_a)),(EXP(-Rho_a*LN(O147/Floor_F)/Delta_c)*(-Cost_k*Delta_c*Floor_F/Rho_a)))</f>
        <v>-209.630499518543</v>
      </c>
      <c r="T147" s="22" t="n">
        <f aca="false">ABS(R147-S147)</f>
        <v>0.0947735156990461</v>
      </c>
      <c r="V147" s="17" t="n">
        <f aca="false">30+127*$W$5</f>
        <v>45.875</v>
      </c>
      <c r="W147" s="17" t="n">
        <f aca="false">Ubar_c-Delta_c*V147</f>
        <v>5.48130542859876</v>
      </c>
      <c r="X147" s="11" t="n">
        <f aca="false">(-(Cost_k*Ubar_c+Delay_D)+W147/$W$5*X148)/(Rho_a+W147/$W$5)</f>
        <v>-317.630941394708</v>
      </c>
      <c r="Y147" s="11" t="n">
        <f aca="false">MAX(X147,-Delay_D/Rho_a)</f>
        <v>-317.630941394708</v>
      </c>
      <c r="Z147" s="11" t="n">
        <f aca="false">IF(V147&lt;Floor_F,MAX((-(Cost_k*Ubar_c+Delay_D)*(1-EXP(-Rho_a*LN((Top_c-V147)/(Top_c-Floor_F))/Delta_c))/Rho_a+EXP(-Rho_a*LN((Top_c-V147)/(Top_c-Floor_F))/Delta_c)*(-Cost_k*Delta_c*Floor_F/Rho_a)),(-Delay_D/Rho_a)),(EXP(-Rho_a*LN(V147/Floor_F)/Delta_c)*(-Cost_k*Delta_c*Floor_F/Rho_a)))</f>
        <v>-317.819998423166</v>
      </c>
      <c r="AA147" s="22" t="n">
        <f aca="false">ABS(Y147-Z147)</f>
        <v>0.189057028458763</v>
      </c>
      <c r="AC147" s="17" t="n">
        <f aca="false">30+127*$AD$5</f>
        <v>37.9375</v>
      </c>
      <c r="AD147" s="17" t="n">
        <f aca="false">Ubar_c-Delta_c*AC147</f>
        <v>6.28514583209997</v>
      </c>
      <c r="AE147" s="11" t="n">
        <f aca="false">(-(Cost_k*Ubar_c+Delay_D)+AD147/$AD$5*AE148)/(Rho_a+AD147/$AD$5)</f>
        <v>-371.210492198389</v>
      </c>
      <c r="AF147" s="11" t="n">
        <f aca="false">MAX(AE147,-Delay_D/Rho_a)</f>
        <v>-335.745877992226</v>
      </c>
      <c r="AG147" s="11" t="n">
        <f aca="false">IF(AC147&lt;Floor_F,MAX((-(Cost_k*Ubar_c+Delay_D)*(1-EXP(-Rho_a*LN((Top_c-AC147)/(Top_c-Floor_F))/Delta_c))/Rho_a+EXP(-Rho_a*LN((Top_c-AC147)/(Top_c-Floor_F))/Delta_c)*(-Cost_k*Delta_c*Floor_F/Rho_a)),(-Delay_D/Rho_a)),(EXP(-Rho_a*LN(AC147/Floor_F)/Delta_c)*(-Cost_k*Delta_c*Floor_F/Rho_a)))</f>
        <v>-335.745877992226</v>
      </c>
      <c r="AH147" s="22" t="n">
        <f aca="false">ABS(AF147-AG147)</f>
        <v>0</v>
      </c>
    </row>
    <row r="148" customFormat="false" ht="15" hidden="false" customHeight="false" outlineLevel="0" collapsed="false">
      <c r="O148" s="17" t="n">
        <f aca="false">30+128*$P$5</f>
        <v>62</v>
      </c>
      <c r="P148" s="17" t="n">
        <f aca="false">-Delta_c*O148</f>
        <v>-6.27881638010389</v>
      </c>
      <c r="R148" s="11" t="n">
        <f aca="false">(-P148/$P$5*R147)/(Rho_a-P148/$P$5)</f>
        <v>-208.932393342794</v>
      </c>
      <c r="S148" s="11" t="n">
        <f aca="false">IF(O148&lt;Floor_F,MAX((-(Cost_k*Ubar_c+Delay_D)*(1-EXP(-Rho_a*LN((Top_c-O148)/(Top_c-Floor_F))/Delta_c))/Rho_a+EXP(-Rho_a*LN((Top_c-O148)/(Top_c-Floor_F))/Delta_c)*(-Cost_k*Delta_c*Floor_F/Rho_a)),(-Delay_D/Rho_a)),(EXP(-Rho_a*LN(O148/Floor_F)/Delta_c)*(-Cost_k*Delta_c*Floor_F/Rho_a)))</f>
        <v>-208.834876033629</v>
      </c>
      <c r="T148" s="22" t="n">
        <f aca="false">ABS(R148-S148)</f>
        <v>0.0975173091656529</v>
      </c>
      <c r="V148" s="17" t="n">
        <f aca="false">30+128*$W$5</f>
        <v>46</v>
      </c>
      <c r="W148" s="17" t="n">
        <f aca="false">Ubar_c-Delta_c*V148</f>
        <v>5.46864652460662</v>
      </c>
      <c r="X148" s="11" t="n">
        <f aca="false">(-(Cost_k*Ubar_c+Delay_D)+W148/$W$5*X149)/(Rho_a+W148/$W$5)</f>
        <v>-316.667780538474</v>
      </c>
      <c r="Y148" s="11" t="n">
        <f aca="false">MAX(X148,-Delay_D/Rho_a)</f>
        <v>-316.667780538474</v>
      </c>
      <c r="Z148" s="11" t="n">
        <f aca="false">IF(V148&lt;Floor_F,MAX((-(Cost_k*Ubar_c+Delay_D)*(1-EXP(-Rho_a*LN((Top_c-V148)/(Top_c-Floor_F))/Delta_c))/Rho_a+EXP(-Rho_a*LN((Top_c-V148)/(Top_c-Floor_F))/Delta_c)*(-Cost_k*Delta_c*Floor_F/Rho_a)),(-Delay_D/Rho_a)),(EXP(-Rho_a*LN(V148/Floor_F)/Delta_c)*(-Cost_k*Delta_c*Floor_F/Rho_a)))</f>
        <v>-316.855085587942</v>
      </c>
      <c r="AA148" s="22" t="n">
        <f aca="false">ABS(Y148-Z148)</f>
        <v>0.187305049468591</v>
      </c>
      <c r="AC148" s="17" t="n">
        <f aca="false">30+128*$AD$5</f>
        <v>38</v>
      </c>
      <c r="AD148" s="17" t="n">
        <f aca="false">Ubar_c-Delta_c*AC148</f>
        <v>6.2788163801039</v>
      </c>
      <c r="AE148" s="11" t="n">
        <f aca="false">(-(Cost_k*Ubar_c+Delay_D)+AD148/$AD$5*AE149)/(Rho_a+AD148/$AD$5)</f>
        <v>-370.841284834212</v>
      </c>
      <c r="AF148" s="11" t="n">
        <f aca="false">MAX(AE148,-Delay_D/Rho_a)</f>
        <v>-335.745877992226</v>
      </c>
      <c r="AG148" s="11" t="n">
        <f aca="false">IF(AC148&lt;Floor_F,MAX((-(Cost_k*Ubar_c+Delay_D)*(1-EXP(-Rho_a*LN((Top_c-AC148)/(Top_c-Floor_F))/Delta_c))/Rho_a+EXP(-Rho_a*LN((Top_c-AC148)/(Top_c-Floor_F))/Delta_c)*(-Cost_k*Delta_c*Floor_F/Rho_a)),(-Delay_D/Rho_a)),(EXP(-Rho_a*LN(AC148/Floor_F)/Delta_c)*(-Cost_k*Delta_c*Floor_F/Rho_a)))</f>
        <v>-335.745877992226</v>
      </c>
      <c r="AH148" s="22" t="n">
        <f aca="false">ABS(AF148-AG148)</f>
        <v>0</v>
      </c>
    </row>
    <row r="149" customFormat="false" ht="15" hidden="false" customHeight="false" outlineLevel="0" collapsed="false">
      <c r="O149" s="17" t="n">
        <f aca="false">30+129*$P$5</f>
        <v>62.25</v>
      </c>
      <c r="P149" s="17" t="n">
        <f aca="false">-Delta_c*O149</f>
        <v>-6.30413418808818</v>
      </c>
      <c r="R149" s="11" t="n">
        <f aca="false">(-P149/$P$5*R148)/(Rho_a-P149/$P$5)</f>
        <v>-208.145671456011</v>
      </c>
      <c r="S149" s="11" t="n">
        <f aca="false">IF(O149&lt;Floor_F,MAX((-(Cost_k*Ubar_c+Delay_D)*(1-EXP(-Rho_a*LN((Top_c-O149)/(Top_c-Floor_F))/Delta_c))/Rho_a+EXP(-Rho_a*LN((Top_c-O149)/(Top_c-Floor_F))/Delta_c)*(-Cost_k*Delta_c*Floor_F/Rho_a)),(-Delay_D/Rho_a)),(EXP(-Rho_a*LN(O149/Floor_F)/Delta_c)*(-Cost_k*Delta_c*Floor_F/Rho_a)))</f>
        <v>-208.045455752381</v>
      </c>
      <c r="T149" s="22" t="n">
        <f aca="false">ABS(R149-S149)</f>
        <v>0.100215703629686</v>
      </c>
      <c r="V149" s="17" t="n">
        <f aca="false">30+129*$W$5</f>
        <v>46.125</v>
      </c>
      <c r="W149" s="17" t="n">
        <f aca="false">Ubar_c-Delta_c*V149</f>
        <v>5.45598762061447</v>
      </c>
      <c r="X149" s="11" t="n">
        <f aca="false">(-(Cost_k*Ubar_c+Delay_D)+W149/$W$5*X150)/(Rho_a+W149/$W$5)</f>
        <v>-315.700291839875</v>
      </c>
      <c r="Y149" s="11" t="n">
        <f aca="false">MAX(X149,-Delay_D/Rho_a)</f>
        <v>-315.700291839875</v>
      </c>
      <c r="Z149" s="11" t="n">
        <f aca="false">IF(V149&lt;Floor_F,MAX((-(Cost_k*Ubar_c+Delay_D)*(1-EXP(-Rho_a*LN((Top_c-V149)/(Top_c-Floor_F))/Delta_c))/Rho_a+EXP(-Rho_a*LN((Top_c-V149)/(Top_c-Floor_F))/Delta_c)*(-Cost_k*Delta_c*Floor_F/Rho_a)),(-Delay_D/Rho_a)),(EXP(-Rho_a*LN(V149/Floor_F)/Delta_c)*(-Cost_k*Delta_c*Floor_F/Rho_a)))</f>
        <v>-315.88582727479</v>
      </c>
      <c r="AA149" s="22" t="n">
        <f aca="false">ABS(Y149-Z149)</f>
        <v>0.185535434915153</v>
      </c>
      <c r="AC149" s="17" t="n">
        <f aca="false">30+129*$AD$5</f>
        <v>38.0625</v>
      </c>
      <c r="AD149" s="17" t="n">
        <f aca="false">Ubar_c-Delta_c*AC149</f>
        <v>6.27248692810782</v>
      </c>
      <c r="AE149" s="11" t="n">
        <f aca="false">(-(Cost_k*Ubar_c+Delay_D)+AD149/$AD$5*AE150)/(Rho_a+AD149/$AD$5)</f>
        <v>-370.471355007985</v>
      </c>
      <c r="AF149" s="11" t="n">
        <f aca="false">MAX(AE149,-Delay_D/Rho_a)</f>
        <v>-335.745877992226</v>
      </c>
      <c r="AG149" s="11" t="n">
        <f aca="false">IF(AC149&lt;Floor_F,MAX((-(Cost_k*Ubar_c+Delay_D)*(1-EXP(-Rho_a*LN((Top_c-AC149)/(Top_c-Floor_F))/Delta_c))/Rho_a+EXP(-Rho_a*LN((Top_c-AC149)/(Top_c-Floor_F))/Delta_c)*(-Cost_k*Delta_c*Floor_F/Rho_a)),(-Delay_D/Rho_a)),(EXP(-Rho_a*LN(AC149/Floor_F)/Delta_c)*(-Cost_k*Delta_c*Floor_F/Rho_a)))</f>
        <v>-335.745877992226</v>
      </c>
      <c r="AH149" s="22" t="n">
        <f aca="false">ABS(AF149-AG149)</f>
        <v>0</v>
      </c>
    </row>
    <row r="150" customFormat="false" ht="15" hidden="false" customHeight="false" outlineLevel="0" collapsed="false">
      <c r="O150" s="17" t="n">
        <f aca="false">30+130*$P$5</f>
        <v>62.5</v>
      </c>
      <c r="P150" s="17" t="n">
        <f aca="false">-Delta_c*O150</f>
        <v>-6.32945199607247</v>
      </c>
      <c r="R150" s="11" t="n">
        <f aca="false">(-P150/$P$5*R149)/(Rho_a-P150/$P$5)</f>
        <v>-207.365035201779</v>
      </c>
      <c r="S150" s="11" t="n">
        <f aca="false">IF(O150&lt;Floor_F,MAX((-(Cost_k*Ubar_c+Delay_D)*(1-EXP(-Rho_a*LN((Top_c-O150)/(Top_c-Floor_F))/Delta_c))/Rho_a+EXP(-Rho_a*LN((Top_c-O150)/(Top_c-Floor_F))/Delta_c)*(-Cost_k*Delta_c*Floor_F/Rho_a)),(-Delay_D/Rho_a)),(EXP(-Rho_a*LN(O150/Floor_F)/Delta_c)*(-Cost_k*Delta_c*Floor_F/Rho_a)))</f>
        <v>-207.262165688278</v>
      </c>
      <c r="T150" s="22" t="n">
        <f aca="false">ABS(R150-S150)</f>
        <v>0.102869513500679</v>
      </c>
      <c r="V150" s="17" t="n">
        <f aca="false">30+130*$W$5</f>
        <v>46.25</v>
      </c>
      <c r="W150" s="17" t="n">
        <f aca="false">Ubar_c-Delta_c*V150</f>
        <v>5.44332871662233</v>
      </c>
      <c r="X150" s="11" t="n">
        <f aca="false">(-(Cost_k*Ubar_c+Delay_D)+W150/$W$5*X151)/(Rho_a+W150/$W$5)</f>
        <v>-314.728445765778</v>
      </c>
      <c r="Y150" s="11" t="n">
        <f aca="false">MAX(X150,-Delay_D/Rho_a)</f>
        <v>-314.728445765778</v>
      </c>
      <c r="Z150" s="11" t="n">
        <f aca="false">IF(V150&lt;Floor_F,MAX((-(Cost_k*Ubar_c+Delay_D)*(1-EXP(-Rho_a*LN((Top_c-V150)/(Top_c-Floor_F))/Delta_c))/Rho_a+EXP(-Rho_a*LN((Top_c-V150)/(Top_c-Floor_F))/Delta_c)*(-Cost_k*Delta_c*Floor_F/Rho_a)),(-Delay_D/Rho_a)),(EXP(-Rho_a*LN(V150/Floor_F)/Delta_c)*(-Cost_k*Delta_c*Floor_F/Rho_a)))</f>
        <v>-314.912193763301</v>
      </c>
      <c r="AA150" s="22" t="n">
        <f aca="false">ABS(Y150-Z150)</f>
        <v>0.183747997523142</v>
      </c>
      <c r="AC150" s="17" t="n">
        <f aca="false">30+130*$AD$5</f>
        <v>38.125</v>
      </c>
      <c r="AD150" s="17" t="n">
        <f aca="false">Ubar_c-Delta_c*AC150</f>
        <v>6.26615747611175</v>
      </c>
      <c r="AE150" s="11" t="n">
        <f aca="false">(-(Cost_k*Ubar_c+Delay_D)+AD150/$AD$5*AE151)/(Rho_a+AD150/$AD$5)</f>
        <v>-370.10070057555</v>
      </c>
      <c r="AF150" s="11" t="n">
        <f aca="false">MAX(AE150,-Delay_D/Rho_a)</f>
        <v>-335.745877992226</v>
      </c>
      <c r="AG150" s="11" t="n">
        <f aca="false">IF(AC150&lt;Floor_F,MAX((-(Cost_k*Ubar_c+Delay_D)*(1-EXP(-Rho_a*LN((Top_c-AC150)/(Top_c-Floor_F))/Delta_c))/Rho_a+EXP(-Rho_a*LN((Top_c-AC150)/(Top_c-Floor_F))/Delta_c)*(-Cost_k*Delta_c*Floor_F/Rho_a)),(-Delay_D/Rho_a)),(EXP(-Rho_a*LN(AC150/Floor_F)/Delta_c)*(-Cost_k*Delta_c*Floor_F/Rho_a)))</f>
        <v>-335.745877992226</v>
      </c>
      <c r="AH150" s="22" t="n">
        <f aca="false">ABS(AF150-AG150)</f>
        <v>0</v>
      </c>
    </row>
    <row r="151" customFormat="false" ht="15" hidden="false" customHeight="false" outlineLevel="0" collapsed="false">
      <c r="O151" s="17" t="n">
        <f aca="false">30+131*$P$5</f>
        <v>62.75</v>
      </c>
      <c r="P151" s="17" t="n">
        <f aca="false">-Delta_c*O151</f>
        <v>-6.35476980405676</v>
      </c>
      <c r="R151" s="11" t="n">
        <f aca="false">(-P151/$P$5*R150)/(Rho_a-P151/$P$5)</f>
        <v>-206.590413536983</v>
      </c>
      <c r="S151" s="11" t="n">
        <f aca="false">IF(O151&lt;Floor_F,MAX((-(Cost_k*Ubar_c+Delay_D)*(1-EXP(-Rho_a*LN((Top_c-O151)/(Top_c-Floor_F))/Delta_c))/Rho_a+EXP(-Rho_a*LN((Top_c-O151)/(Top_c-Floor_F))/Delta_c)*(-Cost_k*Delta_c*Floor_F/Rho_a)),(-Delay_D/Rho_a)),(EXP(-Rho_a*LN(O151/Floor_F)/Delta_c)*(-Cost_k*Delta_c*Floor_F/Rho_a)))</f>
        <v>-206.48493400095</v>
      </c>
      <c r="T151" s="22" t="n">
        <f aca="false">ABS(R151-S151)</f>
        <v>0.105479536032277</v>
      </c>
      <c r="V151" s="17" t="n">
        <f aca="false">30+131*$W$5</f>
        <v>46.375</v>
      </c>
      <c r="W151" s="17" t="n">
        <f aca="false">Ubar_c-Delta_c*V151</f>
        <v>5.43066981263018</v>
      </c>
      <c r="X151" s="11" t="n">
        <f aca="false">(-(Cost_k*Ubar_c+Delay_D)+W151/$W$5*X152)/(Rho_a+W151/$W$5)</f>
        <v>-313.752212512365</v>
      </c>
      <c r="Y151" s="11" t="n">
        <f aca="false">MAX(X151,-Delay_D/Rho_a)</f>
        <v>-313.752212512365</v>
      </c>
      <c r="Z151" s="11" t="n">
        <f aca="false">IF(V151&lt;Floor_F,MAX((-(Cost_k*Ubar_c+Delay_D)*(1-EXP(-Rho_a*LN((Top_c-V151)/(Top_c-Floor_F))/Delta_c))/Rho_a+EXP(-Rho_a*LN((Top_c-V151)/(Top_c-Floor_F))/Delta_c)*(-Cost_k*Delta_c*Floor_F/Rho_a)),(-Delay_D/Rho_a)),(EXP(-Rho_a*LN(V151/Floor_F)/Delta_c)*(-Cost_k*Delta_c*Floor_F/Rho_a)))</f>
        <v>-313.93415506005</v>
      </c>
      <c r="AA151" s="22" t="n">
        <f aca="false">ABS(Y151-Z151)</f>
        <v>0.181942547684628</v>
      </c>
      <c r="AC151" s="17" t="n">
        <f aca="false">30+131*$AD$5</f>
        <v>38.1875</v>
      </c>
      <c r="AD151" s="17" t="n">
        <f aca="false">Ubar_c-Delta_c*AC151</f>
        <v>6.25982802411568</v>
      </c>
      <c r="AE151" s="11" t="n">
        <f aca="false">(-(Cost_k*Ubar_c+Delay_D)+AD151/$AD$5*AE152)/(Rho_a+AD151/$AD$5)</f>
        <v>-369.729319384213</v>
      </c>
      <c r="AF151" s="11" t="n">
        <f aca="false">MAX(AE151,-Delay_D/Rho_a)</f>
        <v>-335.745877992226</v>
      </c>
      <c r="AG151" s="11" t="n">
        <f aca="false">IF(AC151&lt;Floor_F,MAX((-(Cost_k*Ubar_c+Delay_D)*(1-EXP(-Rho_a*LN((Top_c-AC151)/(Top_c-Floor_F))/Delta_c))/Rho_a+EXP(-Rho_a*LN((Top_c-AC151)/(Top_c-Floor_F))/Delta_c)*(-Cost_k*Delta_c*Floor_F/Rho_a)),(-Delay_D/Rho_a)),(EXP(-Rho_a*LN(AC151/Floor_F)/Delta_c)*(-Cost_k*Delta_c*Floor_F/Rho_a)))</f>
        <v>-335.745877992226</v>
      </c>
      <c r="AH151" s="22" t="n">
        <f aca="false">ABS(AF151-AG151)</f>
        <v>0</v>
      </c>
    </row>
    <row r="152" customFormat="false" ht="15" hidden="false" customHeight="false" outlineLevel="0" collapsed="false">
      <c r="O152" s="17" t="n">
        <f aca="false">30+132*$P$5</f>
        <v>63</v>
      </c>
      <c r="P152" s="17" t="n">
        <f aca="false">-Delta_c*O152</f>
        <v>-6.38008761204105</v>
      </c>
      <c r="R152" s="11" t="n">
        <f aca="false">(-P152/$P$5*R151)/(Rho_a-P152/$P$5)</f>
        <v>-205.821736525446</v>
      </c>
      <c r="S152" s="11" t="n">
        <f aca="false">IF(O152&lt;Floor_F,MAX((-(Cost_k*Ubar_c+Delay_D)*(1-EXP(-Rho_a*LN((Top_c-O152)/(Top_c-Floor_F))/Delta_c))/Rho_a+EXP(-Rho_a*LN((Top_c-O152)/(Top_c-Floor_F))/Delta_c)*(-Cost_k*Delta_c*Floor_F/Rho_a)),(-Delay_D/Rho_a)),(EXP(-Rho_a*LN(O152/Floor_F)/Delta_c)*(-Cost_k*Delta_c*Floor_F/Rho_a)))</f>
        <v>-205.713689973701</v>
      </c>
      <c r="T152" s="22" t="n">
        <f aca="false">ABS(R152-S152)</f>
        <v>0.108046551744025</v>
      </c>
      <c r="V152" s="17" t="n">
        <f aca="false">30+132*$W$5</f>
        <v>46.5</v>
      </c>
      <c r="W152" s="17" t="n">
        <f aca="false">Ubar_c-Delta_c*V152</f>
        <v>5.41801090863804</v>
      </c>
      <c r="X152" s="11" t="n">
        <f aca="false">(-(Cost_k*Ubar_c+Delay_D)+W152/$W$5*X153)/(Rho_a+W152/$W$5)</f>
        <v>-312.771562002017</v>
      </c>
      <c r="Y152" s="11" t="n">
        <f aca="false">MAX(X152,-Delay_D/Rho_a)</f>
        <v>-312.771562002017</v>
      </c>
      <c r="Z152" s="11" t="n">
        <f aca="false">IF(V152&lt;Floor_F,MAX((-(Cost_k*Ubar_c+Delay_D)*(1-EXP(-Rho_a*LN((Top_c-V152)/(Top_c-Floor_F))/Delta_c))/Rho_a+EXP(-Rho_a*LN((Top_c-V152)/(Top_c-Floor_F))/Delta_c)*(-Cost_k*Delta_c*Floor_F/Rho_a)),(-Delay_D/Rho_a)),(EXP(-Rho_a*LN(V152/Floor_F)/Delta_c)*(-Cost_k*Delta_c*Floor_F/Rho_a)))</f>
        <v>-312.951680895442</v>
      </c>
      <c r="AA152" s="22" t="n">
        <f aca="false">ABS(Y152-Z152)</f>
        <v>0.180118893424833</v>
      </c>
      <c r="AC152" s="17" t="n">
        <f aca="false">30+132*$AD$5</f>
        <v>38.25</v>
      </c>
      <c r="AD152" s="17" t="n">
        <f aca="false">Ubar_c-Delta_c*AC152</f>
        <v>6.25349857211961</v>
      </c>
      <c r="AE152" s="11" t="n">
        <f aca="false">(-(Cost_k*Ubar_c+Delay_D)+AD152/$AD$5*AE153)/(Rho_a+AD152/$AD$5)</f>
        <v>-369.357209272703</v>
      </c>
      <c r="AF152" s="11" t="n">
        <f aca="false">MAX(AE152,-Delay_D/Rho_a)</f>
        <v>-335.745877992226</v>
      </c>
      <c r="AG152" s="11" t="n">
        <f aca="false">IF(AC152&lt;Floor_F,MAX((-(Cost_k*Ubar_c+Delay_D)*(1-EXP(-Rho_a*LN((Top_c-AC152)/(Top_c-Floor_F))/Delta_c))/Rho_a+EXP(-Rho_a*LN((Top_c-AC152)/(Top_c-Floor_F))/Delta_c)*(-Cost_k*Delta_c*Floor_F/Rho_a)),(-Delay_D/Rho_a)),(EXP(-Rho_a*LN(AC152/Floor_F)/Delta_c)*(-Cost_k*Delta_c*Floor_F/Rho_a)))</f>
        <v>-335.745877992226</v>
      </c>
      <c r="AH152" s="22" t="n">
        <f aca="false">ABS(AF152-AG152)</f>
        <v>0</v>
      </c>
    </row>
    <row r="153" customFormat="false" ht="15" hidden="false" customHeight="false" outlineLevel="0" collapsed="false">
      <c r="O153" s="17" t="n">
        <f aca="false">30+133*$P$5</f>
        <v>63.25</v>
      </c>
      <c r="P153" s="17" t="n">
        <f aca="false">-Delta_c*O153</f>
        <v>-6.40540542002534</v>
      </c>
      <c r="R153" s="11" t="n">
        <f aca="false">(-P153/$P$5*R152)/(Rho_a-P153/$P$5)</f>
        <v>-205.058935316392</v>
      </c>
      <c r="S153" s="11" t="n">
        <f aca="false">IF(O153&lt;Floor_F,MAX((-(Cost_k*Ubar_c+Delay_D)*(1-EXP(-Rho_a*LN((Top_c-O153)/(Top_c-Floor_F))/Delta_c))/Rho_a+EXP(-Rho_a*LN((Top_c-O153)/(Top_c-Floor_F))/Delta_c)*(-Cost_k*Delta_c*Floor_F/Rho_a)),(-Delay_D/Rho_a)),(EXP(-Rho_a*LN(O153/Floor_F)/Delta_c)*(-Cost_k*Delta_c*Floor_F/Rho_a)))</f>
        <v>-204.948363991562</v>
      </c>
      <c r="T153" s="22" t="n">
        <f aca="false">ABS(R153-S153)</f>
        <v>0.11057132483046</v>
      </c>
      <c r="V153" s="17" t="n">
        <f aca="false">30+133*$W$5</f>
        <v>46.625</v>
      </c>
      <c r="W153" s="17" t="n">
        <f aca="false">Ubar_c-Delta_c*V153</f>
        <v>5.40535200464589</v>
      </c>
      <c r="X153" s="11" t="n">
        <f aca="false">(-(Cost_k*Ubar_c+Delay_D)+W153/$W$5*X154)/(Rho_a+W153/$W$5)</f>
        <v>-311.786463880151</v>
      </c>
      <c r="Y153" s="11" t="n">
        <f aca="false">MAX(X153,-Delay_D/Rho_a)</f>
        <v>-311.786463880151</v>
      </c>
      <c r="Z153" s="11" t="n">
        <f aca="false">IF(V153&lt;Floor_F,MAX((-(Cost_k*Ubar_c+Delay_D)*(1-EXP(-Rho_a*LN((Top_c-V153)/(Top_c-Floor_F))/Delta_c))/Rho_a+EXP(-Rho_a*LN((Top_c-V153)/(Top_c-Floor_F))/Delta_c)*(-Cost_k*Delta_c*Floor_F/Rho_a)),(-Delay_D/Rho_a)),(EXP(-Rho_a*LN(V153/Floor_F)/Delta_c)*(-Cost_k*Delta_c*Floor_F/Rho_a)))</f>
        <v>-311.964740720519</v>
      </c>
      <c r="AA153" s="22" t="n">
        <f aca="false">ABS(Y153-Z153)</f>
        <v>0.178276840367573</v>
      </c>
      <c r="AC153" s="17" t="n">
        <f aca="false">30+133*$AD$5</f>
        <v>38.3125</v>
      </c>
      <c r="AD153" s="17" t="n">
        <f aca="false">Ubar_c-Delta_c*AC153</f>
        <v>6.24716912012353</v>
      </c>
      <c r="AE153" s="11" t="n">
        <f aca="false">(-(Cost_k*Ubar_c+Delay_D)+AD153/$AD$5*AE154)/(Rho_a+AD153/$AD$5)</f>
        <v>-368.984368071126</v>
      </c>
      <c r="AF153" s="11" t="n">
        <f aca="false">MAX(AE153,-Delay_D/Rho_a)</f>
        <v>-335.745877992226</v>
      </c>
      <c r="AG153" s="11" t="n">
        <f aca="false">IF(AC153&lt;Floor_F,MAX((-(Cost_k*Ubar_c+Delay_D)*(1-EXP(-Rho_a*LN((Top_c-AC153)/(Top_c-Floor_F))/Delta_c))/Rho_a+EXP(-Rho_a*LN((Top_c-AC153)/(Top_c-Floor_F))/Delta_c)*(-Cost_k*Delta_c*Floor_F/Rho_a)),(-Delay_D/Rho_a)),(EXP(-Rho_a*LN(AC153/Floor_F)/Delta_c)*(-Cost_k*Delta_c*Floor_F/Rho_a)))</f>
        <v>-335.745877992226</v>
      </c>
      <c r="AH153" s="22" t="n">
        <f aca="false">ABS(AF153-AG153)</f>
        <v>0</v>
      </c>
    </row>
    <row r="154" customFormat="false" ht="15" hidden="false" customHeight="false" outlineLevel="0" collapsed="false">
      <c r="O154" s="17" t="n">
        <f aca="false">30+134*$P$5</f>
        <v>63.5</v>
      </c>
      <c r="P154" s="17" t="n">
        <f aca="false">-Delta_c*O154</f>
        <v>-6.43072322800963</v>
      </c>
      <c r="R154" s="11" t="n">
        <f aca="false">(-P154/$P$5*R153)/(Rho_a-P154/$P$5)</f>
        <v>-204.301942123413</v>
      </c>
      <c r="S154" s="11" t="n">
        <f aca="false">IF(O154&lt;Floor_F,MAX((-(Cost_k*Ubar_c+Delay_D)*(1-EXP(-Rho_a*LN((Top_c-O154)/(Top_c-Floor_F))/Delta_c))/Rho_a+EXP(-Rho_a*LN((Top_c-O154)/(Top_c-Floor_F))/Delta_c)*(-Cost_k*Delta_c*Floor_F/Rho_a)),(-Delay_D/Rho_a)),(EXP(-Rho_a*LN(O154/Floor_F)/Delta_c)*(-Cost_k*Delta_c*Floor_F/Rho_a)))</f>
        <v>-204.188887519853</v>
      </c>
      <c r="T154" s="22" t="n">
        <f aca="false">ABS(R154-S154)</f>
        <v>0.113054603559533</v>
      </c>
      <c r="V154" s="17" t="n">
        <f aca="false">30+134*$W$5</f>
        <v>46.75</v>
      </c>
      <c r="W154" s="17" t="n">
        <f aca="false">Ubar_c-Delta_c*V154</f>
        <v>5.39269310065375</v>
      </c>
      <c r="X154" s="11" t="n">
        <f aca="false">(-(Cost_k*Ubar_c+Delay_D)+W154/$W$5*X155)/(Rho_a+W154/$W$5)</f>
        <v>-310.796887512019</v>
      </c>
      <c r="Y154" s="11" t="n">
        <f aca="false">MAX(X154,-Delay_D/Rho_a)</f>
        <v>-310.796887512019</v>
      </c>
      <c r="Z154" s="11" t="n">
        <f aca="false">IF(V154&lt;Floor_F,MAX((-(Cost_k*Ubar_c+Delay_D)*(1-EXP(-Rho_a*LN((Top_c-V154)/(Top_c-Floor_F))/Delta_c))/Rho_a+EXP(-Rho_a*LN((Top_c-V154)/(Top_c-Floor_F))/Delta_c)*(-Cost_k*Delta_c*Floor_F/Rho_a)),(-Delay_D/Rho_a)),(EXP(-Rho_a*LN(V154/Floor_F)/Delta_c)*(-Cost_k*Delta_c*Floor_F/Rho_a)))</f>
        <v>-310.973303703719</v>
      </c>
      <c r="AA154" s="22" t="n">
        <f aca="false">ABS(Y154-Z154)</f>
        <v>0.176416191700355</v>
      </c>
      <c r="AC154" s="17" t="n">
        <f aca="false">30+134*$AD$5</f>
        <v>38.375</v>
      </c>
      <c r="AD154" s="17" t="n">
        <f aca="false">Ubar_c-Delta_c*AC154</f>
        <v>6.24083966812746</v>
      </c>
      <c r="AE154" s="11" t="n">
        <f aca="false">(-(Cost_k*Ubar_c+Delay_D)+AD154/$AD$5*AE155)/(Rho_a+AD154/$AD$5)</f>
        <v>-368.610793600924</v>
      </c>
      <c r="AF154" s="11" t="n">
        <f aca="false">MAX(AE154,-Delay_D/Rho_a)</f>
        <v>-335.745877992226</v>
      </c>
      <c r="AG154" s="11" t="n">
        <f aca="false">IF(AC154&lt;Floor_F,MAX((-(Cost_k*Ubar_c+Delay_D)*(1-EXP(-Rho_a*LN((Top_c-AC154)/(Top_c-Floor_F))/Delta_c))/Rho_a+EXP(-Rho_a*LN((Top_c-AC154)/(Top_c-Floor_F))/Delta_c)*(-Cost_k*Delta_c*Floor_F/Rho_a)),(-Delay_D/Rho_a)),(EXP(-Rho_a*LN(AC154/Floor_F)/Delta_c)*(-Cost_k*Delta_c*Floor_F/Rho_a)))</f>
        <v>-335.745877992226</v>
      </c>
      <c r="AH154" s="22" t="n">
        <f aca="false">ABS(AF154-AG154)</f>
        <v>0</v>
      </c>
    </row>
    <row r="155" customFormat="false" ht="15" hidden="false" customHeight="false" outlineLevel="0" collapsed="false">
      <c r="O155" s="17" t="n">
        <f aca="false">30+135*$P$5</f>
        <v>63.75</v>
      </c>
      <c r="P155" s="17" t="n">
        <f aca="false">-Delta_c*O155</f>
        <v>-6.45604103599392</v>
      </c>
      <c r="R155" s="11" t="n">
        <f aca="false">(-P155/$P$5*R154)/(Rho_a-P155/$P$5)</f>
        <v>-203.550690203913</v>
      </c>
      <c r="S155" s="11" t="n">
        <f aca="false">IF(O155&lt;Floor_F,MAX((-(Cost_k*Ubar_c+Delay_D)*(1-EXP(-Rho_a*LN((Top_c-O155)/(Top_c-Floor_F))/Delta_c))/Rho_a+EXP(-Rho_a*LN((Top_c-O155)/(Top_c-Floor_F))/Delta_c)*(-Cost_k*Delta_c*Floor_F/Rho_a)),(-Delay_D/Rho_a)),(EXP(-Rho_a*LN(O155/Floor_F)/Delta_c)*(-Cost_k*Delta_c*Floor_F/Rho_a)))</f>
        <v>-203.435193083254</v>
      </c>
      <c r="T155" s="22" t="n">
        <f aca="false">ABS(R155-S155)</f>
        <v>0.115497120659086</v>
      </c>
      <c r="V155" s="17" t="n">
        <f aca="false">30+135*$W$5</f>
        <v>46.875</v>
      </c>
      <c r="W155" s="17" t="n">
        <f aca="false">Ubar_c-Delta_c*V155</f>
        <v>5.3800341966616</v>
      </c>
      <c r="X155" s="11" t="n">
        <f aca="false">(-(Cost_k*Ubar_c+Delay_D)+W155/$W$5*X156)/(Rho_a+W155/$W$5)</f>
        <v>-309.802801979452</v>
      </c>
      <c r="Y155" s="11" t="n">
        <f aca="false">MAX(X155,-Delay_D/Rho_a)</f>
        <v>-309.802801979452</v>
      </c>
      <c r="Z155" s="11" t="n">
        <f aca="false">IF(V155&lt;Floor_F,MAX((-(Cost_k*Ubar_c+Delay_D)*(1-EXP(-Rho_a*LN((Top_c-V155)/(Top_c-Floor_F))/Delta_c))/Rho_a+EXP(-Rho_a*LN((Top_c-V155)/(Top_c-Floor_F))/Delta_c)*(-Cost_k*Delta_c*Floor_F/Rho_a)),(-Delay_D/Rho_a)),(EXP(-Rho_a*LN(V155/Floor_F)/Delta_c)*(-Cost_k*Delta_c*Floor_F/Rho_a)))</f>
        <v>-309.97733872759</v>
      </c>
      <c r="AA155" s="22" t="n">
        <f aca="false">ABS(Y155-Z155)</f>
        <v>0.174536748138564</v>
      </c>
      <c r="AC155" s="17" t="n">
        <f aca="false">30+135*$AD$5</f>
        <v>38.4375</v>
      </c>
      <c r="AD155" s="17" t="n">
        <f aca="false">Ubar_c-Delta_c*AC155</f>
        <v>6.23451021613139</v>
      </c>
      <c r="AE155" s="11" t="n">
        <f aca="false">(-(Cost_k*Ubar_c+Delay_D)+AD155/$AD$5*AE156)/(Rho_a+AD155/$AD$5)</f>
        <v>-368.236483674831</v>
      </c>
      <c r="AF155" s="11" t="n">
        <f aca="false">MAX(AE155,-Delay_D/Rho_a)</f>
        <v>-335.745877992226</v>
      </c>
      <c r="AG155" s="11" t="n">
        <f aca="false">IF(AC155&lt;Floor_F,MAX((-(Cost_k*Ubar_c+Delay_D)*(1-EXP(-Rho_a*LN((Top_c-AC155)/(Top_c-Floor_F))/Delta_c))/Rho_a+EXP(-Rho_a*LN((Top_c-AC155)/(Top_c-Floor_F))/Delta_c)*(-Cost_k*Delta_c*Floor_F/Rho_a)),(-Delay_D/Rho_a)),(EXP(-Rho_a*LN(AC155/Floor_F)/Delta_c)*(-Cost_k*Delta_c*Floor_F/Rho_a)))</f>
        <v>-335.745877992226</v>
      </c>
      <c r="AH155" s="22" t="n">
        <f aca="false">ABS(AF155-AG155)</f>
        <v>0</v>
      </c>
    </row>
    <row r="156" customFormat="false" ht="15" hidden="false" customHeight="false" outlineLevel="0" collapsed="false">
      <c r="O156" s="17" t="n">
        <f aca="false">30+136*$P$5</f>
        <v>64</v>
      </c>
      <c r="P156" s="17" t="n">
        <f aca="false">-Delta_c*O156</f>
        <v>-6.48135884397821</v>
      </c>
      <c r="R156" s="11" t="n">
        <f aca="false">(-P156/$P$5*R155)/(Rho_a-P156/$P$5)</f>
        <v>-202.805113839044</v>
      </c>
      <c r="S156" s="11" t="n">
        <f aca="false">IF(O156&lt;Floor_F,MAX((-(Cost_k*Ubar_c+Delay_D)*(1-EXP(-Rho_a*LN((Top_c-O156)/(Top_c-Floor_F))/Delta_c))/Rho_a+EXP(-Rho_a*LN((Top_c-O156)/(Top_c-Floor_F))/Delta_c)*(-Cost_k*Delta_c*Floor_F/Rho_a)),(-Delay_D/Rho_a)),(EXP(-Rho_a*LN(O156/Floor_F)/Delta_c)*(-Cost_k*Delta_c*Floor_F/Rho_a)))</f>
        <v>-202.68721424535</v>
      </c>
      <c r="T156" s="22" t="n">
        <f aca="false">ABS(R156-S156)</f>
        <v>0.117899593693153</v>
      </c>
      <c r="V156" s="17" t="n">
        <f aca="false">30+136*$W$5</f>
        <v>47</v>
      </c>
      <c r="W156" s="17" t="n">
        <f aca="false">Ubar_c-Delta_c*V156</f>
        <v>5.36737529266946</v>
      </c>
      <c r="X156" s="11" t="n">
        <f aca="false">(-(Cost_k*Ubar_c+Delay_D)+W156/$W$5*X157)/(Rho_a+W156/$W$5)</f>
        <v>-308.804176077571</v>
      </c>
      <c r="Y156" s="11" t="n">
        <f aca="false">MAX(X156,-Delay_D/Rho_a)</f>
        <v>-308.804176077571</v>
      </c>
      <c r="Z156" s="11" t="n">
        <f aca="false">IF(V156&lt;Floor_F,MAX((-(Cost_k*Ubar_c+Delay_D)*(1-EXP(-Rho_a*LN((Top_c-V156)/(Top_c-Floor_F))/Delta_c))/Rho_a+EXP(-Rho_a*LN((Top_c-V156)/(Top_c-Floor_F))/Delta_c)*(-Cost_k*Delta_c*Floor_F/Rho_a)),(-Delay_D/Rho_a)),(EXP(-Rho_a*LN(V156/Floor_F)/Delta_c)*(-Cost_k*Delta_c*Floor_F/Rho_a)))</f>
        <v>-308.97681438546</v>
      </c>
      <c r="AA156" s="22" t="n">
        <f aca="false">ABS(Y156-Z156)</f>
        <v>0.172638307888803</v>
      </c>
      <c r="AC156" s="17" t="n">
        <f aca="false">30+136*$AD$5</f>
        <v>38.5</v>
      </c>
      <c r="AD156" s="17" t="n">
        <f aca="false">Ubar_c-Delta_c*AC156</f>
        <v>6.22818076413532</v>
      </c>
      <c r="AE156" s="11" t="n">
        <f aca="false">(-(Cost_k*Ubar_c+Delay_D)+AD156/$AD$5*AE157)/(Rho_a+AD156/$AD$5)</f>
        <v>-367.86143609683</v>
      </c>
      <c r="AF156" s="11" t="n">
        <f aca="false">MAX(AE156,-Delay_D/Rho_a)</f>
        <v>-335.745877992226</v>
      </c>
      <c r="AG156" s="11" t="n">
        <f aca="false">IF(AC156&lt;Floor_F,MAX((-(Cost_k*Ubar_c+Delay_D)*(1-EXP(-Rho_a*LN((Top_c-AC156)/(Top_c-Floor_F))/Delta_c))/Rho_a+EXP(-Rho_a*LN((Top_c-AC156)/(Top_c-Floor_F))/Delta_c)*(-Cost_k*Delta_c*Floor_F/Rho_a)),(-Delay_D/Rho_a)),(EXP(-Rho_a*LN(AC156/Floor_F)/Delta_c)*(-Cost_k*Delta_c*Floor_F/Rho_a)))</f>
        <v>-335.745877992226</v>
      </c>
      <c r="AH156" s="22" t="n">
        <f aca="false">ABS(AF156-AG156)</f>
        <v>0</v>
      </c>
    </row>
    <row r="157" customFormat="false" ht="15" hidden="false" customHeight="false" outlineLevel="0" collapsed="false">
      <c r="O157" s="17" t="n">
        <f aca="false">30+137*$P$5</f>
        <v>64.25</v>
      </c>
      <c r="P157" s="17" t="n">
        <f aca="false">-Delta_c*O157</f>
        <v>-6.5066766519625</v>
      </c>
      <c r="R157" s="11" t="n">
        <f aca="false">(-P157/$P$5*R156)/(Rho_a-P157/$P$5)</f>
        <v>-202.065148314086</v>
      </c>
      <c r="S157" s="11" t="n">
        <f aca="false">IF(O157&lt;Floor_F,MAX((-(Cost_k*Ubar_c+Delay_D)*(1-EXP(-Rho_a*LN((Top_c-O157)/(Top_c-Floor_F))/Delta_c))/Rho_a+EXP(-Rho_a*LN((Top_c-O157)/(Top_c-Floor_F))/Delta_c)*(-Cost_k*Delta_c*Floor_F/Rho_a)),(-Delay_D/Rho_a)),(EXP(-Rho_a*LN(O157/Floor_F)/Delta_c)*(-Cost_k*Delta_c*Floor_F/Rho_a)))</f>
        <v>-201.944885588658</v>
      </c>
      <c r="T157" s="22" t="n">
        <f aca="false">ABS(R157-S157)</f>
        <v>0.120262725427779</v>
      </c>
      <c r="V157" s="17" t="n">
        <f aca="false">30+137*$W$5</f>
        <v>47.125</v>
      </c>
      <c r="W157" s="17" t="n">
        <f aca="false">Ubar_c-Delta_c*V157</f>
        <v>5.35471638867731</v>
      </c>
      <c r="X157" s="11" t="n">
        <f aca="false">(-(Cost_k*Ubar_c+Delay_D)+W157/$W$5*X158)/(Rho_a+W157/$W$5)</f>
        <v>-307.800978311444</v>
      </c>
      <c r="Y157" s="11" t="n">
        <f aca="false">MAX(X157,-Delay_D/Rho_a)</f>
        <v>-307.800978311444</v>
      </c>
      <c r="Z157" s="11" t="n">
        <f aca="false">IF(V157&lt;Floor_F,MAX((-(Cost_k*Ubar_c+Delay_D)*(1-EXP(-Rho_a*LN((Top_c-V157)/(Top_c-Floor_F))/Delta_c))/Rho_a+EXP(-Rho_a*LN((Top_c-V157)/(Top_c-Floor_F))/Delta_c)*(-Cost_k*Delta_c*Floor_F/Rho_a)),(-Delay_D/Rho_a)),(EXP(-Rho_a*LN(V157/Floor_F)/Delta_c)*(-Cost_k*Delta_c*Floor_F/Rho_a)))</f>
        <v>-307.971698978056</v>
      </c>
      <c r="AA157" s="22" t="n">
        <f aca="false">ABS(Y157-Z157)</f>
        <v>0.170720666612283</v>
      </c>
      <c r="AC157" s="17" t="n">
        <f aca="false">30+137*$AD$5</f>
        <v>38.5625</v>
      </c>
      <c r="AD157" s="17" t="n">
        <f aca="false">Ubar_c-Delta_c*AC157</f>
        <v>6.22185131213924</v>
      </c>
      <c r="AE157" s="11" t="n">
        <f aca="false">(-(Cost_k*Ubar_c+Delay_D)+AD157/$AD$5*AE158)/(Rho_a+AD157/$AD$5)</f>
        <v>-367.485648662108</v>
      </c>
      <c r="AF157" s="11" t="n">
        <f aca="false">MAX(AE157,-Delay_D/Rho_a)</f>
        <v>-335.745877992226</v>
      </c>
      <c r="AG157" s="11" t="n">
        <f aca="false">IF(AC157&lt;Floor_F,MAX((-(Cost_k*Ubar_c+Delay_D)*(1-EXP(-Rho_a*LN((Top_c-AC157)/(Top_c-Floor_F))/Delta_c))/Rho_a+EXP(-Rho_a*LN((Top_c-AC157)/(Top_c-Floor_F))/Delta_c)*(-Cost_k*Delta_c*Floor_F/Rho_a)),(-Delay_D/Rho_a)),(EXP(-Rho_a*LN(AC157/Floor_F)/Delta_c)*(-Cost_k*Delta_c*Floor_F/Rho_a)))</f>
        <v>-335.745877992226</v>
      </c>
      <c r="AH157" s="22" t="n">
        <f aca="false">ABS(AF157-AG157)</f>
        <v>0</v>
      </c>
    </row>
    <row r="158" customFormat="false" ht="15" hidden="false" customHeight="false" outlineLevel="0" collapsed="false">
      <c r="O158" s="17" t="n">
        <f aca="false">30+138*$P$5</f>
        <v>64.5</v>
      </c>
      <c r="P158" s="17" t="n">
        <f aca="false">-Delta_c*O158</f>
        <v>-6.53199445994679</v>
      </c>
      <c r="R158" s="11" t="n">
        <f aca="false">(-P158/$P$5*R157)/(Rho_a-P158/$P$5)</f>
        <v>-201.330729899293</v>
      </c>
      <c r="S158" s="11" t="n">
        <f aca="false">IF(O158&lt;Floor_F,MAX((-(Cost_k*Ubar_c+Delay_D)*(1-EXP(-Rho_a*LN((Top_c-O158)/(Top_c-Floor_F))/Delta_c))/Rho_a+EXP(-Rho_a*LN((Top_c-O158)/(Top_c-Floor_F))/Delta_c)*(-Cost_k*Delta_c*Floor_F/Rho_a)),(-Delay_D/Rho_a)),(EXP(-Rho_a*LN(O158/Floor_F)/Delta_c)*(-Cost_k*Delta_c*Floor_F/Rho_a)))</f>
        <v>-201.208142695107</v>
      </c>
      <c r="T158" s="22" t="n">
        <f aca="false">ABS(R158-S158)</f>
        <v>0.12258720418609</v>
      </c>
      <c r="V158" s="17" t="n">
        <f aca="false">30+138*$W$5</f>
        <v>47.25</v>
      </c>
      <c r="W158" s="17" t="n">
        <f aca="false">Ubar_c-Delta_c*V158</f>
        <v>5.34205748468517</v>
      </c>
      <c r="X158" s="11" t="n">
        <f aca="false">(-(Cost_k*Ubar_c+Delay_D)+W158/$W$5*X159)/(Rho_a+W158/$W$5)</f>
        <v>-306.793176892695</v>
      </c>
      <c r="Y158" s="11" t="n">
        <f aca="false">MAX(X158,-Delay_D/Rho_a)</f>
        <v>-306.793176892695</v>
      </c>
      <c r="Z158" s="11" t="n">
        <f aca="false">IF(V158&lt;Floor_F,MAX((-(Cost_k*Ubar_c+Delay_D)*(1-EXP(-Rho_a*LN((Top_c-V158)/(Top_c-Floor_F))/Delta_c))/Rho_a+EXP(-Rho_a*LN((Top_c-V158)/(Top_c-Floor_F))/Delta_c)*(-Cost_k*Delta_c*Floor_F/Rho_a)),(-Delay_D/Rho_a)),(EXP(-Rho_a*LN(V158/Floor_F)/Delta_c)*(-Cost_k*Delta_c*Floor_F/Rho_a)))</f>
        <v>-306.961960510082</v>
      </c>
      <c r="AA158" s="22" t="n">
        <f aca="false">ABS(Y158-Z158)</f>
        <v>0.168783617387248</v>
      </c>
      <c r="AC158" s="17" t="n">
        <f aca="false">30+138*$AD$5</f>
        <v>38.625</v>
      </c>
      <c r="AD158" s="17" t="n">
        <f aca="false">Ubar_c-Delta_c*AC158</f>
        <v>6.21552186014317</v>
      </c>
      <c r="AE158" s="11" t="n">
        <f aca="false">(-(Cost_k*Ubar_c+Delay_D)+AD158/$AD$5*AE159)/(Rho_a+AD158/$AD$5)</f>
        <v>-367.109119157013</v>
      </c>
      <c r="AF158" s="11" t="n">
        <f aca="false">MAX(AE158,-Delay_D/Rho_a)</f>
        <v>-335.745877992226</v>
      </c>
      <c r="AG158" s="11" t="n">
        <f aca="false">IF(AC158&lt;Floor_F,MAX((-(Cost_k*Ubar_c+Delay_D)*(1-EXP(-Rho_a*LN((Top_c-AC158)/(Top_c-Floor_F))/Delta_c))/Rho_a+EXP(-Rho_a*LN((Top_c-AC158)/(Top_c-Floor_F))/Delta_c)*(-Cost_k*Delta_c*Floor_F/Rho_a)),(-Delay_D/Rho_a)),(EXP(-Rho_a*LN(AC158/Floor_F)/Delta_c)*(-Cost_k*Delta_c*Floor_F/Rho_a)))</f>
        <v>-335.745877992226</v>
      </c>
      <c r="AH158" s="22" t="n">
        <f aca="false">ABS(AF158-AG158)</f>
        <v>0</v>
      </c>
    </row>
    <row r="159" customFormat="false" ht="15" hidden="false" customHeight="false" outlineLevel="0" collapsed="false">
      <c r="O159" s="17" t="n">
        <f aca="false">30+139*$P$5</f>
        <v>64.75</v>
      </c>
      <c r="P159" s="17" t="n">
        <f aca="false">-Delta_c*O159</f>
        <v>-6.55731226793108</v>
      </c>
      <c r="R159" s="11" t="n">
        <f aca="false">(-P159/$P$5*R158)/(Rho_a-P159/$P$5)</f>
        <v>-200.601795831167</v>
      </c>
      <c r="S159" s="11" t="n">
        <f aca="false">IF(O159&lt;Floor_F,MAX((-(Cost_k*Ubar_c+Delay_D)*(1-EXP(-Rho_a*LN((Top_c-O159)/(Top_c-Floor_F))/Delta_c))/Rho_a+EXP(-Rho_a*LN((Top_c-O159)/(Top_c-Floor_F))/Delta_c)*(-Cost_k*Delta_c*Floor_F/Rho_a)),(-Delay_D/Rho_a)),(EXP(-Rho_a*LN(O159/Floor_F)/Delta_c)*(-Cost_k*Delta_c*Floor_F/Rho_a)))</f>
        <v>-200.476922126972</v>
      </c>
      <c r="T159" s="22" t="n">
        <f aca="false">ABS(R159-S159)</f>
        <v>0.124873704194556</v>
      </c>
      <c r="V159" s="17" t="n">
        <f aca="false">30+139*$W$5</f>
        <v>47.375</v>
      </c>
      <c r="W159" s="17" t="n">
        <f aca="false">Ubar_c-Delta_c*V159</f>
        <v>5.32939858069303</v>
      </c>
      <c r="X159" s="11" t="n">
        <f aca="false">(-(Cost_k*Ubar_c+Delay_D)+W159/$W$5*X160)/(Rho_a+W159/$W$5)</f>
        <v>-305.780739736072</v>
      </c>
      <c r="Y159" s="11" t="n">
        <f aca="false">MAX(X159,-Delay_D/Rho_a)</f>
        <v>-305.780739736072</v>
      </c>
      <c r="Z159" s="11" t="n">
        <f aca="false">IF(V159&lt;Floor_F,MAX((-(Cost_k*Ubar_c+Delay_D)*(1-EXP(-Rho_a*LN((Top_c-V159)/(Top_c-Floor_F))/Delta_c))/Rho_a+EXP(-Rho_a*LN((Top_c-V159)/(Top_c-Floor_F))/Delta_c)*(-Cost_k*Delta_c*Floor_F/Rho_a)),(-Delay_D/Rho_a)),(EXP(-Rho_a*LN(V159/Floor_F)/Delta_c)*(-Cost_k*Delta_c*Floor_F/Rho_a)))</f>
        <v>-305.947566686742</v>
      </c>
      <c r="AA159" s="22" t="n">
        <f aca="false">ABS(Y159-Z159)</f>
        <v>0.166826950670213</v>
      </c>
      <c r="AC159" s="17" t="n">
        <f aca="false">30+139*$AD$5</f>
        <v>38.6875</v>
      </c>
      <c r="AD159" s="17" t="n">
        <f aca="false">Ubar_c-Delta_c*AC159</f>
        <v>6.2091924081471</v>
      </c>
      <c r="AE159" s="11" t="n">
        <f aca="false">(-(Cost_k*Ubar_c+Delay_D)+AD159/$AD$5*AE160)/(Rho_a+AD159/$AD$5)</f>
        <v>-366.731845359008</v>
      </c>
      <c r="AF159" s="11" t="n">
        <f aca="false">MAX(AE159,-Delay_D/Rho_a)</f>
        <v>-335.745877992226</v>
      </c>
      <c r="AG159" s="11" t="n">
        <f aca="false">IF(AC159&lt;Floor_F,MAX((-(Cost_k*Ubar_c+Delay_D)*(1-EXP(-Rho_a*LN((Top_c-AC159)/(Top_c-Floor_F))/Delta_c))/Rho_a+EXP(-Rho_a*LN((Top_c-AC159)/(Top_c-Floor_F))/Delta_c)*(-Cost_k*Delta_c*Floor_F/Rho_a)),(-Delay_D/Rho_a)),(EXP(-Rho_a*LN(AC159/Floor_F)/Delta_c)*(-Cost_k*Delta_c*Floor_F/Rho_a)))</f>
        <v>-335.745877992226</v>
      </c>
      <c r="AH159" s="22" t="n">
        <f aca="false">ABS(AF159-AG159)</f>
        <v>0</v>
      </c>
    </row>
    <row r="160" customFormat="false" ht="15" hidden="false" customHeight="false" outlineLevel="0" collapsed="false">
      <c r="O160" s="17" t="n">
        <f aca="false">30+140*$P$5</f>
        <v>65</v>
      </c>
      <c r="P160" s="17" t="n">
        <f aca="false">-Delta_c*O160</f>
        <v>-6.58263007591537</v>
      </c>
      <c r="R160" s="11" t="n">
        <f aca="false">(-P160/$P$5*R159)/(Rho_a-P160/$P$5)</f>
        <v>-199.878284294161</v>
      </c>
      <c r="S160" s="11" t="n">
        <f aca="false">IF(O160&lt;Floor_F,MAX((-(Cost_k*Ubar_c+Delay_D)*(1-EXP(-Rho_a*LN((Top_c-O160)/(Top_c-Floor_F))/Delta_c))/Rho_a+EXP(-Rho_a*LN((Top_c-O160)/(Top_c-Floor_F))/Delta_c)*(-Cost_k*Delta_c*Floor_F/Rho_a)),(-Delay_D/Rho_a)),(EXP(-Rho_a*LN(O160/Floor_F)/Delta_c)*(-Cost_k*Delta_c*Floor_F/Rho_a)))</f>
        <v>-199.751161408243</v>
      </c>
      <c r="T160" s="22" t="n">
        <f aca="false">ABS(R160-S160)</f>
        <v>0.127122885918851</v>
      </c>
      <c r="V160" s="17" t="n">
        <f aca="false">30+140*$W$5</f>
        <v>47.5</v>
      </c>
      <c r="W160" s="17" t="n">
        <f aca="false">Ubar_c-Delta_c*V160</f>
        <v>5.31673967670088</v>
      </c>
      <c r="X160" s="11" t="n">
        <f aca="false">(-(Cost_k*Ubar_c+Delay_D)+W160/$W$5*X161)/(Rho_a+W160/$W$5)</f>
        <v>-304.763634455961</v>
      </c>
      <c r="Y160" s="11" t="n">
        <f aca="false">MAX(X160,-Delay_D/Rho_a)</f>
        <v>-304.763634455961</v>
      </c>
      <c r="Z160" s="11" t="n">
        <f aca="false">IF(V160&lt;Floor_F,MAX((-(Cost_k*Ubar_c+Delay_D)*(1-EXP(-Rho_a*LN((Top_c-V160)/(Top_c-Floor_F))/Delta_c))/Rho_a+EXP(-Rho_a*LN((Top_c-V160)/(Top_c-Floor_F))/Delta_c)*(-Cost_k*Delta_c*Floor_F/Rho_a)),(-Delay_D/Rho_a)),(EXP(-Rho_a*LN(V160/Floor_F)/Delta_c)*(-Cost_k*Delta_c*Floor_F/Rho_a)))</f>
        <v>-304.928484910219</v>
      </c>
      <c r="AA160" s="22" t="n">
        <f aca="false">ABS(Y160-Z160)</f>
        <v>0.16485045425793</v>
      </c>
      <c r="AC160" s="17" t="n">
        <f aca="false">30+140*$AD$5</f>
        <v>38.75</v>
      </c>
      <c r="AD160" s="17" t="n">
        <f aca="false">Ubar_c-Delta_c*AC160</f>
        <v>6.20286295615103</v>
      </c>
      <c r="AE160" s="11" t="n">
        <f aca="false">(-(Cost_k*Ubar_c+Delay_D)+AD160/$AD$5*AE161)/(Rho_a+AD160/$AD$5)</f>
        <v>-366.353825036626</v>
      </c>
      <c r="AF160" s="11" t="n">
        <f aca="false">MAX(AE160,-Delay_D/Rho_a)</f>
        <v>-335.745877992226</v>
      </c>
      <c r="AG160" s="11" t="n">
        <f aca="false">IF(AC160&lt;Floor_F,MAX((-(Cost_k*Ubar_c+Delay_D)*(1-EXP(-Rho_a*LN((Top_c-AC160)/(Top_c-Floor_F))/Delta_c))/Rho_a+EXP(-Rho_a*LN((Top_c-AC160)/(Top_c-Floor_F))/Delta_c)*(-Cost_k*Delta_c*Floor_F/Rho_a)),(-Delay_D/Rho_a)),(EXP(-Rho_a*LN(AC160/Floor_F)/Delta_c)*(-Cost_k*Delta_c*Floor_F/Rho_a)))</f>
        <v>-335.745877992226</v>
      </c>
      <c r="AH160" s="22" t="n">
        <f aca="false">ABS(AF160-AG160)</f>
        <v>0</v>
      </c>
    </row>
    <row r="161" customFormat="false" ht="15" hidden="false" customHeight="false" outlineLevel="0" collapsed="false">
      <c r="O161" s="17" t="n">
        <f aca="false">30+141*$P$5</f>
        <v>65.25</v>
      </c>
      <c r="P161" s="17" t="n">
        <f aca="false">-Delta_c*O161</f>
        <v>-6.60794788389966</v>
      </c>
      <c r="R161" s="11" t="n">
        <f aca="false">(-P161/$P$5*R160)/(Rho_a-P161/$P$5)</f>
        <v>-199.1601344028</v>
      </c>
      <c r="S161" s="11" t="n">
        <f aca="false">IF(O161&lt;Floor_F,MAX((-(Cost_k*Ubar_c+Delay_D)*(1-EXP(-Rho_a*LN((Top_c-O161)/(Top_c-Floor_F))/Delta_c))/Rho_a+EXP(-Rho_a*LN((Top_c-O161)/(Top_c-Floor_F))/Delta_c)*(-Cost_k*Delta_c*Floor_F/Rho_a)),(-Delay_D/Rho_a)),(EXP(-Rho_a*LN(O161/Floor_F)/Delta_c)*(-Cost_k*Delta_c*Floor_F/Rho_a)))</f>
        <v>-199.030799006409</v>
      </c>
      <c r="T161" s="22" t="n">
        <f aca="false">ABS(R161-S161)</f>
        <v>0.129335396391127</v>
      </c>
      <c r="V161" s="17" t="n">
        <f aca="false">30+141*$W$5</f>
        <v>47.625</v>
      </c>
      <c r="W161" s="17" t="n">
        <f aca="false">Ubar_c-Delta_c*V161</f>
        <v>5.30408077270873</v>
      </c>
      <c r="X161" s="11" t="n">
        <f aca="false">(-(Cost_k*Ubar_c+Delay_D)+W161/$W$5*X162)/(Rho_a+W161/$W$5)</f>
        <v>-303.741828362851</v>
      </c>
      <c r="Y161" s="11" t="n">
        <f aca="false">MAX(X161,-Delay_D/Rho_a)</f>
        <v>-303.741828362851</v>
      </c>
      <c r="Z161" s="11" t="n">
        <f aca="false">IF(V161&lt;Floor_F,MAX((-(Cost_k*Ubar_c+Delay_D)*(1-EXP(-Rho_a*LN((Top_c-V161)/(Top_c-Floor_F))/Delta_c))/Rho_a+EXP(-Rho_a*LN((Top_c-V161)/(Top_c-Floor_F))/Delta_c)*(-Cost_k*Delta_c*Floor_F/Rho_a)),(-Delay_D/Rho_a)),(EXP(-Rho_a*LN(V161/Floor_F)/Delta_c)*(-Cost_k*Delta_c*Floor_F/Rho_a)))</f>
        <v>-303.904682276098</v>
      </c>
      <c r="AA161" s="22" t="n">
        <f aca="false">ABS(Y161-Z161)</f>
        <v>0.162853913247034</v>
      </c>
      <c r="AC161" s="17" t="n">
        <f aca="false">30+141*$AD$5</f>
        <v>38.8125</v>
      </c>
      <c r="AD161" s="17" t="n">
        <f aca="false">Ubar_c-Delta_c*AC161</f>
        <v>6.19653350415495</v>
      </c>
      <c r="AE161" s="11" t="n">
        <f aca="false">(-(Cost_k*Ubar_c+Delay_D)+AD161/$AD$5*AE162)/(Rho_a+AD161/$AD$5)</f>
        <v>-365.975055949428</v>
      </c>
      <c r="AF161" s="11" t="n">
        <f aca="false">MAX(AE161,-Delay_D/Rho_a)</f>
        <v>-335.745877992226</v>
      </c>
      <c r="AG161" s="11" t="n">
        <f aca="false">IF(AC161&lt;Floor_F,MAX((-(Cost_k*Ubar_c+Delay_D)*(1-EXP(-Rho_a*LN((Top_c-AC161)/(Top_c-Floor_F))/Delta_c))/Rho_a+EXP(-Rho_a*LN((Top_c-AC161)/(Top_c-Floor_F))/Delta_c)*(-Cost_k*Delta_c*Floor_F/Rho_a)),(-Delay_D/Rho_a)),(EXP(-Rho_a*LN(AC161/Floor_F)/Delta_c)*(-Cost_k*Delta_c*Floor_F/Rho_a)))</f>
        <v>-335.745877992226</v>
      </c>
      <c r="AH161" s="22" t="n">
        <f aca="false">ABS(AF161-AG161)</f>
        <v>0</v>
      </c>
    </row>
    <row r="162" customFormat="false" ht="15" hidden="false" customHeight="false" outlineLevel="0" collapsed="false">
      <c r="O162" s="17" t="n">
        <f aca="false">30+142*$P$5</f>
        <v>65.5</v>
      </c>
      <c r="P162" s="17" t="n">
        <f aca="false">-Delta_c*O162</f>
        <v>-6.63326569188395</v>
      </c>
      <c r="R162" s="11" t="n">
        <f aca="false">(-P162/$P$5*R161)/(Rho_a-P162/$P$5)</f>
        <v>-198.447286184198</v>
      </c>
      <c r="S162" s="11" t="n">
        <f aca="false">IF(O162&lt;Floor_F,MAX((-(Cost_k*Ubar_c+Delay_D)*(1-EXP(-Rho_a*LN((Top_c-O162)/(Top_c-Floor_F))/Delta_c))/Rho_a+EXP(-Rho_a*LN((Top_c-O162)/(Top_c-Floor_F))/Delta_c)*(-Cost_k*Delta_c*Floor_F/Rho_a)),(-Delay_D/Rho_a)),(EXP(-Rho_a*LN(O162/Floor_F)/Delta_c)*(-Cost_k*Delta_c*Floor_F/Rho_a)))</f>
        <v>-198.315774314669</v>
      </c>
      <c r="T162" s="22" t="n">
        <f aca="false">ABS(R162-S162)</f>
        <v>0.13151186952814</v>
      </c>
      <c r="V162" s="17" t="n">
        <f aca="false">30+142*$W$5</f>
        <v>47.75</v>
      </c>
      <c r="W162" s="17" t="n">
        <f aca="false">Ubar_c-Delta_c*V162</f>
        <v>5.29142186871659</v>
      </c>
      <c r="X162" s="11" t="n">
        <f aca="false">(-(Cost_k*Ubar_c+Delay_D)+W162/$W$5*X163)/(Rho_a+W162/$W$5)</f>
        <v>-302.715288459754</v>
      </c>
      <c r="Y162" s="11" t="n">
        <f aca="false">MAX(X162,-Delay_D/Rho_a)</f>
        <v>-302.715288459754</v>
      </c>
      <c r="Z162" s="11" t="n">
        <f aca="false">IF(V162&lt;Floor_F,MAX((-(Cost_k*Ubar_c+Delay_D)*(1-EXP(-Rho_a*LN((Top_c-V162)/(Top_c-Floor_F))/Delta_c))/Rho_a+EXP(-Rho_a*LN((Top_c-V162)/(Top_c-Floor_F))/Delta_c)*(-Cost_k*Delta_c*Floor_F/Rho_a)),(-Delay_D/Rho_a)),(EXP(-Rho_a*LN(V162/Floor_F)/Delta_c)*(-Cost_k*Delta_c*Floor_F/Rho_a)))</f>
        <v>-302.876125569748</v>
      </c>
      <c r="AA162" s="22" t="n">
        <f aca="false">ABS(Y162-Z162)</f>
        <v>0.160837109994191</v>
      </c>
      <c r="AC162" s="17" t="n">
        <f aca="false">30+142*$AD$5</f>
        <v>38.875</v>
      </c>
      <c r="AD162" s="17" t="n">
        <f aca="false">Ubar_c-Delta_c*AC162</f>
        <v>6.19020405215888</v>
      </c>
      <c r="AE162" s="11" t="n">
        <f aca="false">(-(Cost_k*Ubar_c+Delay_D)+AD162/$AD$5*AE163)/(Rho_a+AD162/$AD$5)</f>
        <v>-365.595535847956</v>
      </c>
      <c r="AF162" s="11" t="n">
        <f aca="false">MAX(AE162,-Delay_D/Rho_a)</f>
        <v>-335.745877992226</v>
      </c>
      <c r="AG162" s="11" t="n">
        <f aca="false">IF(AC162&lt;Floor_F,MAX((-(Cost_k*Ubar_c+Delay_D)*(1-EXP(-Rho_a*LN((Top_c-AC162)/(Top_c-Floor_F))/Delta_c))/Rho_a+EXP(-Rho_a*LN((Top_c-AC162)/(Top_c-Floor_F))/Delta_c)*(-Cost_k*Delta_c*Floor_F/Rho_a)),(-Delay_D/Rho_a)),(EXP(-Rho_a*LN(AC162/Floor_F)/Delta_c)*(-Cost_k*Delta_c*Floor_F/Rho_a)))</f>
        <v>-335.745877992226</v>
      </c>
      <c r="AH162" s="22" t="n">
        <f aca="false">ABS(AF162-AG162)</f>
        <v>0</v>
      </c>
    </row>
    <row r="163" customFormat="false" ht="15" hidden="false" customHeight="false" outlineLevel="0" collapsed="false">
      <c r="O163" s="17" t="n">
        <f aca="false">30+143*$P$5</f>
        <v>65.75</v>
      </c>
      <c r="P163" s="17" t="n">
        <f aca="false">-Delta_c*O163</f>
        <v>-6.65858349986824</v>
      </c>
      <c r="R163" s="11" t="n">
        <f aca="false">(-P163/$P$5*R162)/(Rho_a-P163/$P$5)</f>
        <v>-197.739680560979</v>
      </c>
      <c r="S163" s="11" t="n">
        <f aca="false">IF(O163&lt;Floor_F,MAX((-(Cost_k*Ubar_c+Delay_D)*(1-EXP(-Rho_a*LN((Top_c-O163)/(Top_c-Floor_F))/Delta_c))/Rho_a+EXP(-Rho_a*LN((Top_c-O163)/(Top_c-Floor_F))/Delta_c)*(-Cost_k*Delta_c*Floor_F/Rho_a)),(-Delay_D/Rho_a)),(EXP(-Rho_a*LN(O163/Floor_F)/Delta_c)*(-Cost_k*Delta_c*Floor_F/Rho_a)))</f>
        <v>-197.606027634538</v>
      </c>
      <c r="T163" s="22" t="n">
        <f aca="false">ABS(R163-S163)</f>
        <v>0.133652926440618</v>
      </c>
      <c r="V163" s="17" t="n">
        <f aca="false">30+143*$W$5</f>
        <v>47.875</v>
      </c>
      <c r="W163" s="17" t="n">
        <f aca="false">Ubar_c-Delta_c*V163</f>
        <v>5.27876296472445</v>
      </c>
      <c r="X163" s="11" t="n">
        <f aca="false">(-(Cost_k*Ubar_c+Delay_D)+W163/$W$5*X164)/(Rho_a+W163/$W$5)</f>
        <v>-301.683981438564</v>
      </c>
      <c r="Y163" s="11" t="n">
        <f aca="false">MAX(X163,-Delay_D/Rho_a)</f>
        <v>-301.683981438564</v>
      </c>
      <c r="Z163" s="11" t="n">
        <f aca="false">IF(V163&lt;Floor_F,MAX((-(Cost_k*Ubar_c+Delay_D)*(1-EXP(-Rho_a*LN((Top_c-V163)/(Top_c-Floor_F))/Delta_c))/Rho_a+EXP(-Rho_a*LN((Top_c-V163)/(Top_c-Floor_F))/Delta_c)*(-Cost_k*Delta_c*Floor_F/Rho_a)),(-Delay_D/Rho_a)),(EXP(-Rho_a*LN(V163/Floor_F)/Delta_c)*(-Cost_k*Delta_c*Floor_F/Rho_a)))</f>
        <v>-301.84278126264</v>
      </c>
      <c r="AA163" s="22" t="n">
        <f aca="false">ABS(Y163-Z163)</f>
        <v>0.158799824075061</v>
      </c>
      <c r="AC163" s="17" t="n">
        <f aca="false">30+143*$AD$5</f>
        <v>38.9375</v>
      </c>
      <c r="AD163" s="17" t="n">
        <f aca="false">Ubar_c-Delta_c*AC163</f>
        <v>6.18387460016281</v>
      </c>
      <c r="AE163" s="11" t="n">
        <f aca="false">(-(Cost_k*Ubar_c+Delay_D)+AD163/$AD$5*AE164)/(Rho_a+AD163/$AD$5)</f>
        <v>-365.215262473684</v>
      </c>
      <c r="AF163" s="11" t="n">
        <f aca="false">MAX(AE163,-Delay_D/Rho_a)</f>
        <v>-335.745877992226</v>
      </c>
      <c r="AG163" s="11" t="n">
        <f aca="false">IF(AC163&lt;Floor_F,MAX((-(Cost_k*Ubar_c+Delay_D)*(1-EXP(-Rho_a*LN((Top_c-AC163)/(Top_c-Floor_F))/Delta_c))/Rho_a+EXP(-Rho_a*LN((Top_c-AC163)/(Top_c-Floor_F))/Delta_c)*(-Cost_k*Delta_c*Floor_F/Rho_a)),(-Delay_D/Rho_a)),(EXP(-Rho_a*LN(AC163/Floor_F)/Delta_c)*(-Cost_k*Delta_c*Floor_F/Rho_a)))</f>
        <v>-335.745877992226</v>
      </c>
      <c r="AH163" s="22" t="n">
        <f aca="false">ABS(AF163-AG163)</f>
        <v>0</v>
      </c>
    </row>
    <row r="164" customFormat="false" ht="15" hidden="false" customHeight="false" outlineLevel="0" collapsed="false">
      <c r="O164" s="17" t="n">
        <f aca="false">30+144*$P$5</f>
        <v>66</v>
      </c>
      <c r="P164" s="17" t="n">
        <f aca="false">-Delta_c*O164</f>
        <v>-6.68390130785253</v>
      </c>
      <c r="R164" s="11" t="n">
        <f aca="false">(-P164/$P$5*R163)/(Rho_a-P164/$P$5)</f>
        <v>-197.037259334574</v>
      </c>
      <c r="S164" s="11" t="n">
        <f aca="false">IF(O164&lt;Floor_F,MAX((-(Cost_k*Ubar_c+Delay_D)*(1-EXP(-Rho_a*LN((Top_c-O164)/(Top_c-Floor_F))/Delta_c))/Rho_a+EXP(-Rho_a*LN((Top_c-O164)/(Top_c-Floor_F))/Delta_c)*(-Cost_k*Delta_c*Floor_F/Rho_a)),(-Delay_D/Rho_a)),(EXP(-Rho_a*LN(O164/Floor_F)/Delta_c)*(-Cost_k*Delta_c*Floor_F/Rho_a)))</f>
        <v>-196.901500158839</v>
      </c>
      <c r="T164" s="22" t="n">
        <f aca="false">ABS(R164-S164)</f>
        <v>0.135759175734364</v>
      </c>
      <c r="V164" s="17" t="n">
        <f aca="false">30+144*$W$5</f>
        <v>48</v>
      </c>
      <c r="W164" s="17" t="n">
        <f aca="false">Ubar_c-Delta_c*V164</f>
        <v>5.2661040607323</v>
      </c>
      <c r="X164" s="11" t="n">
        <f aca="false">(-(Cost_k*Ubar_c+Delay_D)+W164/$W$5*X165)/(Rho_a+W164/$W$5)</f>
        <v>-300.64787367638</v>
      </c>
      <c r="Y164" s="11" t="n">
        <f aca="false">MAX(X164,-Delay_D/Rho_a)</f>
        <v>-300.64787367638</v>
      </c>
      <c r="Z164" s="11" t="n">
        <f aca="false">IF(V164&lt;Floor_F,MAX((-(Cost_k*Ubar_c+Delay_D)*(1-EXP(-Rho_a*LN((Top_c-V164)/(Top_c-Floor_F))/Delta_c))/Rho_a+EXP(-Rho_a*LN((Top_c-V164)/(Top_c-Floor_F))/Delta_c)*(-Cost_k*Delta_c*Floor_F/Rho_a)),(-Delay_D/Rho_a)),(EXP(-Rho_a*LN(V164/Floor_F)/Delta_c)*(-Cost_k*Delta_c*Floor_F/Rho_a)))</f>
        <v>-300.804615508623</v>
      </c>
      <c r="AA164" s="22" t="n">
        <f aca="false">ABS(Y164-Z164)</f>
        <v>0.156741832242915</v>
      </c>
      <c r="AC164" s="17" t="n">
        <f aca="false">30+144*$AD$5</f>
        <v>39</v>
      </c>
      <c r="AD164" s="17" t="n">
        <f aca="false">Ubar_c-Delta_c*AC164</f>
        <v>6.17754514816674</v>
      </c>
      <c r="AE164" s="11" t="n">
        <f aca="false">(-(Cost_k*Ubar_c+Delay_D)+AD164/$AD$5*AE165)/(Rho_a+AD164/$AD$5)</f>
        <v>-364.834233558978</v>
      </c>
      <c r="AF164" s="11" t="n">
        <f aca="false">MAX(AE164,-Delay_D/Rho_a)</f>
        <v>-335.745877992226</v>
      </c>
      <c r="AG164" s="11" t="n">
        <f aca="false">IF(AC164&lt;Floor_F,MAX((-(Cost_k*Ubar_c+Delay_D)*(1-EXP(-Rho_a*LN((Top_c-AC164)/(Top_c-Floor_F))/Delta_c))/Rho_a+EXP(-Rho_a*LN((Top_c-AC164)/(Top_c-Floor_F))/Delta_c)*(-Cost_k*Delta_c*Floor_F/Rho_a)),(-Delay_D/Rho_a)),(EXP(-Rho_a*LN(AC164/Floor_F)/Delta_c)*(-Cost_k*Delta_c*Floor_F/Rho_a)))</f>
        <v>-335.745877992226</v>
      </c>
      <c r="AH164" s="22" t="n">
        <f aca="false">ABS(AF164-AG164)</f>
        <v>0</v>
      </c>
    </row>
    <row r="165" customFormat="false" ht="15" hidden="false" customHeight="false" outlineLevel="0" collapsed="false">
      <c r="O165" s="17" t="n">
        <f aca="false">30+145*$P$5</f>
        <v>66.25</v>
      </c>
      <c r="P165" s="17" t="n">
        <f aca="false">-Delta_c*O165</f>
        <v>-6.70921911583682</v>
      </c>
      <c r="R165" s="11" t="n">
        <f aca="false">(-P165/$P$5*R164)/(Rho_a-P165/$P$5)</f>
        <v>-196.339965168892</v>
      </c>
      <c r="S165" s="11" t="n">
        <f aca="false">IF(O165&lt;Floor_F,MAX((-(Cost_k*Ubar_c+Delay_D)*(1-EXP(-Rho_a*LN((Top_c-O165)/(Top_c-Floor_F))/Delta_c))/Rho_a+EXP(-Rho_a*LN((Top_c-O165)/(Top_c-Floor_F))/Delta_c)*(-Cost_k*Delta_c*Floor_F/Rho_a)),(-Delay_D/Rho_a)),(EXP(-Rho_a*LN(O165/Floor_F)/Delta_c)*(-Cost_k*Delta_c*Floor_F/Rho_a)))</f>
        <v>-196.202133955088</v>
      </c>
      <c r="T165" s="22" t="n">
        <f aca="false">ABS(R165-S165)</f>
        <v>0.137831213803509</v>
      </c>
      <c r="V165" s="17" t="n">
        <f aca="false">30+145*$W$5</f>
        <v>48.125</v>
      </c>
      <c r="W165" s="17" t="n">
        <f aca="false">Ubar_c-Delta_c*V165</f>
        <v>5.25344515674015</v>
      </c>
      <c r="X165" s="11" t="n">
        <f aca="false">(-(Cost_k*Ubar_c+Delay_D)+W165/$W$5*X166)/(Rho_a+W165/$W$5)</f>
        <v>-299.606931231756</v>
      </c>
      <c r="Y165" s="11" t="n">
        <f aca="false">MAX(X165,-Delay_D/Rho_a)</f>
        <v>-299.606931231756</v>
      </c>
      <c r="Z165" s="11" t="n">
        <f aca="false">IF(V165&lt;Floor_F,MAX((-(Cost_k*Ubar_c+Delay_D)*(1-EXP(-Rho_a*LN((Top_c-V165)/(Top_c-Floor_F))/Delta_c))/Rho_a+EXP(-Rho_a*LN((Top_c-V165)/(Top_c-Floor_F))/Delta_c)*(-Cost_k*Delta_c*Floor_F/Rho_a)),(-Delay_D/Rho_a)),(EXP(-Rho_a*LN(V165/Floor_F)/Delta_c)*(-Cost_k*Delta_c*Floor_F/Rho_a)))</f>
        <v>-299.761594140142</v>
      </c>
      <c r="AA165" s="22" t="n">
        <f aca="false">ABS(Y165-Z165)</f>
        <v>0.154662908386001</v>
      </c>
      <c r="AC165" s="17" t="n">
        <f aca="false">30+145*$AD$5</f>
        <v>39.0625</v>
      </c>
      <c r="AD165" s="17" t="n">
        <f aca="false">Ubar_c-Delta_c*AC165</f>
        <v>6.17121569617066</v>
      </c>
      <c r="AE165" s="11" t="n">
        <f aca="false">(-(Cost_k*Ubar_c+Delay_D)+AD165/$AD$5*AE166)/(Rho_a+AD165/$AD$5)</f>
        <v>-364.452446827047</v>
      </c>
      <c r="AF165" s="11" t="n">
        <f aca="false">MAX(AE165,-Delay_D/Rho_a)</f>
        <v>-335.745877992226</v>
      </c>
      <c r="AG165" s="11" t="n">
        <f aca="false">IF(AC165&lt;Floor_F,MAX((-(Cost_k*Ubar_c+Delay_D)*(1-EXP(-Rho_a*LN((Top_c-AC165)/(Top_c-Floor_F))/Delta_c))/Rho_a+EXP(-Rho_a*LN((Top_c-AC165)/(Top_c-Floor_F))/Delta_c)*(-Cost_k*Delta_c*Floor_F/Rho_a)),(-Delay_D/Rho_a)),(EXP(-Rho_a*LN(AC165/Floor_F)/Delta_c)*(-Cost_k*Delta_c*Floor_F/Rho_a)))</f>
        <v>-335.745877992226</v>
      </c>
      <c r="AH165" s="22" t="n">
        <f aca="false">ABS(AF165-AG165)</f>
        <v>0</v>
      </c>
    </row>
    <row r="166" customFormat="false" ht="15" hidden="false" customHeight="false" outlineLevel="0" collapsed="false">
      <c r="O166" s="17" t="n">
        <f aca="false">30+146*$P$5</f>
        <v>66.5</v>
      </c>
      <c r="P166" s="17" t="n">
        <f aca="false">-Delta_c*O166</f>
        <v>-6.73453692382111</v>
      </c>
      <c r="R166" s="11" t="n">
        <f aca="false">(-P166/$P$5*R165)/(Rho_a-P166/$P$5)</f>
        <v>-195.647741574356</v>
      </c>
      <c r="S166" s="11" t="n">
        <f aca="false">IF(O166&lt;Floor_F,MAX((-(Cost_k*Ubar_c+Delay_D)*(1-EXP(-Rho_a*LN((Top_c-O166)/(Top_c-Floor_F))/Delta_c))/Rho_a+EXP(-Rho_a*LN((Top_c-O166)/(Top_c-Floor_F))/Delta_c)*(-Cost_k*Delta_c*Floor_F/Rho_a)),(-Delay_D/Rho_a)),(EXP(-Rho_a*LN(O166/Floor_F)/Delta_c)*(-Cost_k*Delta_c*Floor_F/Rho_a)))</f>
        <v>-195.507871949241</v>
      </c>
      <c r="T166" s="22" t="n">
        <f aca="false">ABS(R166-S166)</f>
        <v>0.139869625115438</v>
      </c>
      <c r="V166" s="17" t="n">
        <f aca="false">30+146*$W$5</f>
        <v>48.25</v>
      </c>
      <c r="W166" s="17" t="n">
        <f aca="false">Ubar_c-Delta_c*V166</f>
        <v>5.24078625274801</v>
      </c>
      <c r="X166" s="11" t="n">
        <f aca="false">(-(Cost_k*Ubar_c+Delay_D)+W166/$W$5*X167)/(Rho_a+W166/$W$5)</f>
        <v>-298.561119840917</v>
      </c>
      <c r="Y166" s="11" t="n">
        <f aca="false">MAX(X166,-Delay_D/Rho_a)</f>
        <v>-298.561119840917</v>
      </c>
      <c r="Z166" s="11" t="n">
        <f aca="false">IF(V166&lt;Floor_F,MAX((-(Cost_k*Ubar_c+Delay_D)*(1-EXP(-Rho_a*LN((Top_c-V166)/(Top_c-Floor_F))/Delta_c))/Rho_a+EXP(-Rho_a*LN((Top_c-V166)/(Top_c-Floor_F))/Delta_c)*(-Cost_k*Delta_c*Floor_F/Rho_a)),(-Delay_D/Rho_a)),(EXP(-Rho_a*LN(V166/Floor_F)/Delta_c)*(-Cost_k*Delta_c*Floor_F/Rho_a)))</f>
        <v>-298.713682664401</v>
      </c>
      <c r="AA166" s="22" t="n">
        <f aca="false">ABS(Y166-Z166)</f>
        <v>0.152562823484573</v>
      </c>
      <c r="AC166" s="17" t="n">
        <f aca="false">30+146*$AD$5</f>
        <v>39.125</v>
      </c>
      <c r="AD166" s="17" t="n">
        <f aca="false">Ubar_c-Delta_c*AC166</f>
        <v>6.16488624417459</v>
      </c>
      <c r="AE166" s="11" t="n">
        <f aca="false">(-(Cost_k*Ubar_c+Delay_D)+AD166/$AD$5*AE167)/(Rho_a+AD166/$AD$5)</f>
        <v>-364.069899991897</v>
      </c>
      <c r="AF166" s="11" t="n">
        <f aca="false">MAX(AE166,-Delay_D/Rho_a)</f>
        <v>-335.745877992226</v>
      </c>
      <c r="AG166" s="11" t="n">
        <f aca="false">IF(AC166&lt;Floor_F,MAX((-(Cost_k*Ubar_c+Delay_D)*(1-EXP(-Rho_a*LN((Top_c-AC166)/(Top_c-Floor_F))/Delta_c))/Rho_a+EXP(-Rho_a*LN((Top_c-AC166)/(Top_c-Floor_F))/Delta_c)*(-Cost_k*Delta_c*Floor_F/Rho_a)),(-Delay_D/Rho_a)),(EXP(-Rho_a*LN(AC166/Floor_F)/Delta_c)*(-Cost_k*Delta_c*Floor_F/Rho_a)))</f>
        <v>-335.745877992226</v>
      </c>
      <c r="AH166" s="22" t="n">
        <f aca="false">ABS(AF166-AG166)</f>
        <v>0</v>
      </c>
    </row>
    <row r="167" customFormat="false" ht="15" hidden="false" customHeight="false" outlineLevel="0" collapsed="false">
      <c r="O167" s="17" t="n">
        <f aca="false">30+147*$P$5</f>
        <v>66.75</v>
      </c>
      <c r="P167" s="17" t="n">
        <f aca="false">-Delta_c*O167</f>
        <v>-6.7598547318054</v>
      </c>
      <c r="R167" s="11" t="n">
        <f aca="false">(-P167/$P$5*R166)/(Rho_a-P167/$P$5)</f>
        <v>-194.960532892294</v>
      </c>
      <c r="S167" s="11" t="n">
        <f aca="false">IF(O167&lt;Floor_F,MAX((-(Cost_k*Ubar_c+Delay_D)*(1-EXP(-Rho_a*LN((Top_c-O167)/(Top_c-Floor_F))/Delta_c))/Rho_a+EXP(-Rho_a*LN((Top_c-O167)/(Top_c-Floor_F))/Delta_c)*(-Cost_k*Delta_c*Floor_F/Rho_a)),(-Delay_D/Rho_a)),(EXP(-Rho_a*LN(O167/Floor_F)/Delta_c)*(-Cost_k*Delta_c*Floor_F/Rho_a)))</f>
        <v>-194.818657909805</v>
      </c>
      <c r="T167" s="22" t="n">
        <f aca="false">ABS(R167-S167)</f>
        <v>0.141874982488389</v>
      </c>
      <c r="V167" s="17" t="n">
        <f aca="false">30+147*$W$5</f>
        <v>48.375</v>
      </c>
      <c r="W167" s="17" t="n">
        <f aca="false">Ubar_c-Delta_c*V167</f>
        <v>5.22812734875587</v>
      </c>
      <c r="X167" s="11" t="n">
        <f aca="false">(-(Cost_k*Ubar_c+Delay_D)+W167/$W$5*X168)/(Rho_a+W167/$W$5)</f>
        <v>-297.510404913907</v>
      </c>
      <c r="Y167" s="11" t="n">
        <f aca="false">MAX(X167,-Delay_D/Rho_a)</f>
        <v>-297.510404913907</v>
      </c>
      <c r="Z167" s="11" t="n">
        <f aca="false">IF(V167&lt;Floor_F,MAX((-(Cost_k*Ubar_c+Delay_D)*(1-EXP(-Rho_a*LN((Top_c-V167)/(Top_c-Floor_F))/Delta_c))/Rho_a+EXP(-Rho_a*LN((Top_c-V167)/(Top_c-Floor_F))/Delta_c)*(-Cost_k*Delta_c*Floor_F/Rho_a)),(-Delay_D/Rho_a)),(EXP(-Rho_a*LN(V167/Floor_F)/Delta_c)*(-Cost_k*Delta_c*Floor_F/Rho_a)))</f>
        <v>-297.660846259474</v>
      </c>
      <c r="AA167" s="22" t="n">
        <f aca="false">ABS(Y167-Z167)</f>
        <v>0.15044134556706</v>
      </c>
      <c r="AC167" s="17" t="n">
        <f aca="false">30+147*$AD$5</f>
        <v>39.1875</v>
      </c>
      <c r="AD167" s="17" t="n">
        <f aca="false">Ubar_c-Delta_c*AC167</f>
        <v>6.15855679217852</v>
      </c>
      <c r="AE167" s="11" t="n">
        <f aca="false">(-(Cost_k*Ubar_c+Delay_D)+AD167/$AD$5*AE168)/(Rho_a+AD167/$AD$5)</f>
        <v>-363.686590758281</v>
      </c>
      <c r="AF167" s="11" t="n">
        <f aca="false">MAX(AE167,-Delay_D/Rho_a)</f>
        <v>-335.745877992226</v>
      </c>
      <c r="AG167" s="11" t="n">
        <f aca="false">IF(AC167&lt;Floor_F,MAX((-(Cost_k*Ubar_c+Delay_D)*(1-EXP(-Rho_a*LN((Top_c-AC167)/(Top_c-Floor_F))/Delta_c))/Rho_a+EXP(-Rho_a*LN((Top_c-AC167)/(Top_c-Floor_F))/Delta_c)*(-Cost_k*Delta_c*Floor_F/Rho_a)),(-Delay_D/Rho_a)),(EXP(-Rho_a*LN(AC167/Floor_F)/Delta_c)*(-Cost_k*Delta_c*Floor_F/Rho_a)))</f>
        <v>-335.745877992226</v>
      </c>
      <c r="AH167" s="22" t="n">
        <f aca="false">ABS(AF167-AG167)</f>
        <v>0</v>
      </c>
    </row>
    <row r="168" customFormat="false" ht="15" hidden="false" customHeight="false" outlineLevel="0" collapsed="false">
      <c r="O168" s="17" t="n">
        <f aca="false">30+148*$P$5</f>
        <v>67</v>
      </c>
      <c r="P168" s="17" t="n">
        <f aca="false">-Delta_c*O168</f>
        <v>-6.78517253978969</v>
      </c>
      <c r="R168" s="11" t="n">
        <f aca="false">(-P168/$P$5*R167)/(Rho_a-P168/$P$5)</f>
        <v>-194.278284279669</v>
      </c>
      <c r="S168" s="11" t="n">
        <f aca="false">IF(O168&lt;Floor_F,MAX((-(Cost_k*Ubar_c+Delay_D)*(1-EXP(-Rho_a*LN((Top_c-O168)/(Top_c-Floor_F))/Delta_c))/Rho_a+EXP(-Rho_a*LN((Top_c-O168)/(Top_c-Floor_F))/Delta_c)*(-Cost_k*Delta_c*Floor_F/Rho_a)),(-Delay_D/Rho_a)),(EXP(-Rho_a*LN(O168/Floor_F)/Delta_c)*(-Cost_k*Delta_c*Floor_F/Rho_a)))</f>
        <v>-194.134436432307</v>
      </c>
      <c r="T168" s="22" t="n">
        <f aca="false">ABS(R168-S168)</f>
        <v>0.143847847361343</v>
      </c>
      <c r="V168" s="17" t="n">
        <f aca="false">30+148*$W$5</f>
        <v>48.5</v>
      </c>
      <c r="W168" s="17" t="n">
        <f aca="false">Ubar_c-Delta_c*V168</f>
        <v>5.21546844476372</v>
      </c>
      <c r="X168" s="11" t="n">
        <f aca="false">(-(Cost_k*Ubar_c+Delay_D)+W168/$W$5*X169)/(Rho_a+W168/$W$5)</f>
        <v>-296.454751530689</v>
      </c>
      <c r="Y168" s="11" t="n">
        <f aca="false">MAX(X168,-Delay_D/Rho_a)</f>
        <v>-296.454751530689</v>
      </c>
      <c r="Z168" s="11" t="n">
        <f aca="false">IF(V168&lt;Floor_F,MAX((-(Cost_k*Ubar_c+Delay_D)*(1-EXP(-Rho_a*LN((Top_c-V168)/(Top_c-Floor_F))/Delta_c))/Rho_a+EXP(-Rho_a*LN((Top_c-V168)/(Top_c-Floor_F))/Delta_c)*(-Cost_k*Delta_c*Floor_F/Rho_a)),(-Delay_D/Rho_a)),(EXP(-Rho_a*LN(V168/Floor_F)/Delta_c)*(-Cost_k*Delta_c*Floor_F/Rho_a)))</f>
        <v>-296.603049770354</v>
      </c>
      <c r="AA168" s="22" t="n">
        <f aca="false">ABS(Y168-Z168)</f>
        <v>0.148298239665166</v>
      </c>
      <c r="AC168" s="17" t="n">
        <f aca="false">30+148*$AD$5</f>
        <v>39.25</v>
      </c>
      <c r="AD168" s="17" t="n">
        <f aca="false">Ubar_c-Delta_c*AC168</f>
        <v>6.15222734018245</v>
      </c>
      <c r="AE168" s="11" t="n">
        <f aca="false">(-(Cost_k*Ubar_c+Delay_D)+AD168/$AD$5*AE169)/(Rho_a+AD168/$AD$5)</f>
        <v>-363.30251682166</v>
      </c>
      <c r="AF168" s="11" t="n">
        <f aca="false">MAX(AE168,-Delay_D/Rho_a)</f>
        <v>-335.745877992226</v>
      </c>
      <c r="AG168" s="11" t="n">
        <f aca="false">IF(AC168&lt;Floor_F,MAX((-(Cost_k*Ubar_c+Delay_D)*(1-EXP(-Rho_a*LN((Top_c-AC168)/(Top_c-Floor_F))/Delta_c))/Rho_a+EXP(-Rho_a*LN((Top_c-AC168)/(Top_c-Floor_F))/Delta_c)*(-Cost_k*Delta_c*Floor_F/Rho_a)),(-Delay_D/Rho_a)),(EXP(-Rho_a*LN(AC168/Floor_F)/Delta_c)*(-Cost_k*Delta_c*Floor_F/Rho_a)))</f>
        <v>-335.745877992226</v>
      </c>
      <c r="AH168" s="22" t="n">
        <f aca="false">ABS(AF168-AG168)</f>
        <v>0</v>
      </c>
    </row>
    <row r="169" customFormat="false" ht="15" hidden="false" customHeight="false" outlineLevel="0" collapsed="false">
      <c r="O169" s="17" t="n">
        <f aca="false">30+149*$P$5</f>
        <v>67.25</v>
      </c>
      <c r="P169" s="17" t="n">
        <f aca="false">-Delta_c*O169</f>
        <v>-6.81049034777398</v>
      </c>
      <c r="R169" s="11" t="n">
        <f aca="false">(-P169/$P$5*R168)/(Rho_a-P169/$P$5)</f>
        <v>-193.600941694153</v>
      </c>
      <c r="S169" s="11" t="n">
        <f aca="false">IF(O169&lt;Floor_F,MAX((-(Cost_k*Ubar_c+Delay_D)*(1-EXP(-Rho_a*LN((Top_c-O169)/(Top_c-Floor_F))/Delta_c))/Rho_a+EXP(-Rho_a*LN((Top_c-O169)/(Top_c-Floor_F))/Delta_c)*(-Cost_k*Delta_c*Floor_F/Rho_a)),(-Delay_D/Rho_a)),(EXP(-Rho_a*LN(O169/Floor_F)/Delta_c)*(-Cost_k*Delta_c*Floor_F/Rho_a)))</f>
        <v>-193.455152924096</v>
      </c>
      <c r="T169" s="22" t="n">
        <f aca="false">ABS(R169-S169)</f>
        <v>0.145788770057237</v>
      </c>
      <c r="V169" s="17" t="n">
        <f aca="false">30+149*$W$5</f>
        <v>48.625</v>
      </c>
      <c r="W169" s="17" t="n">
        <f aca="false">Ubar_c-Delta_c*V169</f>
        <v>5.20280954077157</v>
      </c>
      <c r="X169" s="11" t="n">
        <f aca="false">(-(Cost_k*Ubar_c+Delay_D)+W169/$W$5*X170)/(Rho_a+W169/$W$5)</f>
        <v>-295.394124437186</v>
      </c>
      <c r="Y169" s="11" t="n">
        <f aca="false">MAX(X169,-Delay_D/Rho_a)</f>
        <v>-295.394124437186</v>
      </c>
      <c r="Z169" s="11" t="n">
        <f aca="false">IF(V169&lt;Floor_F,MAX((-(Cost_k*Ubar_c+Delay_D)*(1-EXP(-Rho_a*LN((Top_c-V169)/(Top_c-Floor_F))/Delta_c))/Rho_a+EXP(-Rho_a*LN((Top_c-V169)/(Top_c-Floor_F))/Delta_c)*(-Cost_k*Delta_c*Floor_F/Rho_a)),(-Delay_D/Rho_a)),(EXP(-Rho_a*LN(V169/Floor_F)/Delta_c)*(-Cost_k*Delta_c*Floor_F/Rho_a)))</f>
        <v>-295.540257704955</v>
      </c>
      <c r="AA169" s="22" t="n">
        <f aca="false">ABS(Y169-Z169)</f>
        <v>0.14613326776913</v>
      </c>
      <c r="AC169" s="17" t="n">
        <f aca="false">30+149*$AD$5</f>
        <v>39.3125</v>
      </c>
      <c r="AD169" s="17" t="n">
        <f aca="false">Ubar_c-Delta_c*AC169</f>
        <v>6.14589788818637</v>
      </c>
      <c r="AE169" s="11" t="n">
        <f aca="false">(-(Cost_k*Ubar_c+Delay_D)+AD169/$AD$5*AE170)/(Rho_a+AD169/$AD$5)</f>
        <v>-362.917675868146</v>
      </c>
      <c r="AF169" s="11" t="n">
        <f aca="false">MAX(AE169,-Delay_D/Rho_a)</f>
        <v>-335.745877992226</v>
      </c>
      <c r="AG169" s="11" t="n">
        <f aca="false">IF(AC169&lt;Floor_F,MAX((-(Cost_k*Ubar_c+Delay_D)*(1-EXP(-Rho_a*LN((Top_c-AC169)/(Top_c-Floor_F))/Delta_c))/Rho_a+EXP(-Rho_a*LN((Top_c-AC169)/(Top_c-Floor_F))/Delta_c)*(-Cost_k*Delta_c*Floor_F/Rho_a)),(-Delay_D/Rho_a)),(EXP(-Rho_a*LN(AC169/Floor_F)/Delta_c)*(-Cost_k*Delta_c*Floor_F/Rho_a)))</f>
        <v>-335.745877992226</v>
      </c>
      <c r="AH169" s="22" t="n">
        <f aca="false">ABS(AF169-AG169)</f>
        <v>0</v>
      </c>
    </row>
    <row r="170" customFormat="false" ht="15" hidden="false" customHeight="false" outlineLevel="0" collapsed="false">
      <c r="O170" s="17" t="n">
        <f aca="false">30+150*$P$5</f>
        <v>67.5</v>
      </c>
      <c r="P170" s="17" t="n">
        <f aca="false">-Delta_c*O170</f>
        <v>-6.83580815575827</v>
      </c>
      <c r="R170" s="11" t="n">
        <f aca="false">(-P170/$P$5*R169)/(Rho_a-P170/$P$5)</f>
        <v>-192.928451879525</v>
      </c>
      <c r="S170" s="11" t="n">
        <f aca="false">IF(O170&lt;Floor_F,MAX((-(Cost_k*Ubar_c+Delay_D)*(1-EXP(-Rho_a*LN((Top_c-O170)/(Top_c-Floor_F))/Delta_c))/Rho_a+EXP(-Rho_a*LN((Top_c-O170)/(Top_c-Floor_F))/Delta_c)*(-Cost_k*Delta_c*Floor_F/Rho_a)),(-Delay_D/Rho_a)),(EXP(-Rho_a*LN(O170/Floor_F)/Delta_c)*(-Cost_k*Delta_c*Floor_F/Rho_a)))</f>
        <v>-192.780753589486</v>
      </c>
      <c r="T170" s="22" t="n">
        <f aca="false">ABS(R170-S170)</f>
        <v>0.147698290038761</v>
      </c>
      <c r="V170" s="17" t="n">
        <f aca="false">30+150*$W$5</f>
        <v>48.75</v>
      </c>
      <c r="W170" s="17" t="n">
        <f aca="false">Ubar_c-Delta_c*V170</f>
        <v>5.19015063677943</v>
      </c>
      <c r="X170" s="11" t="n">
        <f aca="false">(-(Cost_k*Ubar_c+Delay_D)+W170/$W$5*X171)/(Rho_a+W170/$W$5)</f>
        <v>-294.328488041263</v>
      </c>
      <c r="Y170" s="11" t="n">
        <f aca="false">MAX(X170,-Delay_D/Rho_a)</f>
        <v>-294.328488041263</v>
      </c>
      <c r="Z170" s="11" t="n">
        <f aca="false">IF(V170&lt;Floor_F,MAX((-(Cost_k*Ubar_c+Delay_D)*(1-EXP(-Rho_a*LN((Top_c-V170)/(Top_c-Floor_F))/Delta_c))/Rho_a+EXP(-Rho_a*LN((Top_c-V170)/(Top_c-Floor_F))/Delta_c)*(-Cost_k*Delta_c*Floor_F/Rho_a)),(-Delay_D/Rho_a)),(EXP(-Rho_a*LN(V170/Floor_F)/Delta_c)*(-Cost_k*Delta_c*Floor_F/Rho_a)))</f>
        <v>-294.472434230044</v>
      </c>
      <c r="AA170" s="22" t="n">
        <f aca="false">ABS(Y170-Z170)</f>
        <v>0.143946188781285</v>
      </c>
      <c r="AC170" s="17" t="n">
        <f aca="false">30+150*$AD$5</f>
        <v>39.375</v>
      </c>
      <c r="AD170" s="17" t="n">
        <f aca="false">Ubar_c-Delta_c*AC170</f>
        <v>6.1395684361903</v>
      </c>
      <c r="AE170" s="11" t="n">
        <f aca="false">(-(Cost_k*Ubar_c+Delay_D)+AD170/$AD$5*AE171)/(Rho_a+AD170/$AD$5)</f>
        <v>-362.532065574464</v>
      </c>
      <c r="AF170" s="11" t="n">
        <f aca="false">MAX(AE170,-Delay_D/Rho_a)</f>
        <v>-335.745877992226</v>
      </c>
      <c r="AG170" s="11" t="n">
        <f aca="false">IF(AC170&lt;Floor_F,MAX((-(Cost_k*Ubar_c+Delay_D)*(1-EXP(-Rho_a*LN((Top_c-AC170)/(Top_c-Floor_F))/Delta_c))/Rho_a+EXP(-Rho_a*LN((Top_c-AC170)/(Top_c-Floor_F))/Delta_c)*(-Cost_k*Delta_c*Floor_F/Rho_a)),(-Delay_D/Rho_a)),(EXP(-Rho_a*LN(AC170/Floor_F)/Delta_c)*(-Cost_k*Delta_c*Floor_F/Rho_a)))</f>
        <v>-335.745877992226</v>
      </c>
      <c r="AH170" s="22" t="n">
        <f aca="false">ABS(AF170-AG170)</f>
        <v>0</v>
      </c>
    </row>
    <row r="171" customFormat="false" ht="15" hidden="false" customHeight="false" outlineLevel="0" collapsed="false">
      <c r="O171" s="17" t="n">
        <f aca="false">30+151*$P$5</f>
        <v>67.75</v>
      </c>
      <c r="P171" s="17" t="n">
        <f aca="false">-Delta_c*O171</f>
        <v>-6.86112596374256</v>
      </c>
      <c r="R171" s="11" t="n">
        <f aca="false">(-P171/$P$5*R170)/(Rho_a-P171/$P$5)</f>
        <v>-192.260762351382</v>
      </c>
      <c r="S171" s="11" t="n">
        <f aca="false">IF(O171&lt;Floor_F,MAX((-(Cost_k*Ubar_c+Delay_D)*(1-EXP(-Rho_a*LN((Top_c-O171)/(Top_c-Floor_F))/Delta_c))/Rho_a+EXP(-Rho_a*LN((Top_c-O171)/(Top_c-Floor_F))/Delta_c)*(-Cost_k*Delta_c*Floor_F/Rho_a)),(-Delay_D/Rho_a)),(EXP(-Rho_a*LN(O171/Floor_F)/Delta_c)*(-Cost_k*Delta_c*Floor_F/Rho_a)))</f>
        <v>-192.111185415225</v>
      </c>
      <c r="T171" s="22" t="n">
        <f aca="false">ABS(R171-S171)</f>
        <v>0.149576936157615</v>
      </c>
      <c r="V171" s="17" t="n">
        <f aca="false">30+151*$W$5</f>
        <v>48.875</v>
      </c>
      <c r="W171" s="17" t="n">
        <f aca="false">Ubar_c-Delta_c*V171</f>
        <v>5.17749173278729</v>
      </c>
      <c r="X171" s="11" t="n">
        <f aca="false">(-(Cost_k*Ubar_c+Delay_D)+W171/$W$5*X172)/(Rho_a+W171/$W$5)</f>
        <v>-293.257806408655</v>
      </c>
      <c r="Y171" s="11" t="n">
        <f aca="false">MAX(X171,-Delay_D/Rho_a)</f>
        <v>-293.257806408655</v>
      </c>
      <c r="Z171" s="11" t="n">
        <f aca="false">IF(V171&lt;Floor_F,MAX((-(Cost_k*Ubar_c+Delay_D)*(1-EXP(-Rho_a*LN((Top_c-V171)/(Top_c-Floor_F))/Delta_c))/Rho_a+EXP(-Rho_a*LN((Top_c-V171)/(Top_c-Floor_F))/Delta_c)*(-Cost_k*Delta_c*Floor_F/Rho_a)),(-Delay_D/Rho_a)),(EXP(-Rho_a*LN(V171/Floor_F)/Delta_c)*(-Cost_k*Delta_c*Floor_F/Rho_a)))</f>
        <v>-293.399543167124</v>
      </c>
      <c r="AA171" s="22" t="n">
        <f aca="false">ABS(Y171-Z171)</f>
        <v>0.141736758468767</v>
      </c>
      <c r="AC171" s="17" t="n">
        <f aca="false">30+151*$AD$5</f>
        <v>39.4375</v>
      </c>
      <c r="AD171" s="17" t="n">
        <f aca="false">Ubar_c-Delta_c*AC171</f>
        <v>6.13323898419423</v>
      </c>
      <c r="AE171" s="11" t="n">
        <f aca="false">(-(Cost_k*Ubar_c+Delay_D)+AD171/$AD$5*AE172)/(Rho_a+AD171/$AD$5)</f>
        <v>-362.145683607895</v>
      </c>
      <c r="AF171" s="11" t="n">
        <f aca="false">MAX(AE171,-Delay_D/Rho_a)</f>
        <v>-335.745877992226</v>
      </c>
      <c r="AG171" s="11" t="n">
        <f aca="false">IF(AC171&lt;Floor_F,MAX((-(Cost_k*Ubar_c+Delay_D)*(1-EXP(-Rho_a*LN((Top_c-AC171)/(Top_c-Floor_F))/Delta_c))/Rho_a+EXP(-Rho_a*LN((Top_c-AC171)/(Top_c-Floor_F))/Delta_c)*(-Cost_k*Delta_c*Floor_F/Rho_a)),(-Delay_D/Rho_a)),(EXP(-Rho_a*LN(AC171/Floor_F)/Delta_c)*(-Cost_k*Delta_c*Floor_F/Rho_a)))</f>
        <v>-335.745877992226</v>
      </c>
      <c r="AH171" s="22" t="n">
        <f aca="false">ABS(AF171-AG171)</f>
        <v>0</v>
      </c>
    </row>
    <row r="172" customFormat="false" ht="15" hidden="false" customHeight="false" outlineLevel="0" collapsed="false">
      <c r="O172" s="17" t="n">
        <f aca="false">30+152*$P$5</f>
        <v>68</v>
      </c>
      <c r="P172" s="17" t="n">
        <f aca="false">-Delta_c*O172</f>
        <v>-6.88644377172685</v>
      </c>
      <c r="R172" s="11" t="n">
        <f aca="false">(-P172/$P$5*R171)/(Rho_a-P172/$P$5)</f>
        <v>-191.597821383174</v>
      </c>
      <c r="S172" s="11" t="n">
        <f aca="false">IF(O172&lt;Floor_F,MAX((-(Cost_k*Ubar_c+Delay_D)*(1-EXP(-Rho_a*LN((Top_c-O172)/(Top_c-Floor_F))/Delta_c))/Rho_a+EXP(-Rho_a*LN((Top_c-O172)/(Top_c-Floor_F))/Delta_c)*(-Cost_k*Delta_c*Floor_F/Rho_a)),(-Delay_D/Rho_a)),(EXP(-Rho_a*LN(O172/Floor_F)/Delta_c)*(-Cost_k*Delta_c*Floor_F/Rho_a)))</f>
        <v>-191.446396156277</v>
      </c>
      <c r="T172" s="22" t="n">
        <f aca="false">ABS(R172-S172)</f>
        <v>0.151425226897061</v>
      </c>
      <c r="V172" s="17" t="n">
        <f aca="false">30+152*$W$5</f>
        <v>49</v>
      </c>
      <c r="W172" s="17" t="n">
        <f aca="false">Ubar_c-Delta_c*V172</f>
        <v>5.16483282879514</v>
      </c>
      <c r="X172" s="11" t="n">
        <f aca="false">(-(Cost_k*Ubar_c+Delay_D)+W172/$W$5*X173)/(Rho_a+W172/$W$5)</f>
        <v>-292.182043258835</v>
      </c>
      <c r="Y172" s="11" t="n">
        <f aca="false">MAX(X172,-Delay_D/Rho_a)</f>
        <v>-292.182043258835</v>
      </c>
      <c r="Z172" s="11" t="n">
        <f aca="false">IF(V172&lt;Floor_F,MAX((-(Cost_k*Ubar_c+Delay_D)*(1-EXP(-Rho_a*LN((Top_c-V172)/(Top_c-Floor_F))/Delta_c))/Rho_a+EXP(-Rho_a*LN((Top_c-V172)/(Top_c-Floor_F))/Delta_c)*(-Cost_k*Delta_c*Floor_F/Rho_a)),(-Delay_D/Rho_a)),(EXP(-Rho_a*LN(V172/Floor_F)/Delta_c)*(-Cost_k*Delta_c*Floor_F/Rho_a)))</f>
        <v>-292.321547988252</v>
      </c>
      <c r="AA172" s="22" t="n">
        <f aca="false">ABS(Y172-Z172)</f>
        <v>0.139504729416046</v>
      </c>
      <c r="AC172" s="17" t="n">
        <f aca="false">30+152*$AD$5</f>
        <v>39.5</v>
      </c>
      <c r="AD172" s="17" t="n">
        <f aca="false">Ubar_c-Delta_c*AC172</f>
        <v>6.12690953219816</v>
      </c>
      <c r="AE172" s="11" t="n">
        <f aca="false">(-(Cost_k*Ubar_c+Delay_D)+AD172/$AD$5*AE173)/(Rho_a+AD172/$AD$5)</f>
        <v>-361.758527626236</v>
      </c>
      <c r="AF172" s="11" t="n">
        <f aca="false">MAX(AE172,-Delay_D/Rho_a)</f>
        <v>-335.745877992226</v>
      </c>
      <c r="AG172" s="11" t="n">
        <f aca="false">IF(AC172&lt;Floor_F,MAX((-(Cost_k*Ubar_c+Delay_D)*(1-EXP(-Rho_a*LN((Top_c-AC172)/(Top_c-Floor_F))/Delta_c))/Rho_a+EXP(-Rho_a*LN((Top_c-AC172)/(Top_c-Floor_F))/Delta_c)*(-Cost_k*Delta_c*Floor_F/Rho_a)),(-Delay_D/Rho_a)),(EXP(-Rho_a*LN(AC172/Floor_F)/Delta_c)*(-Cost_k*Delta_c*Floor_F/Rho_a)))</f>
        <v>-335.745877992226</v>
      </c>
      <c r="AH172" s="22" t="n">
        <f aca="false">ABS(AF172-AG172)</f>
        <v>0</v>
      </c>
    </row>
    <row r="173" customFormat="false" ht="15" hidden="false" customHeight="false" outlineLevel="0" collapsed="false">
      <c r="O173" s="17" t="n">
        <f aca="false">30+153*$P$5</f>
        <v>68.25</v>
      </c>
      <c r="P173" s="17" t="n">
        <f aca="false">-Delta_c*O173</f>
        <v>-6.91176157971114</v>
      </c>
      <c r="R173" s="11" t="n">
        <f aca="false">(-P173/$P$5*R172)/(Rho_a-P173/$P$5)</f>
        <v>-190.93957799253</v>
      </c>
      <c r="S173" s="11" t="n">
        <f aca="false">IF(O173&lt;Floor_F,MAX((-(Cost_k*Ubar_c+Delay_D)*(1-EXP(-Rho_a*LN((Top_c-O173)/(Top_c-Floor_F))/Delta_c))/Rho_a+EXP(-Rho_a*LN((Top_c-O173)/(Top_c-Floor_F))/Delta_c)*(-Cost_k*Delta_c*Floor_F/Rho_a)),(-Delay_D/Rho_a)),(EXP(-Rho_a*LN(O173/Floor_F)/Delta_c)*(-Cost_k*Delta_c*Floor_F/Rho_a)))</f>
        <v>-190.786334321921</v>
      </c>
      <c r="T173" s="22" t="n">
        <f aca="false">ABS(R173-S173)</f>
        <v>0.153243670608362</v>
      </c>
      <c r="V173" s="17" t="n">
        <f aca="false">30+153*$W$5</f>
        <v>49.125</v>
      </c>
      <c r="W173" s="17" t="n">
        <f aca="false">Ubar_c-Delta_c*V173</f>
        <v>5.152173924803</v>
      </c>
      <c r="X173" s="11" t="n">
        <f aca="false">(-(Cost_k*Ubar_c+Delay_D)+W173/$W$5*X174)/(Rho_a+W173/$W$5)</f>
        <v>-291.101161960818</v>
      </c>
      <c r="Y173" s="11" t="n">
        <f aca="false">MAX(X173,-Delay_D/Rho_a)</f>
        <v>-291.101161960818</v>
      </c>
      <c r="Z173" s="11" t="n">
        <f aca="false">IF(V173&lt;Floor_F,MAX((-(Cost_k*Ubar_c+Delay_D)*(1-EXP(-Rho_a*LN((Top_c-V173)/(Top_c-Floor_F))/Delta_c))/Rho_a+EXP(-Rho_a*LN((Top_c-V173)/(Top_c-Floor_F))/Delta_c)*(-Cost_k*Delta_c*Floor_F/Rho_a)),(-Delay_D/Rho_a)),(EXP(-Rho_a*LN(V173/Floor_F)/Delta_c)*(-Cost_k*Delta_c*Floor_F/Rho_a)))</f>
        <v>-291.238411811794</v>
      </c>
      <c r="AA173" s="22" t="n">
        <f aca="false">ABS(Y173-Z173)</f>
        <v>0.137249850976332</v>
      </c>
      <c r="AC173" s="17" t="n">
        <f aca="false">30+153*$AD$5</f>
        <v>39.5625</v>
      </c>
      <c r="AD173" s="17" t="n">
        <f aca="false">Ubar_c-Delta_c*AC173</f>
        <v>6.12058008020208</v>
      </c>
      <c r="AE173" s="11" t="n">
        <f aca="false">(-(Cost_k*Ubar_c+Delay_D)+AD173/$AD$5*AE174)/(Rho_a+AD173/$AD$5)</f>
        <v>-361.370595277745</v>
      </c>
      <c r="AF173" s="11" t="n">
        <f aca="false">MAX(AE173,-Delay_D/Rho_a)</f>
        <v>-335.745877992226</v>
      </c>
      <c r="AG173" s="11" t="n">
        <f aca="false">IF(AC173&lt;Floor_F,MAX((-(Cost_k*Ubar_c+Delay_D)*(1-EXP(-Rho_a*LN((Top_c-AC173)/(Top_c-Floor_F))/Delta_c))/Rho_a+EXP(-Rho_a*LN((Top_c-AC173)/(Top_c-Floor_F))/Delta_c)*(-Cost_k*Delta_c*Floor_F/Rho_a)),(-Delay_D/Rho_a)),(EXP(-Rho_a*LN(AC173/Floor_F)/Delta_c)*(-Cost_k*Delta_c*Floor_F/Rho_a)))</f>
        <v>-335.745877992226</v>
      </c>
      <c r="AH173" s="22" t="n">
        <f aca="false">ABS(AF173-AG173)</f>
        <v>0</v>
      </c>
    </row>
    <row r="174" customFormat="false" ht="15" hidden="false" customHeight="false" outlineLevel="0" collapsed="false">
      <c r="O174" s="17" t="n">
        <f aca="false">30+154*$P$5</f>
        <v>68.5</v>
      </c>
      <c r="P174" s="17" t="n">
        <f aca="false">-Delta_c*O174</f>
        <v>-6.93707938769543</v>
      </c>
      <c r="R174" s="11" t="n">
        <f aca="false">(-P174/$P$5*R173)/(Rho_a-P174/$P$5)</f>
        <v>-190.285981927882</v>
      </c>
      <c r="S174" s="11" t="n">
        <f aca="false">IF(O174&lt;Floor_F,MAX((-(Cost_k*Ubar_c+Delay_D)*(1-EXP(-Rho_a*LN((Top_c-O174)/(Top_c-Floor_F))/Delta_c))/Rho_a+EXP(-Rho_a*LN((Top_c-O174)/(Top_c-Floor_F))/Delta_c)*(-Cost_k*Delta_c*Floor_F/Rho_a)),(-Delay_D/Rho_a)),(EXP(-Rho_a*LN(O174/Floor_F)/Delta_c)*(-Cost_k*Delta_c*Floor_F/Rho_a)))</f>
        <v>-190.130949162141</v>
      </c>
      <c r="T174" s="22" t="n">
        <f aca="false">ABS(R174-S174)</f>
        <v>0.155032765740742</v>
      </c>
      <c r="V174" s="17" t="n">
        <f aca="false">30+154*$W$5</f>
        <v>49.25</v>
      </c>
      <c r="W174" s="17" t="n">
        <f aca="false">Ubar_c-Delta_c*V174</f>
        <v>5.13951502081085</v>
      </c>
      <c r="X174" s="11" t="n">
        <f aca="false">(-(Cost_k*Ubar_c+Delay_D)+W174/$W$5*X175)/(Rho_a+W174/$W$5)</f>
        <v>-290.015125528904</v>
      </c>
      <c r="Y174" s="11" t="n">
        <f aca="false">MAX(X174,-Delay_D/Rho_a)</f>
        <v>-290.015125528904</v>
      </c>
      <c r="Z174" s="11" t="n">
        <f aca="false">IF(V174&lt;Floor_F,MAX((-(Cost_k*Ubar_c+Delay_D)*(1-EXP(-Rho_a*LN((Top_c-V174)/(Top_c-Floor_F))/Delta_c))/Rho_a+EXP(-Rho_a*LN((Top_c-V174)/(Top_c-Floor_F))/Delta_c)*(-Cost_k*Delta_c*Floor_F/Rho_a)),(-Delay_D/Rho_a)),(EXP(-Rho_a*LN(V174/Floor_F)/Delta_c)*(-Cost_k*Delta_c*Floor_F/Rho_a)))</f>
        <v>-290.150097398126</v>
      </c>
      <c r="AA174" s="22" t="n">
        <f aca="false">ABS(Y174-Z174)</f>
        <v>0.134971869221886</v>
      </c>
      <c r="AC174" s="17" t="n">
        <f aca="false">30+154*$AD$5</f>
        <v>39.625</v>
      </c>
      <c r="AD174" s="17" t="n">
        <f aca="false">Ubar_c-Delta_c*AC174</f>
        <v>6.11425062820601</v>
      </c>
      <c r="AE174" s="11" t="n">
        <f aca="false">(-(Cost_k*Ubar_c+Delay_D)+AD174/$AD$5*AE175)/(Rho_a+AD174/$AD$5)</f>
        <v>-360.981884201097</v>
      </c>
      <c r="AF174" s="11" t="n">
        <f aca="false">MAX(AE174,-Delay_D/Rho_a)</f>
        <v>-335.745877992226</v>
      </c>
      <c r="AG174" s="11" t="n">
        <f aca="false">IF(AC174&lt;Floor_F,MAX((-(Cost_k*Ubar_c+Delay_D)*(1-EXP(-Rho_a*LN((Top_c-AC174)/(Top_c-Floor_F))/Delta_c))/Rho_a+EXP(-Rho_a*LN((Top_c-AC174)/(Top_c-Floor_F))/Delta_c)*(-Cost_k*Delta_c*Floor_F/Rho_a)),(-Delay_D/Rho_a)),(EXP(-Rho_a*LN(AC174/Floor_F)/Delta_c)*(-Cost_k*Delta_c*Floor_F/Rho_a)))</f>
        <v>-335.745877992226</v>
      </c>
      <c r="AH174" s="22" t="n">
        <f aca="false">ABS(AF174-AG174)</f>
        <v>0</v>
      </c>
    </row>
    <row r="175" customFormat="false" ht="15" hidden="false" customHeight="false" outlineLevel="0" collapsed="false">
      <c r="O175" s="17" t="n">
        <f aca="false">30+155*$P$5</f>
        <v>68.75</v>
      </c>
      <c r="P175" s="17" t="n">
        <f aca="false">-Delta_c*O175</f>
        <v>-6.96239719567972</v>
      </c>
      <c r="R175" s="11" t="n">
        <f aca="false">(-P175/$P$5*R174)/(Rho_a-P175/$P$5)</f>
        <v>-189.636983655384</v>
      </c>
      <c r="S175" s="11" t="n">
        <f aca="false">IF(O175&lt;Floor_F,MAX((-(Cost_k*Ubar_c+Delay_D)*(1-EXP(-Rho_a*LN((Top_c-O175)/(Top_c-Floor_F))/Delta_c))/Rho_a+EXP(-Rho_a*LN((Top_c-O175)/(Top_c-Floor_F))/Delta_c)*(-Cost_k*Delta_c*Floor_F/Rho_a)),(-Delay_D/Rho_a)),(EXP(-Rho_a*LN(O175/Floor_F)/Delta_c)*(-Cost_k*Delta_c*Floor_F/Rho_a)))</f>
        <v>-189.480190654319</v>
      </c>
      <c r="T175" s="22" t="n">
        <f aca="false">ABS(R175-S175)</f>
        <v>0.156793001065665</v>
      </c>
      <c r="V175" s="17" t="n">
        <f aca="false">30+155*$W$5</f>
        <v>49.375</v>
      </c>
      <c r="W175" s="17" t="n">
        <f aca="false">Ubar_c-Delta_c*V175</f>
        <v>5.12685611681871</v>
      </c>
      <c r="X175" s="11" t="n">
        <f aca="false">(-(Cost_k*Ubar_c+Delay_D)+W175/$W$5*X176)/(Rho_a+W175/$W$5)</f>
        <v>-288.923896618368</v>
      </c>
      <c r="Y175" s="11" t="n">
        <f aca="false">MAX(X175,-Delay_D/Rho_a)</f>
        <v>-288.923896618368</v>
      </c>
      <c r="Z175" s="11" t="n">
        <f aca="false">IF(V175&lt;Floor_F,MAX((-(Cost_k*Ubar_c+Delay_D)*(1-EXP(-Rho_a*LN((Top_c-V175)/(Top_c-Floor_F))/Delta_c))/Rho_a+EXP(-Rho_a*LN((Top_c-V175)/(Top_c-Floor_F))/Delta_c)*(-Cost_k*Delta_c*Floor_F/Rho_a)),(-Delay_D/Rho_a)),(EXP(-Rho_a*LN(V175/Floor_F)/Delta_c)*(-Cost_k*Delta_c*Floor_F/Rho_a)))</f>
        <v>-289.056567145262</v>
      </c>
      <c r="AA175" s="22" t="n">
        <f aca="false">ABS(Y175-Z175)</f>
        <v>0.132670526893776</v>
      </c>
      <c r="AC175" s="17" t="n">
        <f aca="false">30+155*$AD$5</f>
        <v>39.6875</v>
      </c>
      <c r="AD175" s="17" t="n">
        <f aca="false">Ubar_c-Delta_c*AC175</f>
        <v>6.10792117620994</v>
      </c>
      <c r="AE175" s="11" t="n">
        <f aca="false">(-(Cost_k*Ubar_c+Delay_D)+AD175/$AD$5*AE176)/(Rho_a+AD175/$AD$5)</f>
        <v>-360.592392025333</v>
      </c>
      <c r="AF175" s="11" t="n">
        <f aca="false">MAX(AE175,-Delay_D/Rho_a)</f>
        <v>-335.745877992226</v>
      </c>
      <c r="AG175" s="11" t="n">
        <f aca="false">IF(AC175&lt;Floor_F,MAX((-(Cost_k*Ubar_c+Delay_D)*(1-EXP(-Rho_a*LN((Top_c-AC175)/(Top_c-Floor_F))/Delta_c))/Rho_a+EXP(-Rho_a*LN((Top_c-AC175)/(Top_c-Floor_F))/Delta_c)*(-Cost_k*Delta_c*Floor_F/Rho_a)),(-Delay_D/Rho_a)),(EXP(-Rho_a*LN(AC175/Floor_F)/Delta_c)*(-Cost_k*Delta_c*Floor_F/Rho_a)))</f>
        <v>-335.745877992226</v>
      </c>
      <c r="AH175" s="22" t="n">
        <f aca="false">ABS(AF175-AG175)</f>
        <v>0</v>
      </c>
    </row>
    <row r="176" customFormat="false" ht="15" hidden="false" customHeight="false" outlineLevel="0" collapsed="false">
      <c r="O176" s="17" t="n">
        <f aca="false">30+156*$P$5</f>
        <v>69</v>
      </c>
      <c r="P176" s="17" t="n">
        <f aca="false">-Delta_c*O176</f>
        <v>-6.98771500366401</v>
      </c>
      <c r="R176" s="11" t="n">
        <f aca="false">(-P176/$P$5*R175)/(Rho_a-P176/$P$5)</f>
        <v>-188.992534346105</v>
      </c>
      <c r="S176" s="11" t="n">
        <f aca="false">IF(O176&lt;Floor_F,MAX((-(Cost_k*Ubar_c+Delay_D)*(1-EXP(-Rho_a*LN((Top_c-O176)/(Top_c-Floor_F))/Delta_c))/Rho_a+EXP(-Rho_a*LN((Top_c-O176)/(Top_c-Floor_F))/Delta_c)*(-Cost_k*Delta_c*Floor_F/Rho_a)),(-Delay_D/Rho_a)),(EXP(-Rho_a*LN(O176/Floor_F)/Delta_c)*(-Cost_k*Delta_c*Floor_F/Rho_a)))</f>
        <v>-188.83400949021</v>
      </c>
      <c r="T176" s="22" t="n">
        <f aca="false">ABS(R176-S176)</f>
        <v>0.158524855895024</v>
      </c>
      <c r="V176" s="17" t="n">
        <f aca="false">30+156*$W$5</f>
        <v>49.5</v>
      </c>
      <c r="W176" s="17" t="n">
        <f aca="false">Ubar_c-Delta_c*V176</f>
        <v>5.11419721282656</v>
      </c>
      <c r="X176" s="11" t="n">
        <f aca="false">(-(Cost_k*Ubar_c+Delay_D)+W176/$W$5*X177)/(Rho_a+W176/$W$5)</f>
        <v>-287.827437521075</v>
      </c>
      <c r="Y176" s="11" t="n">
        <f aca="false">MAX(X176,-Delay_D/Rho_a)</f>
        <v>-287.827437521075</v>
      </c>
      <c r="Z176" s="11" t="n">
        <f aca="false">IF(V176&lt;Floor_F,MAX((-(Cost_k*Ubar_c+Delay_D)*(1-EXP(-Rho_a*LN((Top_c-V176)/(Top_c-Floor_F))/Delta_c))/Rho_a+EXP(-Rho_a*LN((Top_c-V176)/(Top_c-Floor_F))/Delta_c)*(-Cost_k*Delta_c*Floor_F/Rho_a)),(-Delay_D/Rho_a)),(EXP(-Rho_a*LN(V176/Floor_F)/Delta_c)*(-Cost_k*Delta_c*Floor_F/Rho_a)))</f>
        <v>-287.957783084425</v>
      </c>
      <c r="AA176" s="22" t="n">
        <f aca="false">ABS(Y176-Z176)</f>
        <v>0.130345563350488</v>
      </c>
      <c r="AC176" s="17" t="n">
        <f aca="false">30+156*$AD$5</f>
        <v>39.75</v>
      </c>
      <c r="AD176" s="17" t="n">
        <f aca="false">Ubar_c-Delta_c*AC176</f>
        <v>6.10159172421387</v>
      </c>
      <c r="AE176" s="11" t="n">
        <f aca="false">(-(Cost_k*Ubar_c+Delay_D)+AD176/$AD$5*AE177)/(Rho_a+AD176/$AD$5)</f>
        <v>-360.20211636981</v>
      </c>
      <c r="AF176" s="11" t="n">
        <f aca="false">MAX(AE176,-Delay_D/Rho_a)</f>
        <v>-335.745877992226</v>
      </c>
      <c r="AG176" s="11" t="n">
        <f aca="false">IF(AC176&lt;Floor_F,MAX((-(Cost_k*Ubar_c+Delay_D)*(1-EXP(-Rho_a*LN((Top_c-AC176)/(Top_c-Floor_F))/Delta_c))/Rho_a+EXP(-Rho_a*LN((Top_c-AC176)/(Top_c-Floor_F))/Delta_c)*(-Cost_k*Delta_c*Floor_F/Rho_a)),(-Delay_D/Rho_a)),(EXP(-Rho_a*LN(AC176/Floor_F)/Delta_c)*(-Cost_k*Delta_c*Floor_F/Rho_a)))</f>
        <v>-335.745877992226</v>
      </c>
      <c r="AH176" s="22" t="n">
        <f aca="false">ABS(AF176-AG176)</f>
        <v>0</v>
      </c>
    </row>
    <row r="177" customFormat="false" ht="15" hidden="false" customHeight="false" outlineLevel="0" collapsed="false">
      <c r="O177" s="17" t="n">
        <f aca="false">30+157*$P$5</f>
        <v>69.25</v>
      </c>
      <c r="P177" s="17" t="n">
        <f aca="false">-Delta_c*O177</f>
        <v>-7.0130328116483</v>
      </c>
      <c r="R177" s="11" t="n">
        <f aca="false">(-P177/$P$5*R176)/(Rho_a-P177/$P$5)</f>
        <v>-188.352585863494</v>
      </c>
      <c r="S177" s="11" t="n">
        <f aca="false">IF(O177&lt;Floor_F,MAX((-(Cost_k*Ubar_c+Delay_D)*(1-EXP(-Rho_a*LN((Top_c-O177)/(Top_c-Floor_F))/Delta_c))/Rho_a+EXP(-Rho_a*LN((Top_c-O177)/(Top_c-Floor_F))/Delta_c)*(-Cost_k*Delta_c*Floor_F/Rho_a)),(-Delay_D/Rho_a)),(EXP(-Rho_a*LN(O177/Floor_F)/Delta_c)*(-Cost_k*Delta_c*Floor_F/Rho_a)))</f>
        <v>-188.192357063201</v>
      </c>
      <c r="T177" s="22" t="n">
        <f aca="false">ABS(R177-S177)</f>
        <v>0.160228800293879</v>
      </c>
      <c r="V177" s="17" t="n">
        <f aca="false">30+157*$W$5</f>
        <v>49.625</v>
      </c>
      <c r="W177" s="17" t="n">
        <f aca="false">Ubar_c-Delta_c*V177</f>
        <v>5.10153830883442</v>
      </c>
      <c r="X177" s="11" t="n">
        <f aca="false">(-(Cost_k*Ubar_c+Delay_D)+W177/$W$5*X178)/(Rho_a+W177/$W$5)</f>
        <v>-286.725710161034</v>
      </c>
      <c r="Y177" s="11" t="n">
        <f aca="false">MAX(X177,-Delay_D/Rho_a)</f>
        <v>-286.725710161034</v>
      </c>
      <c r="Z177" s="11" t="n">
        <f aca="false">IF(V177&lt;Floor_F,MAX((-(Cost_k*Ubar_c+Delay_D)*(1-EXP(-Rho_a*LN((Top_c-V177)/(Top_c-Floor_F))/Delta_c))/Rho_a+EXP(-Rho_a*LN((Top_c-V177)/(Top_c-Floor_F))/Delta_c)*(-Cost_k*Delta_c*Floor_F/Rho_a)),(-Delay_D/Rho_a)),(EXP(-Rho_a*LN(V177/Floor_F)/Delta_c)*(-Cost_k*Delta_c*Floor_F/Rho_a)))</f>
        <v>-286.85370687555</v>
      </c>
      <c r="AA177" s="22" t="n">
        <f aca="false">ABS(Y177-Z177)</f>
        <v>0.127996714515916</v>
      </c>
      <c r="AC177" s="17" t="n">
        <f aca="false">30+157*$AD$5</f>
        <v>39.8125</v>
      </c>
      <c r="AD177" s="17" t="n">
        <f aca="false">Ubar_c-Delta_c*AC177</f>
        <v>6.09526227221779</v>
      </c>
      <c r="AE177" s="11" t="n">
        <f aca="false">(-(Cost_k*Ubar_c+Delay_D)+AD177/$AD$5*AE178)/(Rho_a+AD177/$AD$5)</f>
        <v>-359.811054844153</v>
      </c>
      <c r="AF177" s="11" t="n">
        <f aca="false">MAX(AE177,-Delay_D/Rho_a)</f>
        <v>-335.745877992226</v>
      </c>
      <c r="AG177" s="11" t="n">
        <f aca="false">IF(AC177&lt;Floor_F,MAX((-(Cost_k*Ubar_c+Delay_D)*(1-EXP(-Rho_a*LN((Top_c-AC177)/(Top_c-Floor_F))/Delta_c))/Rho_a+EXP(-Rho_a*LN((Top_c-AC177)/(Top_c-Floor_F))/Delta_c)*(-Cost_k*Delta_c*Floor_F/Rho_a)),(-Delay_D/Rho_a)),(EXP(-Rho_a*LN(AC177/Floor_F)/Delta_c)*(-Cost_k*Delta_c*Floor_F/Rho_a)))</f>
        <v>-335.745877992226</v>
      </c>
      <c r="AH177" s="22" t="n">
        <f aca="false">ABS(AF177-AG177)</f>
        <v>0</v>
      </c>
    </row>
    <row r="178" customFormat="false" ht="15" hidden="false" customHeight="false" outlineLevel="0" collapsed="false">
      <c r="O178" s="17" t="n">
        <f aca="false">30+158*$P$5</f>
        <v>69.5</v>
      </c>
      <c r="P178" s="17" t="n">
        <f aca="false">-Delta_c*O178</f>
        <v>-7.03835061963259</v>
      </c>
      <c r="R178" s="11" t="n">
        <f aca="false">(-P178/$P$5*R177)/(Rho_a-P178/$P$5)</f>
        <v>-187.717090751119</v>
      </c>
      <c r="S178" s="11" t="n">
        <f aca="false">IF(O178&lt;Floor_F,MAX((-(Cost_k*Ubar_c+Delay_D)*(1-EXP(-Rho_a*LN((Top_c-O178)/(Top_c-Floor_F))/Delta_c))/Rho_a+EXP(-Rho_a*LN((Top_c-O178)/(Top_c-Floor_F))/Delta_c)*(-Cost_k*Delta_c*Floor_F/Rho_a)),(-Delay_D/Rho_a)),(EXP(-Rho_a*LN(O178/Floor_F)/Delta_c)*(-Cost_k*Delta_c*Floor_F/Rho_a)))</f>
        <v>-187.555185455832</v>
      </c>
      <c r="T178" s="22" t="n">
        <f aca="false">ABS(R178-S178)</f>
        <v>0.161905295287767</v>
      </c>
      <c r="V178" s="17" t="n">
        <f aca="false">30+158*$W$5</f>
        <v>49.75</v>
      </c>
      <c r="W178" s="17" t="n">
        <f aca="false">Ubar_c-Delta_c*V178</f>
        <v>5.08887940484227</v>
      </c>
      <c r="X178" s="11" t="n">
        <f aca="false">(-(Cost_k*Ubar_c+Delay_D)+W178/$W$5*X179)/(Rho_a+W178/$W$5)</f>
        <v>-285.618676089893</v>
      </c>
      <c r="Y178" s="11" t="n">
        <f aca="false">MAX(X178,-Delay_D/Rho_a)</f>
        <v>-285.618676089893</v>
      </c>
      <c r="Z178" s="11" t="n">
        <f aca="false">IF(V178&lt;Floor_F,MAX((-(Cost_k*Ubar_c+Delay_D)*(1-EXP(-Rho_a*LN((Top_c-V178)/(Top_c-Floor_F))/Delta_c))/Rho_a+EXP(-Rho_a*LN((Top_c-V178)/(Top_c-Floor_F))/Delta_c)*(-Cost_k*Delta_c*Floor_F/Rho_a)),(-Delay_D/Rho_a)),(EXP(-Rho_a*LN(V178/Floor_F)/Delta_c)*(-Cost_k*Delta_c*Floor_F/Rho_a)))</f>
        <v>-285.744299802719</v>
      </c>
      <c r="AA178" s="22" t="n">
        <f aca="false">ABS(Y178-Z178)</f>
        <v>0.125623712826211</v>
      </c>
      <c r="AC178" s="17" t="n">
        <f aca="false">30+158*$AD$5</f>
        <v>39.875</v>
      </c>
      <c r="AD178" s="17" t="n">
        <f aca="false">Ubar_c-Delta_c*AC178</f>
        <v>6.08893282022172</v>
      </c>
      <c r="AE178" s="11" t="n">
        <f aca="false">(-(Cost_k*Ubar_c+Delay_D)+AD178/$AD$5*AE179)/(Rho_a+AD178/$AD$5)</f>
        <v>-359.419205048203</v>
      </c>
      <c r="AF178" s="11" t="n">
        <f aca="false">MAX(AE178,-Delay_D/Rho_a)</f>
        <v>-335.745877992226</v>
      </c>
      <c r="AG178" s="11" t="n">
        <f aca="false">IF(AC178&lt;Floor_F,MAX((-(Cost_k*Ubar_c+Delay_D)*(1-EXP(-Rho_a*LN((Top_c-AC178)/(Top_c-Floor_F))/Delta_c))/Rho_a+EXP(-Rho_a*LN((Top_c-AC178)/(Top_c-Floor_F))/Delta_c)*(-Cost_k*Delta_c*Floor_F/Rho_a)),(-Delay_D/Rho_a)),(EXP(-Rho_a*LN(AC178/Floor_F)/Delta_c)*(-Cost_k*Delta_c*Floor_F/Rho_a)))</f>
        <v>-335.745877992226</v>
      </c>
      <c r="AH178" s="22" t="n">
        <f aca="false">ABS(AF178-AG178)</f>
        <v>0</v>
      </c>
    </row>
    <row r="179" customFormat="false" ht="15" hidden="false" customHeight="false" outlineLevel="0" collapsed="false">
      <c r="O179" s="17" t="n">
        <f aca="false">30+159*$P$5</f>
        <v>69.75</v>
      </c>
      <c r="P179" s="17" t="n">
        <f aca="false">-Delta_c*O179</f>
        <v>-7.06366842761688</v>
      </c>
      <c r="R179" s="11" t="n">
        <f aca="false">(-P179/$P$5*R178)/(Rho_a-P179/$P$5)</f>
        <v>-187.086002220661</v>
      </c>
      <c r="S179" s="11" t="n">
        <f aca="false">IF(O179&lt;Floor_F,MAX((-(Cost_k*Ubar_c+Delay_D)*(1-EXP(-Rho_a*LN((Top_c-O179)/(Top_c-Floor_F))/Delta_c))/Rho_a+EXP(-Rho_a*LN((Top_c-O179)/(Top_c-Floor_F))/Delta_c)*(-Cost_k*Delta_c*Floor_F/Rho_a)),(-Delay_D/Rho_a)),(EXP(-Rho_a*LN(O179/Floor_F)/Delta_c)*(-Cost_k*Delta_c*Floor_F/Rho_a)))</f>
        <v>-186.922447427597</v>
      </c>
      <c r="T179" s="22" t="n">
        <f aca="false">ABS(R179-S179)</f>
        <v>0.163554793064293</v>
      </c>
      <c r="V179" s="17" t="n">
        <f aca="false">30+159*$W$5</f>
        <v>49.875</v>
      </c>
      <c r="W179" s="17" t="n">
        <f aca="false">Ubar_c-Delta_c*V179</f>
        <v>5.07622050085013</v>
      </c>
      <c r="X179" s="11" t="n">
        <f aca="false">(-(Cost_k*Ubar_c+Delay_D)+W179/$W$5*X180)/(Rho_a+W179/$W$5)</f>
        <v>-284.506296482357</v>
      </c>
      <c r="Y179" s="11" t="n">
        <f aca="false">MAX(X179,-Delay_D/Rho_a)</f>
        <v>-284.506296482357</v>
      </c>
      <c r="Z179" s="11" t="n">
        <f aca="false">IF(V179&lt;Floor_F,MAX((-(Cost_k*Ubar_c+Delay_D)*(1-EXP(-Rho_a*LN((Top_c-V179)/(Top_c-Floor_F))/Delta_c))/Rho_a+EXP(-Rho_a*LN((Top_c-V179)/(Top_c-Floor_F))/Delta_c)*(-Cost_k*Delta_c*Floor_F/Rho_a)),(-Delay_D/Rho_a)),(EXP(-Rho_a*LN(V179/Floor_F)/Delta_c)*(-Cost_k*Delta_c*Floor_F/Rho_a)))</f>
        <v>-284.629522769532</v>
      </c>
      <c r="AA179" s="22" t="n">
        <f aca="false">ABS(Y179-Z179)</f>
        <v>0.123226287175498</v>
      </c>
      <c r="AC179" s="17" t="n">
        <f aca="false">30+159*$AD$5</f>
        <v>39.9375</v>
      </c>
      <c r="AD179" s="17" t="n">
        <f aca="false">Ubar_c-Delta_c*AC179</f>
        <v>6.08260336822565</v>
      </c>
      <c r="AE179" s="11" t="n">
        <f aca="false">(-(Cost_k*Ubar_c+Delay_D)+AD179/$AD$5*AE180)/(Rho_a+AD179/$AD$5)</f>
        <v>-359.026564571969</v>
      </c>
      <c r="AF179" s="11" t="n">
        <f aca="false">MAX(AE179,-Delay_D/Rho_a)</f>
        <v>-335.745877992226</v>
      </c>
      <c r="AG179" s="11" t="n">
        <f aca="false">IF(AC179&lt;Floor_F,MAX((-(Cost_k*Ubar_c+Delay_D)*(1-EXP(-Rho_a*LN((Top_c-AC179)/(Top_c-Floor_F))/Delta_c))/Rho_a+EXP(-Rho_a*LN((Top_c-AC179)/(Top_c-Floor_F))/Delta_c)*(-Cost_k*Delta_c*Floor_F/Rho_a)),(-Delay_D/Rho_a)),(EXP(-Rho_a*LN(AC179/Floor_F)/Delta_c)*(-Cost_k*Delta_c*Floor_F/Rho_a)))</f>
        <v>-335.745877992226</v>
      </c>
      <c r="AH179" s="22" t="n">
        <f aca="false">ABS(AF179-AG179)</f>
        <v>0</v>
      </c>
    </row>
    <row r="180" customFormat="false" ht="15" hidden="false" customHeight="false" outlineLevel="0" collapsed="false">
      <c r="O180" s="17" t="n">
        <f aca="false">30+160*$P$5</f>
        <v>70</v>
      </c>
      <c r="P180" s="17" t="n">
        <f aca="false">-Delta_c*O180</f>
        <v>-7.08898623560117</v>
      </c>
      <c r="R180" s="11" t="n">
        <f aca="false">(-P180/$P$5*R179)/(Rho_a-P180/$P$5)</f>
        <v>-186.459274140162</v>
      </c>
      <c r="S180" s="11" t="n">
        <f aca="false">IF(O180&lt;Floor_F,MAX((-(Cost_k*Ubar_c+Delay_D)*(1-EXP(-Rho_a*LN((Top_c-O180)/(Top_c-Floor_F))/Delta_c))/Rho_a+EXP(-Rho_a*LN((Top_c-O180)/(Top_c-Floor_F))/Delta_c)*(-Cost_k*Delta_c*Floor_F/Rho_a)),(-Delay_D/Rho_a)),(EXP(-Rho_a*LN(O180/Floor_F)/Delta_c)*(-Cost_k*Delta_c*Floor_F/Rho_a)))</f>
        <v>-186.294096402992</v>
      </c>
      <c r="T180" s="22" t="n">
        <f aca="false">ABS(R180-S180)</f>
        <v>0.165177737170239</v>
      </c>
      <c r="V180" s="17" t="n">
        <f aca="false">30+160*$W$5</f>
        <v>50</v>
      </c>
      <c r="W180" s="17" t="n">
        <f aca="false">Ubar_c-Delta_c*V180</f>
        <v>5.06356159685798</v>
      </c>
      <c r="X180" s="11" t="n">
        <f aca="false">(-(Cost_k*Ubar_c+Delay_D)+W180/$W$5*X181)/(Rho_a+W180/$W$5)</f>
        <v>-283.388532131545</v>
      </c>
      <c r="Y180" s="11" t="n">
        <f aca="false">MAX(X180,-Delay_D/Rho_a)</f>
        <v>-283.388532131545</v>
      </c>
      <c r="Z180" s="11" t="n">
        <f aca="false">IF(V180&lt;Floor_F,MAX((-(Cost_k*Ubar_c+Delay_D)*(1-EXP(-Rho_a*LN((Top_c-V180)/(Top_c-Floor_F))/Delta_c))/Rho_a+EXP(-Rho_a*LN((Top_c-V180)/(Top_c-Floor_F))/Delta_c)*(-Cost_k*Delta_c*Floor_F/Rho_a)),(-Delay_D/Rho_a)),(EXP(-Rho_a*LN(V180/Floor_F)/Delta_c)*(-Cost_k*Delta_c*Floor_F/Rho_a)))</f>
        <v>-283.509336294407</v>
      </c>
      <c r="AA180" s="22" t="n">
        <f aca="false">ABS(Y180-Z180)</f>
        <v>0.120804162861418</v>
      </c>
      <c r="AC180" s="17" t="n">
        <f aca="false">30+160*$AD$5</f>
        <v>40</v>
      </c>
      <c r="AD180" s="17" t="n">
        <f aca="false">Ubar_c-Delta_c*AC180</f>
        <v>6.07627391622958</v>
      </c>
      <c r="AE180" s="11" t="n">
        <f aca="false">(-(Cost_k*Ubar_c+Delay_D)+AD180/$AD$5*AE181)/(Rho_a+AD180/$AD$5)</f>
        <v>-358.633130995577</v>
      </c>
      <c r="AF180" s="11" t="n">
        <f aca="false">MAX(AE180,-Delay_D/Rho_a)</f>
        <v>-335.745877992226</v>
      </c>
      <c r="AG180" s="11" t="n">
        <f aca="false">IF(AC180&lt;Floor_F,MAX((-(Cost_k*Ubar_c+Delay_D)*(1-EXP(-Rho_a*LN((Top_c-AC180)/(Top_c-Floor_F))/Delta_c))/Rho_a+EXP(-Rho_a*LN((Top_c-AC180)/(Top_c-Floor_F))/Delta_c)*(-Cost_k*Delta_c*Floor_F/Rho_a)),(-Delay_D/Rho_a)),(EXP(-Rho_a*LN(AC180/Floor_F)/Delta_c)*(-Cost_k*Delta_c*Floor_F/Rho_a)))</f>
        <v>-335.745877992226</v>
      </c>
      <c r="AH180" s="22" t="n">
        <f aca="false">ABS(AF180-AG180)</f>
        <v>0</v>
      </c>
    </row>
    <row r="181" customFormat="false" ht="15" hidden="false" customHeight="false" outlineLevel="0" collapsed="false">
      <c r="O181" s="17" t="n">
        <f aca="false">30+161*$P$5</f>
        <v>70.25</v>
      </c>
      <c r="P181" s="17" t="n">
        <f aca="false">-Delta_c*O181</f>
        <v>-7.11430404358546</v>
      </c>
      <c r="R181" s="11" t="n">
        <f aca="false">(-P181/$P$5*R180)/(Rho_a-P181/$P$5)</f>
        <v>-185.836861022526</v>
      </c>
      <c r="S181" s="11" t="n">
        <f aca="false">IF(O181&lt;Floor_F,MAX((-(Cost_k*Ubar_c+Delay_D)*(1-EXP(-Rho_a*LN((Top_c-O181)/(Top_c-Floor_F))/Delta_c))/Rho_a+EXP(-Rho_a*LN((Top_c-O181)/(Top_c-Floor_F))/Delta_c)*(-Cost_k*Delta_c*Floor_F/Rho_a)),(-Delay_D/Rho_a)),(EXP(-Rho_a*LN(O181/Floor_F)/Delta_c)*(-Cost_k*Delta_c*Floor_F/Rho_a)))</f>
        <v>-185.670086459823</v>
      </c>
      <c r="T181" s="22" t="n">
        <f aca="false">ABS(R181-S181)</f>
        <v>0.166774562702813</v>
      </c>
      <c r="V181" s="17" t="n">
        <f aca="false">30+161*$W$5</f>
        <v>50.125</v>
      </c>
      <c r="W181" s="17" t="n">
        <f aca="false">Ubar_c-Delta_c*V181</f>
        <v>5.05090269286584</v>
      </c>
      <c r="X181" s="11" t="n">
        <f aca="false">(-(Cost_k*Ubar_c+Delay_D)+W181/$W$5*X182)/(Rho_a+W181/$W$5)</f>
        <v>-282.265343444279</v>
      </c>
      <c r="Y181" s="11" t="n">
        <f aca="false">MAX(X181,-Delay_D/Rho_a)</f>
        <v>-282.265343444279</v>
      </c>
      <c r="Z181" s="11" t="n">
        <f aca="false">IF(V181&lt;Floor_F,MAX((-(Cost_k*Ubar_c+Delay_D)*(1-EXP(-Rho_a*LN((Top_c-V181)/(Top_c-Floor_F))/Delta_c))/Rho_a+EXP(-Rho_a*LN((Top_c-V181)/(Top_c-Floor_F))/Delta_c)*(-Cost_k*Delta_c*Floor_F/Rho_a)),(-Delay_D/Rho_a)),(EXP(-Rho_a*LN(V181/Floor_F)/Delta_c)*(-Cost_k*Delta_c*Floor_F/Rho_a)))</f>
        <v>-282.383700505808</v>
      </c>
      <c r="AA181" s="22" t="n">
        <f aca="false">ABS(Y181-Z181)</f>
        <v>0.1183570615284</v>
      </c>
      <c r="AC181" s="17" t="n">
        <f aca="false">30+161*$AD$5</f>
        <v>40.0625</v>
      </c>
      <c r="AD181" s="17" t="n">
        <f aca="false">Ubar_c-Delta_c*AC181</f>
        <v>6.0699444642335</v>
      </c>
      <c r="AE181" s="11" t="n">
        <f aca="false">(-(Cost_k*Ubar_c+Delay_D)+AD181/$AD$5*AE182)/(Rho_a+AD181/$AD$5)</f>
        <v>-358.238901889217</v>
      </c>
      <c r="AF181" s="11" t="n">
        <f aca="false">MAX(AE181,-Delay_D/Rho_a)</f>
        <v>-335.745877992226</v>
      </c>
      <c r="AG181" s="11" t="n">
        <f aca="false">IF(AC181&lt;Floor_F,MAX((-(Cost_k*Ubar_c+Delay_D)*(1-EXP(-Rho_a*LN((Top_c-AC181)/(Top_c-Floor_F))/Delta_c))/Rho_a+EXP(-Rho_a*LN((Top_c-AC181)/(Top_c-Floor_F))/Delta_c)*(-Cost_k*Delta_c*Floor_F/Rho_a)),(-Delay_D/Rho_a)),(EXP(-Rho_a*LN(AC181/Floor_F)/Delta_c)*(-Cost_k*Delta_c*Floor_F/Rho_a)))</f>
        <v>-335.745877992226</v>
      </c>
      <c r="AH181" s="22" t="n">
        <f aca="false">ABS(AF181-AG181)</f>
        <v>0</v>
      </c>
    </row>
    <row r="182" customFormat="false" ht="15" hidden="false" customHeight="false" outlineLevel="0" collapsed="false">
      <c r="O182" s="17" t="n">
        <f aca="false">30+162*$P$5</f>
        <v>70.5</v>
      </c>
      <c r="P182" s="17" t="n">
        <f aca="false">-Delta_c*O182</f>
        <v>-7.13962185156975</v>
      </c>
      <c r="R182" s="11" t="n">
        <f aca="false">(-P182/$P$5*R181)/(Rho_a-P182/$P$5)</f>
        <v>-185.218718014252</v>
      </c>
      <c r="S182" s="11" t="n">
        <f aca="false">IF(O182&lt;Floor_F,MAX((-(Cost_k*Ubar_c+Delay_D)*(1-EXP(-Rho_a*LN((Top_c-O182)/(Top_c-Floor_F))/Delta_c))/Rho_a+EXP(-Rho_a*LN((Top_c-O182)/(Top_c-Floor_F))/Delta_c)*(-Cost_k*Delta_c*Floor_F/Rho_a)),(-Delay_D/Rho_a)),(EXP(-Rho_a*LN(O182/Floor_F)/Delta_c)*(-Cost_k*Delta_c*Floor_F/Rho_a)))</f>
        <v>-185.050372317755</v>
      </c>
      <c r="T182" s="22" t="n">
        <f aca="false">ABS(R182-S182)</f>
        <v>0.168345696496829</v>
      </c>
      <c r="V182" s="17" t="n">
        <f aca="false">30+162*$W$5</f>
        <v>50.25</v>
      </c>
      <c r="W182" s="17" t="n">
        <f aca="false">Ubar_c-Delta_c*V182</f>
        <v>5.03824378887369</v>
      </c>
      <c r="X182" s="11" t="n">
        <f aca="false">(-(Cost_k*Ubar_c+Delay_D)+W182/$W$5*X183)/(Rho_a+W182/$W$5)</f>
        <v>-281.136690436296</v>
      </c>
      <c r="Y182" s="11" t="n">
        <f aca="false">MAX(X182,-Delay_D/Rho_a)</f>
        <v>-281.136690436296</v>
      </c>
      <c r="Z182" s="11" t="n">
        <f aca="false">IF(V182&lt;Floor_F,MAX((-(Cost_k*Ubar_c+Delay_D)*(1-EXP(-Rho_a*LN((Top_c-V182)/(Top_c-Floor_F))/Delta_c))/Rho_a+EXP(-Rho_a*LN((Top_c-V182)/(Top_c-Floor_F))/Delta_c)*(-Cost_k*Delta_c*Floor_F/Rho_a)),(-Delay_D/Rho_a)),(EXP(-Rho_a*LN(V182/Floor_F)/Delta_c)*(-Cost_k*Delta_c*Floor_F/Rho_a)))</f>
        <v>-281.252575137408</v>
      </c>
      <c r="AA182" s="22" t="n">
        <f aca="false">ABS(Y182-Z182)</f>
        <v>0.11588470111127</v>
      </c>
      <c r="AC182" s="17" t="n">
        <f aca="false">30+162*$AD$5</f>
        <v>40.125</v>
      </c>
      <c r="AD182" s="17" t="n">
        <f aca="false">Ubar_c-Delta_c*AC182</f>
        <v>6.06361501223743</v>
      </c>
      <c r="AE182" s="11" t="n">
        <f aca="false">(-(Cost_k*Ubar_c+Delay_D)+AD182/$AD$5*AE183)/(Rho_a+AD182/$AD$5)</f>
        <v>-357.843874813095</v>
      </c>
      <c r="AF182" s="11" t="n">
        <f aca="false">MAX(AE182,-Delay_D/Rho_a)</f>
        <v>-335.745877992226</v>
      </c>
      <c r="AG182" s="11" t="n">
        <f aca="false">IF(AC182&lt;Floor_F,MAX((-(Cost_k*Ubar_c+Delay_D)*(1-EXP(-Rho_a*LN((Top_c-AC182)/(Top_c-Floor_F))/Delta_c))/Rho_a+EXP(-Rho_a*LN((Top_c-AC182)/(Top_c-Floor_F))/Delta_c)*(-Cost_k*Delta_c*Floor_F/Rho_a)),(-Delay_D/Rho_a)),(EXP(-Rho_a*LN(AC182/Floor_F)/Delta_c)*(-Cost_k*Delta_c*Floor_F/Rho_a)))</f>
        <v>-335.745877992226</v>
      </c>
      <c r="AH182" s="22" t="n">
        <f aca="false">ABS(AF182-AG182)</f>
        <v>0</v>
      </c>
    </row>
    <row r="183" customFormat="false" ht="15" hidden="false" customHeight="false" outlineLevel="0" collapsed="false">
      <c r="O183" s="17" t="n">
        <f aca="false">30+163*$P$5</f>
        <v>70.75</v>
      </c>
      <c r="P183" s="17" t="n">
        <f aca="false">-Delta_c*O183</f>
        <v>-7.16493965955404</v>
      </c>
      <c r="R183" s="11" t="n">
        <f aca="false">(-P183/$P$5*R182)/(Rho_a-P183/$P$5)</f>
        <v>-184.604800884413</v>
      </c>
      <c r="S183" s="11" t="n">
        <f aca="false">IF(O183&lt;Floor_F,MAX((-(Cost_k*Ubar_c+Delay_D)*(1-EXP(-Rho_a*LN((Top_c-O183)/(Top_c-Floor_F))/Delta_c))/Rho_a+EXP(-Rho_a*LN((Top_c-O183)/(Top_c-Floor_F))/Delta_c)*(-Cost_k*Delta_c*Floor_F/Rho_a)),(-Delay_D/Rho_a)),(EXP(-Rho_a*LN(O183/Floor_F)/Delta_c)*(-Cost_k*Delta_c*Floor_F/Rho_a)))</f>
        <v>-184.434909327107</v>
      </c>
      <c r="T183" s="22" t="n">
        <f aca="false">ABS(R183-S183)</f>
        <v>0.169891557306755</v>
      </c>
      <c r="V183" s="17" t="n">
        <f aca="false">30+163*$W$5</f>
        <v>50.375</v>
      </c>
      <c r="W183" s="17" t="n">
        <f aca="false">Ubar_c-Delta_c*V183</f>
        <v>5.02558488488155</v>
      </c>
      <c r="X183" s="11" t="n">
        <f aca="false">(-(Cost_k*Ubar_c+Delay_D)+W183/$W$5*X184)/(Rho_a+W183/$W$5)</f>
        <v>-280.002532727396</v>
      </c>
      <c r="Y183" s="11" t="n">
        <f aca="false">MAX(X183,-Delay_D/Rho_a)</f>
        <v>-280.002532727396</v>
      </c>
      <c r="Z183" s="11" t="n">
        <f aca="false">IF(V183&lt;Floor_F,MAX((-(Cost_k*Ubar_c+Delay_D)*(1-EXP(-Rho_a*LN((Top_c-V183)/(Top_c-Floor_F))/Delta_c))/Rho_a+EXP(-Rho_a*LN((Top_c-V183)/(Top_c-Floor_F))/Delta_c)*(-Cost_k*Delta_c*Floor_F/Rho_a)),(-Delay_D/Rho_a)),(EXP(-Rho_a*LN(V183/Floor_F)/Delta_c)*(-Cost_k*Delta_c*Floor_F/Rho_a)))</f>
        <v>-280.115919523172</v>
      </c>
      <c r="AA183" s="22" t="n">
        <f aca="false">ABS(Y183-Z183)</f>
        <v>0.113386795776819</v>
      </c>
      <c r="AC183" s="17" t="n">
        <f aca="false">30+163*$AD$5</f>
        <v>40.1875</v>
      </c>
      <c r="AD183" s="17" t="n">
        <f aca="false">Ubar_c-Delta_c*AC183</f>
        <v>6.05728556024136</v>
      </c>
      <c r="AE183" s="11" t="n">
        <f aca="false">(-(Cost_k*Ubar_c+Delay_D)+AD183/$AD$5*AE184)/(Rho_a+AD183/$AD$5)</f>
        <v>-357.448047317378</v>
      </c>
      <c r="AF183" s="11" t="n">
        <f aca="false">MAX(AE183,-Delay_D/Rho_a)</f>
        <v>-335.745877992226</v>
      </c>
      <c r="AG183" s="11" t="n">
        <f aca="false">IF(AC183&lt;Floor_F,MAX((-(Cost_k*Ubar_c+Delay_D)*(1-EXP(-Rho_a*LN((Top_c-AC183)/(Top_c-Floor_F))/Delta_c))/Rho_a+EXP(-Rho_a*LN((Top_c-AC183)/(Top_c-Floor_F))/Delta_c)*(-Cost_k*Delta_c*Floor_F/Rho_a)),(-Delay_D/Rho_a)),(EXP(-Rho_a*LN(AC183/Floor_F)/Delta_c)*(-Cost_k*Delta_c*Floor_F/Rho_a)))</f>
        <v>-335.745877992226</v>
      </c>
      <c r="AH183" s="22" t="n">
        <f aca="false">ABS(AF183-AG183)</f>
        <v>0</v>
      </c>
    </row>
    <row r="184" customFormat="false" ht="15" hidden="false" customHeight="false" outlineLevel="0" collapsed="false">
      <c r="O184" s="17" t="n">
        <f aca="false">30+164*$P$5</f>
        <v>71</v>
      </c>
      <c r="P184" s="17" t="n">
        <f aca="false">-Delta_c*O184</f>
        <v>-7.19025746753833</v>
      </c>
      <c r="R184" s="11" t="n">
        <f aca="false">(-P184/$P$5*R183)/(Rho_a-P184/$P$5)</f>
        <v>-183.995066013859</v>
      </c>
      <c r="S184" s="11" t="n">
        <f aca="false">IF(O184&lt;Floor_F,MAX((-(Cost_k*Ubar_c+Delay_D)*(1-EXP(-Rho_a*LN((Top_c-O184)/(Top_c-Floor_F))/Delta_c))/Rho_a+EXP(-Rho_a*LN((Top_c-O184)/(Top_c-Floor_F))/Delta_c)*(-Cost_k*Delta_c*Floor_F/Rho_a)),(-Delay_D/Rho_a)),(EXP(-Rho_a*LN(O184/Floor_F)/Delta_c)*(-Cost_k*Delta_c*Floor_F/Rho_a)))</f>
        <v>-183.823653457875</v>
      </c>
      <c r="T184" s="22" t="n">
        <f aca="false">ABS(R184-S184)</f>
        <v>0.171412555984006</v>
      </c>
      <c r="V184" s="17" t="n">
        <f aca="false">30+164*$W$5</f>
        <v>50.5</v>
      </c>
      <c r="W184" s="17" t="n">
        <f aca="false">Ubar_c-Delta_c*V184</f>
        <v>5.0129259808894</v>
      </c>
      <c r="X184" s="11" t="n">
        <f aca="false">(-(Cost_k*Ubar_c+Delay_D)+W184/$W$5*X185)/(Rho_a+W184/$W$5)</f>
        <v>-278.862829536509</v>
      </c>
      <c r="Y184" s="11" t="n">
        <f aca="false">MAX(X184,-Delay_D/Rho_a)</f>
        <v>-278.862829536509</v>
      </c>
      <c r="Z184" s="11" t="n">
        <f aca="false">IF(V184&lt;Floor_F,MAX((-(Cost_k*Ubar_c+Delay_D)*(1-EXP(-Rho_a*LN((Top_c-V184)/(Top_c-Floor_F))/Delta_c))/Rho_a+EXP(-Rho_a*LN((Top_c-V184)/(Top_c-Floor_F))/Delta_c)*(-Cost_k*Delta_c*Floor_F/Rho_a)),(-Delay_D/Rho_a)),(EXP(-Rho_a*LN(V184/Floor_F)/Delta_c)*(-Cost_k*Delta_c*Floor_F/Rho_a)))</f>
        <v>-278.973692592374</v>
      </c>
      <c r="AA184" s="22" t="n">
        <f aca="false">ABS(Y184-Z184)</f>
        <v>0.110863055864797</v>
      </c>
      <c r="AC184" s="17" t="n">
        <f aca="false">30+164*$AD$5</f>
        <v>40.25</v>
      </c>
      <c r="AD184" s="17" t="n">
        <f aca="false">Ubar_c-Delta_c*AC184</f>
        <v>6.05095610824529</v>
      </c>
      <c r="AE184" s="11" t="n">
        <f aca="false">(-(Cost_k*Ubar_c+Delay_D)+AD184/$AD$5*AE185)/(Rho_a+AD184/$AD$5)</f>
        <v>-357.051416942146</v>
      </c>
      <c r="AF184" s="11" t="n">
        <f aca="false">MAX(AE184,-Delay_D/Rho_a)</f>
        <v>-335.745877992226</v>
      </c>
      <c r="AG184" s="11" t="n">
        <f aca="false">IF(AC184&lt;Floor_F,MAX((-(Cost_k*Ubar_c+Delay_D)*(1-EXP(-Rho_a*LN((Top_c-AC184)/(Top_c-Floor_F))/Delta_c))/Rho_a+EXP(-Rho_a*LN((Top_c-AC184)/(Top_c-Floor_F))/Delta_c)*(-Cost_k*Delta_c*Floor_F/Rho_a)),(-Delay_D/Rho_a)),(EXP(-Rho_a*LN(AC184/Floor_F)/Delta_c)*(-Cost_k*Delta_c*Floor_F/Rho_a)))</f>
        <v>-335.745877992226</v>
      </c>
      <c r="AH184" s="22" t="n">
        <f aca="false">ABS(AF184-AG184)</f>
        <v>0</v>
      </c>
    </row>
    <row r="185" customFormat="false" ht="15" hidden="false" customHeight="false" outlineLevel="0" collapsed="false">
      <c r="O185" s="17" t="n">
        <f aca="false">30+165*$P$5</f>
        <v>71.25</v>
      </c>
      <c r="P185" s="17" t="n">
        <f aca="false">-Delta_c*O185</f>
        <v>-7.21557527552262</v>
      </c>
      <c r="R185" s="11" t="n">
        <f aca="false">(-P185/$P$5*R184)/(Rho_a-P185/$P$5)</f>
        <v>-183.389470384642</v>
      </c>
      <c r="S185" s="11" t="n">
        <f aca="false">IF(O185&lt;Floor_F,MAX((-(Cost_k*Ubar_c+Delay_D)*(1-EXP(-Rho_a*LN((Top_c-O185)/(Top_c-Floor_F))/Delta_c))/Rho_a+EXP(-Rho_a*LN((Top_c-O185)/(Top_c-Floor_F))/Delta_c)*(-Cost_k*Delta_c*Floor_F/Rho_a)),(-Delay_D/Rho_a)),(EXP(-Rho_a*LN(O185/Floor_F)/Delta_c)*(-Cost_k*Delta_c*Floor_F/Rho_a)))</f>
        <v>-183.216561288992</v>
      </c>
      <c r="T185" s="22" t="n">
        <f aca="false">ABS(R185-S185)</f>
        <v>0.172909095650226</v>
      </c>
      <c r="V185" s="17" t="n">
        <f aca="false">30+165*$W$5</f>
        <v>50.625</v>
      </c>
      <c r="W185" s="17" t="n">
        <f aca="false">Ubar_c-Delta_c*V185</f>
        <v>5.00026707689726</v>
      </c>
      <c r="X185" s="11" t="n">
        <f aca="false">(-(Cost_k*Ubar_c+Delay_D)+W185/$W$5*X186)/(Rho_a+W185/$W$5)</f>
        <v>-277.717539676703</v>
      </c>
      <c r="Y185" s="11" t="n">
        <f aca="false">MAX(X185,-Delay_D/Rho_a)</f>
        <v>-277.717539676703</v>
      </c>
      <c r="Z185" s="11" t="n">
        <f aca="false">IF(V185&lt;Floor_F,MAX((-(Cost_k*Ubar_c+Delay_D)*(1-EXP(-Rho_a*LN((Top_c-V185)/(Top_c-Floor_F))/Delta_c))/Rho_a+EXP(-Rho_a*LN((Top_c-V185)/(Top_c-Floor_F))/Delta_c)*(-Cost_k*Delta_c*Floor_F/Rho_a)),(-Delay_D/Rho_a)),(EXP(-Rho_a*LN(V185/Floor_F)/Delta_c)*(-Cost_k*Delta_c*Floor_F/Rho_a)))</f>
        <v>-277.825852864531</v>
      </c>
      <c r="AA185" s="22" t="n">
        <f aca="false">ABS(Y185-Z185)</f>
        <v>0.108313187827946</v>
      </c>
      <c r="AC185" s="17" t="n">
        <f aca="false">30+165*$AD$5</f>
        <v>40.3125</v>
      </c>
      <c r="AD185" s="17" t="n">
        <f aca="false">Ubar_c-Delta_c*AC185</f>
        <v>6.04462665624921</v>
      </c>
      <c r="AE185" s="11" t="n">
        <f aca="false">(-(Cost_k*Ubar_c+Delay_D)+AD185/$AD$5*AE186)/(Rho_a+AD185/$AD$5)</f>
        <v>-356.653981217337</v>
      </c>
      <c r="AF185" s="11" t="n">
        <f aca="false">MAX(AE185,-Delay_D/Rho_a)</f>
        <v>-335.745877992226</v>
      </c>
      <c r="AG185" s="11" t="n">
        <f aca="false">IF(AC185&lt;Floor_F,MAX((-(Cost_k*Ubar_c+Delay_D)*(1-EXP(-Rho_a*LN((Top_c-AC185)/(Top_c-Floor_F))/Delta_c))/Rho_a+EXP(-Rho_a*LN((Top_c-AC185)/(Top_c-Floor_F))/Delta_c)*(-Cost_k*Delta_c*Floor_F/Rho_a)),(-Delay_D/Rho_a)),(EXP(-Rho_a*LN(AC185/Floor_F)/Delta_c)*(-Cost_k*Delta_c*Floor_F/Rho_a)))</f>
        <v>-335.745877992226</v>
      </c>
      <c r="AH185" s="22" t="n">
        <f aca="false">ABS(AF185-AG185)</f>
        <v>0</v>
      </c>
    </row>
    <row r="186" customFormat="false" ht="15" hidden="false" customHeight="false" outlineLevel="0" collapsed="false">
      <c r="O186" s="17" t="n">
        <f aca="false">30+166*$P$5</f>
        <v>71.5</v>
      </c>
      <c r="P186" s="17" t="n">
        <f aca="false">-Delta_c*O186</f>
        <v>-7.24089308350691</v>
      </c>
      <c r="R186" s="11" t="n">
        <f aca="false">(-P186/$P$5*R185)/(Rho_a-P186/$P$5)</f>
        <v>-182.787971569666</v>
      </c>
      <c r="S186" s="11" t="n">
        <f aca="false">IF(O186&lt;Floor_F,MAX((-(Cost_k*Ubar_c+Delay_D)*(1-EXP(-Rho_a*LN((Top_c-O186)/(Top_c-Floor_F))/Delta_c))/Rho_a+EXP(-Rho_a*LN((Top_c-O186)/(Top_c-Floor_F))/Delta_c)*(-Cost_k*Delta_c*Floor_F/Rho_a)),(-Delay_D/Rho_a)),(EXP(-Rho_a*LN(O186/Floor_F)/Delta_c)*(-Cost_k*Delta_c*Floor_F/Rho_a)))</f>
        <v>-182.6135899978</v>
      </c>
      <c r="T186" s="22" t="n">
        <f aca="false">ABS(R186-S186)</f>
        <v>0.174381571865894</v>
      </c>
      <c r="V186" s="17" t="n">
        <f aca="false">30+166*$W$5</f>
        <v>50.75</v>
      </c>
      <c r="W186" s="17" t="n">
        <f aca="false">Ubar_c-Delta_c*V186</f>
        <v>4.98760817290511</v>
      </c>
      <c r="X186" s="11" t="n">
        <f aca="false">(-(Cost_k*Ubar_c+Delay_D)+W186/$W$5*X187)/(Rho_a+W186/$W$5)</f>
        <v>-276.566621550094</v>
      </c>
      <c r="Y186" s="11" t="n">
        <f aca="false">MAX(X186,-Delay_D/Rho_a)</f>
        <v>-276.566621550094</v>
      </c>
      <c r="Z186" s="11" t="n">
        <f aca="false">IF(V186&lt;Floor_F,MAX((-(Cost_k*Ubar_c+Delay_D)*(1-EXP(-Rho_a*LN((Top_c-V186)/(Top_c-Floor_F))/Delta_c))/Rho_a+EXP(-Rho_a*LN((Top_c-V186)/(Top_c-Floor_F))/Delta_c)*(-Cost_k*Delta_c*Floor_F/Rho_a)),(-Delay_D/Rho_a)),(EXP(-Rho_a*LN(V186/Floor_F)/Delta_c)*(-Cost_k*Delta_c*Floor_F/Rho_a)))</f>
        <v>-276.672358444265</v>
      </c>
      <c r="AA186" s="22" t="n">
        <f aca="false">ABS(Y186-Z186)</f>
        <v>0.105736894170605</v>
      </c>
      <c r="AC186" s="17" t="n">
        <f aca="false">30+166*$AD$5</f>
        <v>40.375</v>
      </c>
      <c r="AD186" s="17" t="n">
        <f aca="false">Ubar_c-Delta_c*AC186</f>
        <v>6.03829720425314</v>
      </c>
      <c r="AE186" s="11" t="n">
        <f aca="false">(-(Cost_k*Ubar_c+Delay_D)+AD186/$AD$5*AE187)/(Rho_a+AD186/$AD$5)</f>
        <v>-356.255737662695</v>
      </c>
      <c r="AF186" s="11" t="n">
        <f aca="false">MAX(AE186,-Delay_D/Rho_a)</f>
        <v>-335.745877992226</v>
      </c>
      <c r="AG186" s="11" t="n">
        <f aca="false">IF(AC186&lt;Floor_F,MAX((-(Cost_k*Ubar_c+Delay_D)*(1-EXP(-Rho_a*LN((Top_c-AC186)/(Top_c-Floor_F))/Delta_c))/Rho_a+EXP(-Rho_a*LN((Top_c-AC186)/(Top_c-Floor_F))/Delta_c)*(-Cost_k*Delta_c*Floor_F/Rho_a)),(-Delay_D/Rho_a)),(EXP(-Rho_a*LN(AC186/Floor_F)/Delta_c)*(-Cost_k*Delta_c*Floor_F/Rho_a)))</f>
        <v>-335.745877992226</v>
      </c>
      <c r="AH186" s="22" t="n">
        <f aca="false">ABS(AF186-AG186)</f>
        <v>0</v>
      </c>
    </row>
    <row r="187" customFormat="false" ht="15" hidden="false" customHeight="false" outlineLevel="0" collapsed="false">
      <c r="O187" s="17" t="n">
        <f aca="false">30+167*$P$5</f>
        <v>71.75</v>
      </c>
      <c r="P187" s="17" t="n">
        <f aca="false">-Delta_c*O187</f>
        <v>-7.2662108914912</v>
      </c>
      <c r="R187" s="11" t="n">
        <f aca="false">(-P187/$P$5*R186)/(Rho_a-P187/$P$5)</f>
        <v>-182.19052772255</v>
      </c>
      <c r="S187" s="11" t="n">
        <f aca="false">IF(O187&lt;Floor_F,MAX((-(Cost_k*Ubar_c+Delay_D)*(1-EXP(-Rho_a*LN((Top_c-O187)/(Top_c-Floor_F))/Delta_c))/Rho_a+EXP(-Rho_a*LN((Top_c-O187)/(Top_c-Floor_F))/Delta_c)*(-Cost_k*Delta_c*Floor_F/Rho_a)),(-Delay_D/Rho_a)),(EXP(-Rho_a*LN(O187/Floor_F)/Delta_c)*(-Cost_k*Delta_c*Floor_F/Rho_a)))</f>
        <v>-182.014697349755</v>
      </c>
      <c r="T187" s="22" t="n">
        <f aca="false">ABS(R187-S187)</f>
        <v>0.175830372794735</v>
      </c>
      <c r="V187" s="17" t="n">
        <f aca="false">30+167*$W$5</f>
        <v>50.875</v>
      </c>
      <c r="W187" s="17" t="n">
        <f aca="false">Ubar_c-Delta_c*V187</f>
        <v>4.97494926891297</v>
      </c>
      <c r="X187" s="11" t="n">
        <f aca="false">(-(Cost_k*Ubar_c+Delay_D)+W187/$W$5*X188)/(Rho_a+W187/$W$5)</f>
        <v>-275.410033142705</v>
      </c>
      <c r="Y187" s="11" t="n">
        <f aca="false">MAX(X187,-Delay_D/Rho_a)</f>
        <v>-275.410033142705</v>
      </c>
      <c r="Z187" s="11" t="n">
        <f aca="false">IF(V187&lt;Floor_F,MAX((-(Cost_k*Ubar_c+Delay_D)*(1-EXP(-Rho_a*LN((Top_c-V187)/(Top_c-Floor_F))/Delta_c))/Rho_a+EXP(-Rho_a*LN((Top_c-V187)/(Top_c-Floor_F))/Delta_c)*(-Cost_k*Delta_c*Floor_F/Rho_a)),(-Delay_D/Rho_a)),(EXP(-Rho_a*LN(V187/Floor_F)/Delta_c)*(-Cost_k*Delta_c*Floor_F/Rho_a)))</f>
        <v>-275.513167016091</v>
      </c>
      <c r="AA187" s="22" t="n">
        <f aca="false">ABS(Y187-Z187)</f>
        <v>0.103133873386071</v>
      </c>
      <c r="AC187" s="17" t="n">
        <f aca="false">30+167*$AD$5</f>
        <v>40.4375</v>
      </c>
      <c r="AD187" s="17" t="n">
        <f aca="false">Ubar_c-Delta_c*AC187</f>
        <v>6.03196775225707</v>
      </c>
      <c r="AE187" s="11" t="n">
        <f aca="false">(-(Cost_k*Ubar_c+Delay_D)+AD187/$AD$5*AE188)/(Rho_a+AD187/$AD$5)</f>
        <v>-355.856683787718</v>
      </c>
      <c r="AF187" s="11" t="n">
        <f aca="false">MAX(AE187,-Delay_D/Rho_a)</f>
        <v>-335.745877992226</v>
      </c>
      <c r="AG187" s="11" t="n">
        <f aca="false">IF(AC187&lt;Floor_F,MAX((-(Cost_k*Ubar_c+Delay_D)*(1-EXP(-Rho_a*LN((Top_c-AC187)/(Top_c-Floor_F))/Delta_c))/Rho_a+EXP(-Rho_a*LN((Top_c-AC187)/(Top_c-Floor_F))/Delta_c)*(-Cost_k*Delta_c*Floor_F/Rho_a)),(-Delay_D/Rho_a)),(EXP(-Rho_a*LN(AC187/Floor_F)/Delta_c)*(-Cost_k*Delta_c*Floor_F/Rho_a)))</f>
        <v>-335.745877992226</v>
      </c>
      <c r="AH187" s="22" t="n">
        <f aca="false">ABS(AF187-AG187)</f>
        <v>0</v>
      </c>
    </row>
    <row r="188" customFormat="false" ht="15" hidden="false" customHeight="false" outlineLevel="0" collapsed="false">
      <c r="O188" s="17" t="n">
        <f aca="false">30+168*$P$5</f>
        <v>72</v>
      </c>
      <c r="P188" s="17" t="n">
        <f aca="false">-Delta_c*O188</f>
        <v>-7.29152869947549</v>
      </c>
      <c r="R188" s="11" t="n">
        <f aca="false">(-P188/$P$5*R187)/(Rho_a-P188/$P$5)</f>
        <v>-181.597097567692</v>
      </c>
      <c r="S188" s="11" t="n">
        <f aca="false">IF(O188&lt;Floor_F,MAX((-(Cost_k*Ubar_c+Delay_D)*(1-EXP(-Rho_a*LN((Top_c-O188)/(Top_c-Floor_F))/Delta_c))/Rho_a+EXP(-Rho_a*LN((Top_c-O188)/(Top_c-Floor_F))/Delta_c)*(-Cost_k*Delta_c*Floor_F/Rho_a)),(-Delay_D/Rho_a)),(EXP(-Rho_a*LN(O188/Floor_F)/Delta_c)*(-Cost_k*Delta_c*Floor_F/Rho_a)))</f>
        <v>-181.419841688328</v>
      </c>
      <c r="T188" s="22" t="n">
        <f aca="false">ABS(R188-S188)</f>
        <v>0.177255879364282</v>
      </c>
      <c r="V188" s="17" t="n">
        <f aca="false">30+168*$W$5</f>
        <v>51</v>
      </c>
      <c r="W188" s="17" t="n">
        <f aca="false">Ubar_c-Delta_c*V188</f>
        <v>4.96229036492082</v>
      </c>
      <c r="X188" s="11" t="n">
        <f aca="false">(-(Cost_k*Ubar_c+Delay_D)+W188/$W$5*X189)/(Rho_a+W188/$W$5)</f>
        <v>-274.247732019225</v>
      </c>
      <c r="Y188" s="11" t="n">
        <f aca="false">MAX(X188,-Delay_D/Rho_a)</f>
        <v>-274.247732019225</v>
      </c>
      <c r="Z188" s="11" t="n">
        <f aca="false">IF(V188&lt;Floor_F,MAX((-(Cost_k*Ubar_c+Delay_D)*(1-EXP(-Rho_a*LN((Top_c-V188)/(Top_c-Floor_F))/Delta_c))/Rho_a+EXP(-Rho_a*LN((Top_c-V188)/(Top_c-Floor_F))/Delta_c)*(-Cost_k*Delta_c*Floor_F/Rho_a)),(-Delay_D/Rho_a)),(EXP(-Rho_a*LN(V188/Floor_F)/Delta_c)*(-Cost_k*Delta_c*Floor_F/Rho_a)))</f>
        <v>-274.348235839119</v>
      </c>
      <c r="AA188" s="22" t="n">
        <f aca="false">ABS(Y188-Z188)</f>
        <v>0.100503819893845</v>
      </c>
      <c r="AC188" s="17" t="n">
        <f aca="false">30+168*$AD$5</f>
        <v>40.5</v>
      </c>
      <c r="AD188" s="17" t="n">
        <f aca="false">Ubar_c-Delta_c*AC188</f>
        <v>6.025638300261</v>
      </c>
      <c r="AE188" s="11" t="n">
        <f aca="false">(-(Cost_k*Ubar_c+Delay_D)+AD188/$AD$5*AE189)/(Rho_a+AD188/$AD$5)</f>
        <v>-355.456817091605</v>
      </c>
      <c r="AF188" s="11" t="n">
        <f aca="false">MAX(AE188,-Delay_D/Rho_a)</f>
        <v>-335.745877992226</v>
      </c>
      <c r="AG188" s="11" t="n">
        <f aca="false">IF(AC188&lt;Floor_F,MAX((-(Cost_k*Ubar_c+Delay_D)*(1-EXP(-Rho_a*LN((Top_c-AC188)/(Top_c-Floor_F))/Delta_c))/Rho_a+EXP(-Rho_a*LN((Top_c-AC188)/(Top_c-Floor_F))/Delta_c)*(-Cost_k*Delta_c*Floor_F/Rho_a)),(-Delay_D/Rho_a)),(EXP(-Rho_a*LN(AC188/Floor_F)/Delta_c)*(-Cost_k*Delta_c*Floor_F/Rho_a)))</f>
        <v>-335.745877992226</v>
      </c>
      <c r="AH188" s="22" t="n">
        <f aca="false">ABS(AF188-AG188)</f>
        <v>0</v>
      </c>
    </row>
    <row r="189" customFormat="false" ht="15" hidden="false" customHeight="false" outlineLevel="0" collapsed="false">
      <c r="O189" s="17" t="n">
        <f aca="false">30+169*$P$5</f>
        <v>72.25</v>
      </c>
      <c r="P189" s="17" t="n">
        <f aca="false">-Delta_c*O189</f>
        <v>-7.31684650745978</v>
      </c>
      <c r="R189" s="11" t="n">
        <f aca="false">(-P189/$P$5*R188)/(Rho_a-P189/$P$5)</f>
        <v>-181.007640390547</v>
      </c>
      <c r="S189" s="11" t="n">
        <f aca="false">IF(O189&lt;Floor_F,MAX((-(Cost_k*Ubar_c+Delay_D)*(1-EXP(-Rho_a*LN((Top_c-O189)/(Top_c-Floor_F))/Delta_c))/Rho_a+EXP(-Rho_a*LN((Top_c-O189)/(Top_c-Floor_F))/Delta_c)*(-Cost_k*Delta_c*Floor_F/Rho_a)),(-Delay_D/Rho_a)),(EXP(-Rho_a*LN(O189/Floor_F)/Delta_c)*(-Cost_k*Delta_c*Floor_F/Rho_a)))</f>
        <v>-180.828981925124</v>
      </c>
      <c r="T189" s="22" t="n">
        <f aca="false">ABS(R189-S189)</f>
        <v>0.178658465422131</v>
      </c>
      <c r="V189" s="17" t="n">
        <f aca="false">30+169*$W$5</f>
        <v>51.125</v>
      </c>
      <c r="W189" s="17" t="n">
        <f aca="false">Ubar_c-Delta_c*V189</f>
        <v>4.94963146092868</v>
      </c>
      <c r="X189" s="11" t="n">
        <f aca="false">(-(Cost_k*Ubar_c+Delay_D)+W189/$W$5*X190)/(Rho_a+W189/$W$5)</f>
        <v>-273.079675317702</v>
      </c>
      <c r="Y189" s="11" t="n">
        <f aca="false">MAX(X189,-Delay_D/Rho_a)</f>
        <v>-273.079675317702</v>
      </c>
      <c r="Z189" s="11" t="n">
        <f aca="false">IF(V189&lt;Floor_F,MAX((-(Cost_k*Ubar_c+Delay_D)*(1-EXP(-Rho_a*LN((Top_c-V189)/(Top_c-Floor_F))/Delta_c))/Rho_a+EXP(-Rho_a*LN((Top_c-V189)/(Top_c-Floor_F))/Delta_c)*(-Cost_k*Delta_c*Floor_F/Rho_a)),(-Delay_D/Rho_a)),(EXP(-Rho_a*LN(V189/Floor_F)/Delta_c)*(-Cost_k*Delta_c*Floor_F/Rho_a)))</f>
        <v>-273.177521741676</v>
      </c>
      <c r="AA189" s="22" t="n">
        <f aca="false">ABS(Y189-Z189)</f>
        <v>0.097846423974147</v>
      </c>
      <c r="AC189" s="17" t="n">
        <f aca="false">30+169*$AD$5</f>
        <v>40.5625</v>
      </c>
      <c r="AD189" s="17" t="n">
        <f aca="false">Ubar_c-Delta_c*AC189</f>
        <v>6.01930884826492</v>
      </c>
      <c r="AE189" s="11" t="n">
        <f aca="false">(-(Cost_k*Ubar_c+Delay_D)+AD189/$AD$5*AE190)/(Rho_a+AD189/$AD$5)</f>
        <v>-355.056135063202</v>
      </c>
      <c r="AF189" s="11" t="n">
        <f aca="false">MAX(AE189,-Delay_D/Rho_a)</f>
        <v>-335.745877992226</v>
      </c>
      <c r="AG189" s="11" t="n">
        <f aca="false">IF(AC189&lt;Floor_F,MAX((-(Cost_k*Ubar_c+Delay_D)*(1-EXP(-Rho_a*LN((Top_c-AC189)/(Top_c-Floor_F))/Delta_c))/Rho_a+EXP(-Rho_a*LN((Top_c-AC189)/(Top_c-Floor_F))/Delta_c)*(-Cost_k*Delta_c*Floor_F/Rho_a)),(-Delay_D/Rho_a)),(EXP(-Rho_a*LN(AC189/Floor_F)/Delta_c)*(-Cost_k*Delta_c*Floor_F/Rho_a)))</f>
        <v>-335.745877992226</v>
      </c>
      <c r="AH189" s="22" t="n">
        <f aca="false">ABS(AF189-AG189)</f>
        <v>0</v>
      </c>
    </row>
    <row r="190" customFormat="false" ht="15" hidden="false" customHeight="false" outlineLevel="0" collapsed="false">
      <c r="O190" s="17" t="n">
        <f aca="false">30+170*$P$5</f>
        <v>72.5</v>
      </c>
      <c r="P190" s="17" t="n">
        <f aca="false">-Delta_c*O190</f>
        <v>-7.34216431544407</v>
      </c>
      <c r="R190" s="11" t="n">
        <f aca="false">(-P190/$P$5*R189)/(Rho_a-P190/$P$5)</f>
        <v>-180.422116028093</v>
      </c>
      <c r="S190" s="11" t="n">
        <f aca="false">IF(O190&lt;Floor_F,MAX((-(Cost_k*Ubar_c+Delay_D)*(1-EXP(-Rho_a*LN((Top_c-O190)/(Top_c-Floor_F))/Delta_c))/Rho_a+EXP(-Rho_a*LN((Top_c-O190)/(Top_c-Floor_F))/Delta_c)*(-Cost_k*Delta_c*Floor_F/Rho_a)),(-Delay_D/Rho_a)),(EXP(-Rho_a*LN(O190/Floor_F)/Delta_c)*(-Cost_k*Delta_c*Floor_F/Rho_a)))</f>
        <v>-180.242077530205</v>
      </c>
      <c r="T190" s="22" t="n">
        <f aca="false">ABS(R190-S190)</f>
        <v>0.180038497888489</v>
      </c>
      <c r="V190" s="17" t="n">
        <f aca="false">30+170*$W$5</f>
        <v>51.25</v>
      </c>
      <c r="W190" s="17" t="n">
        <f aca="false">Ubar_c-Delta_c*V190</f>
        <v>4.93697255693653</v>
      </c>
      <c r="X190" s="11" t="n">
        <f aca="false">(-(Cost_k*Ubar_c+Delay_D)+W190/$W$5*X191)/(Rho_a+W190/$W$5)</f>
        <v>-271.905819744153</v>
      </c>
      <c r="Y190" s="11" t="n">
        <f aca="false">MAX(X190,-Delay_D/Rho_a)</f>
        <v>-271.905819744153</v>
      </c>
      <c r="Z190" s="11" t="n">
        <f aca="false">IF(V190&lt;Floor_F,MAX((-(Cost_k*Ubar_c+Delay_D)*(1-EXP(-Rho_a*LN((Top_c-V190)/(Top_c-Floor_F))/Delta_c))/Rho_a+EXP(-Rho_a*LN((Top_c-V190)/(Top_c-Floor_F))/Delta_c)*(-Cost_k*Delta_c*Floor_F/Rho_a)),(-Delay_D/Rho_a)),(EXP(-Rho_a*LN(V190/Floor_F)/Delta_c)*(-Cost_k*Delta_c*Floor_F/Rho_a)))</f>
        <v>-272.000981115855</v>
      </c>
      <c r="AA190" s="22" t="n">
        <f aca="false">ABS(Y190-Z190)</f>
        <v>0.0951613717023747</v>
      </c>
      <c r="AC190" s="17" t="n">
        <f aca="false">30+170*$AD$5</f>
        <v>40.625</v>
      </c>
      <c r="AD190" s="17" t="n">
        <f aca="false">Ubar_c-Delta_c*AC190</f>
        <v>6.01297939626885</v>
      </c>
      <c r="AE190" s="11" t="n">
        <f aca="false">(-(Cost_k*Ubar_c+Delay_D)+AD190/$AD$5*AE191)/(Rho_a+AD190/$AD$5)</f>
        <v>-354.654635180947</v>
      </c>
      <c r="AF190" s="11" t="n">
        <f aca="false">MAX(AE190,-Delay_D/Rho_a)</f>
        <v>-335.745877992226</v>
      </c>
      <c r="AG190" s="11" t="n">
        <f aca="false">IF(AC190&lt;Floor_F,MAX((-(Cost_k*Ubar_c+Delay_D)*(1-EXP(-Rho_a*LN((Top_c-AC190)/(Top_c-Floor_F))/Delta_c))/Rho_a+EXP(-Rho_a*LN((Top_c-AC190)/(Top_c-Floor_F))/Delta_c)*(-Cost_k*Delta_c*Floor_F/Rho_a)),(-Delay_D/Rho_a)),(EXP(-Rho_a*LN(AC190/Floor_F)/Delta_c)*(-Cost_k*Delta_c*Floor_F/Rho_a)))</f>
        <v>-335.745877992226</v>
      </c>
      <c r="AH190" s="22" t="n">
        <f aca="false">ABS(AF190-AG190)</f>
        <v>0</v>
      </c>
    </row>
    <row r="191" customFormat="false" ht="15" hidden="false" customHeight="false" outlineLevel="0" collapsed="false">
      <c r="O191" s="17" t="n">
        <f aca="false">30+171*$P$5</f>
        <v>72.75</v>
      </c>
      <c r="P191" s="17" t="n">
        <f aca="false">-Delta_c*O191</f>
        <v>-7.36748212342836</v>
      </c>
      <c r="R191" s="11" t="n">
        <f aca="false">(-P191/$P$5*R190)/(Rho_a-P191/$P$5)</f>
        <v>-179.840484859503</v>
      </c>
      <c r="S191" s="11" t="n">
        <f aca="false">IF(O191&lt;Floor_F,MAX((-(Cost_k*Ubar_c+Delay_D)*(1-EXP(-Rho_a*LN((Top_c-O191)/(Top_c-Floor_F))/Delta_c))/Rho_a+EXP(-Rho_a*LN((Top_c-O191)/(Top_c-Floor_F))/Delta_c)*(-Cost_k*Delta_c*Floor_F/Rho_a)),(-Delay_D/Rho_a)),(EXP(-Rho_a*LN(O191/Floor_F)/Delta_c)*(-Cost_k*Delta_c*Floor_F/Rho_a)))</f>
        <v>-179.659088522598</v>
      </c>
      <c r="T191" s="22" t="n">
        <f aca="false">ABS(R191-S191)</f>
        <v>0.181396336905181</v>
      </c>
      <c r="V191" s="17" t="n">
        <f aca="false">30+171*$W$5</f>
        <v>51.375</v>
      </c>
      <c r="W191" s="17" t="n">
        <f aca="false">Ubar_c-Delta_c*V191</f>
        <v>4.92431365294439</v>
      </c>
      <c r="X191" s="11" t="n">
        <f aca="false">(-(Cost_k*Ubar_c+Delay_D)+W191/$W$5*X192)/(Rho_a+W191/$W$5)</f>
        <v>-270.726121567085</v>
      </c>
      <c r="Y191" s="11" t="n">
        <f aca="false">MAX(X191,-Delay_D/Rho_a)</f>
        <v>-270.726121567085</v>
      </c>
      <c r="Z191" s="11" t="n">
        <f aca="false">IF(V191&lt;Floor_F,MAX((-(Cost_k*Ubar_c+Delay_D)*(1-EXP(-Rho_a*LN((Top_c-V191)/(Top_c-Floor_F))/Delta_c))/Rho_a+EXP(-Rho_a*LN((Top_c-V191)/(Top_c-Floor_F))/Delta_c)*(-Cost_k*Delta_c*Floor_F/Rho_a)),(-Delay_D/Rho_a)),(EXP(-Rho_a*LN(V191/Floor_F)/Delta_c)*(-Cost_k*Delta_c*Floor_F/Rho_a)))</f>
        <v>-270.818569911967</v>
      </c>
      <c r="AA191" s="22" t="n">
        <f aca="false">ABS(Y191-Z191)</f>
        <v>0.0924483448821434</v>
      </c>
      <c r="AC191" s="17" t="n">
        <f aca="false">30+171*$AD$5</f>
        <v>40.6875</v>
      </c>
      <c r="AD191" s="17" t="n">
        <f aca="false">Ubar_c-Delta_c*AC191</f>
        <v>6.00664994427278</v>
      </c>
      <c r="AE191" s="11" t="n">
        <f aca="false">(-(Cost_k*Ubar_c+Delay_D)+AD191/$AD$5*AE192)/(Rho_a+AD191/$AD$5)</f>
        <v>-354.252314912818</v>
      </c>
      <c r="AF191" s="11" t="n">
        <f aca="false">MAX(AE191,-Delay_D/Rho_a)</f>
        <v>-335.745877992226</v>
      </c>
      <c r="AG191" s="11" t="n">
        <f aca="false">IF(AC191&lt;Floor_F,MAX((-(Cost_k*Ubar_c+Delay_D)*(1-EXP(-Rho_a*LN((Top_c-AC191)/(Top_c-Floor_F))/Delta_c))/Rho_a+EXP(-Rho_a*LN((Top_c-AC191)/(Top_c-Floor_F))/Delta_c)*(-Cost_k*Delta_c*Floor_F/Rho_a)),(-Delay_D/Rho_a)),(EXP(-Rho_a*LN(AC191/Floor_F)/Delta_c)*(-Cost_k*Delta_c*Floor_F/Rho_a)))</f>
        <v>-335.745877992226</v>
      </c>
      <c r="AH191" s="22" t="n">
        <f aca="false">ABS(AF191-AG191)</f>
        <v>0</v>
      </c>
    </row>
    <row r="192" customFormat="false" ht="15" hidden="false" customHeight="false" outlineLevel="0" collapsed="false">
      <c r="O192" s="17" t="n">
        <f aca="false">30+172*$P$5</f>
        <v>73</v>
      </c>
      <c r="P192" s="17" t="n">
        <f aca="false">-Delta_c*O192</f>
        <v>-7.39279993141265</v>
      </c>
      <c r="R192" s="11" t="n">
        <f aca="false">(-P192/$P$5*R191)/(Rho_a-P192/$P$5)</f>
        <v>-179.262707796995</v>
      </c>
      <c r="S192" s="11" t="n">
        <f aca="false">IF(O192&lt;Floor_F,MAX((-(Cost_k*Ubar_c+Delay_D)*(1-EXP(-Rho_a*LN((Top_c-O192)/(Top_c-Floor_F))/Delta_c))/Rho_a+EXP(-Rho_a*LN((Top_c-O192)/(Top_c-Floor_F))/Delta_c)*(-Cost_k*Delta_c*Floor_F/Rho_a)),(-Delay_D/Rho_a)),(EXP(-Rho_a*LN(O192/Floor_F)/Delta_c)*(-Cost_k*Delta_c*Floor_F/Rho_a)))</f>
        <v>-179.079975461014</v>
      </c>
      <c r="T192" s="22" t="n">
        <f aca="false">ABS(R192-S192)</f>
        <v>0.18273233598029</v>
      </c>
      <c r="V192" s="17" t="n">
        <f aca="false">30+172*$W$5</f>
        <v>51.5</v>
      </c>
      <c r="W192" s="17" t="n">
        <f aca="false">Ubar_c-Delta_c*V192</f>
        <v>4.91165474895224</v>
      </c>
      <c r="X192" s="11" t="n">
        <f aca="false">(-(Cost_k*Ubar_c+Delay_D)+W192/$W$5*X193)/(Rho_a+W192/$W$5)</f>
        <v>-269.540536611945</v>
      </c>
      <c r="Y192" s="11" t="n">
        <f aca="false">MAX(X192,-Delay_D/Rho_a)</f>
        <v>-269.540536611945</v>
      </c>
      <c r="Z192" s="11" t="n">
        <f aca="false">IF(V192&lt;Floor_F,MAX((-(Cost_k*Ubar_c+Delay_D)*(1-EXP(-Rho_a*LN((Top_c-V192)/(Top_c-Floor_F))/Delta_c))/Rho_a+EXP(-Rho_a*LN((Top_c-V192)/(Top_c-Floor_F))/Delta_c)*(-Cost_k*Delta_c*Floor_F/Rho_a)),(-Delay_D/Rho_a)),(EXP(-Rho_a*LN(V192/Floor_F)/Delta_c)*(-Cost_k*Delta_c*Floor_F/Rho_a)))</f>
        <v>-269.630243632922</v>
      </c>
      <c r="AA192" s="22" t="n">
        <f aca="false">ABS(Y192-Z192)</f>
        <v>0.08970702097713</v>
      </c>
      <c r="AC192" s="17" t="n">
        <f aca="false">30+172*$AD$5</f>
        <v>40.75</v>
      </c>
      <c r="AD192" s="17" t="n">
        <f aca="false">Ubar_c-Delta_c*AC192</f>
        <v>6.00032049227671</v>
      </c>
      <c r="AE192" s="11" t="n">
        <f aca="false">(-(Cost_k*Ubar_c+Delay_D)+AD192/$AD$5*AE193)/(Rho_a+AD192/$AD$5)</f>
        <v>-353.849171716279</v>
      </c>
      <c r="AF192" s="11" t="n">
        <f aca="false">MAX(AE192,-Delay_D/Rho_a)</f>
        <v>-335.745877992226</v>
      </c>
      <c r="AG192" s="11" t="n">
        <f aca="false">IF(AC192&lt;Floor_F,MAX((-(Cost_k*Ubar_c+Delay_D)*(1-EXP(-Rho_a*LN((Top_c-AC192)/(Top_c-Floor_F))/Delta_c))/Rho_a+EXP(-Rho_a*LN((Top_c-AC192)/(Top_c-Floor_F))/Delta_c)*(-Cost_k*Delta_c*Floor_F/Rho_a)),(-Delay_D/Rho_a)),(EXP(-Rho_a*LN(AC192/Floor_F)/Delta_c)*(-Cost_k*Delta_c*Floor_F/Rho_a)))</f>
        <v>-335.745877992226</v>
      </c>
      <c r="AH192" s="22" t="n">
        <f aca="false">ABS(AF192-AG192)</f>
        <v>0</v>
      </c>
    </row>
    <row r="193" customFormat="false" ht="15" hidden="false" customHeight="false" outlineLevel="0" collapsed="false">
      <c r="O193" s="17" t="n">
        <f aca="false">30+173*$P$5</f>
        <v>73.25</v>
      </c>
      <c r="P193" s="17" t="n">
        <f aca="false">-Delta_c*O193</f>
        <v>-7.41811773939694</v>
      </c>
      <c r="R193" s="11" t="n">
        <f aca="false">(-P193/$P$5*R192)/(Rho_a-P193/$P$5)</f>
        <v>-178.688746276871</v>
      </c>
      <c r="S193" s="11" t="n">
        <f aca="false">IF(O193&lt;Floor_F,MAX((-(Cost_k*Ubar_c+Delay_D)*(1-EXP(-Rho_a*LN((Top_c-O193)/(Top_c-Floor_F))/Delta_c))/Rho_a+EXP(-Rho_a*LN((Top_c-O193)/(Top_c-Floor_F))/Delta_c)*(-Cost_k*Delta_c*Floor_F/Rho_a)),(-Delay_D/Rho_a)),(EXP(-Rho_a*LN(O193/Floor_F)/Delta_c)*(-Cost_k*Delta_c*Floor_F/Rho_a)))</f>
        <v>-178.50469943474</v>
      </c>
      <c r="T193" s="22" t="n">
        <f aca="false">ABS(R193-S193)</f>
        <v>0.184046842130272</v>
      </c>
      <c r="V193" s="17" t="n">
        <f aca="false">30+173*$W$5</f>
        <v>51.625</v>
      </c>
      <c r="W193" s="17" t="n">
        <f aca="false">Ubar_c-Delta_c*V193</f>
        <v>4.8989958449601</v>
      </c>
      <c r="X193" s="11" t="n">
        <f aca="false">(-(Cost_k*Ubar_c+Delay_D)+W193/$W$5*X194)/(Rho_a+W193/$W$5)</f>
        <v>-268.349020255471</v>
      </c>
      <c r="Y193" s="11" t="n">
        <f aca="false">MAX(X193,-Delay_D/Rho_a)</f>
        <v>-268.349020255471</v>
      </c>
      <c r="Z193" s="11" t="n">
        <f aca="false">IF(V193&lt;Floor_F,MAX((-(Cost_k*Ubar_c+Delay_D)*(1-EXP(-Rho_a*LN((Top_c-V193)/(Top_c-Floor_F))/Delta_c))/Rho_a+EXP(-Rho_a*LN((Top_c-V193)/(Top_c-Floor_F))/Delta_c)*(-Cost_k*Delta_c*Floor_F/Rho_a)),(-Delay_D/Rho_a)),(EXP(-Rho_a*LN(V193/Floor_F)/Delta_c)*(-Cost_k*Delta_c*Floor_F/Rho_a)))</f>
        <v>-268.435957328512</v>
      </c>
      <c r="AA193" s="22" t="n">
        <f aca="false">ABS(Y193-Z193)</f>
        <v>0.0869370730409855</v>
      </c>
      <c r="AC193" s="17" t="n">
        <f aca="false">30+173*$AD$5</f>
        <v>40.8125</v>
      </c>
      <c r="AD193" s="17" t="n">
        <f aca="false">Ubar_c-Delta_c*AC193</f>
        <v>5.99399104028063</v>
      </c>
      <c r="AE193" s="11" t="n">
        <f aca="false">(-(Cost_k*Ubar_c+Delay_D)+AD193/$AD$5*AE194)/(Rho_a+AD193/$AD$5)</f>
        <v>-353.445203038222</v>
      </c>
      <c r="AF193" s="11" t="n">
        <f aca="false">MAX(AE193,-Delay_D/Rho_a)</f>
        <v>-335.745877992226</v>
      </c>
      <c r="AG193" s="11" t="n">
        <f aca="false">IF(AC193&lt;Floor_F,MAX((-(Cost_k*Ubar_c+Delay_D)*(1-EXP(-Rho_a*LN((Top_c-AC193)/(Top_c-Floor_F))/Delta_c))/Rho_a+EXP(-Rho_a*LN((Top_c-AC193)/(Top_c-Floor_F))/Delta_c)*(-Cost_k*Delta_c*Floor_F/Rho_a)),(-Delay_D/Rho_a)),(EXP(-Rho_a*LN(AC193/Floor_F)/Delta_c)*(-Cost_k*Delta_c*Floor_F/Rho_a)))</f>
        <v>-335.745877992226</v>
      </c>
      <c r="AH193" s="22" t="n">
        <f aca="false">ABS(AF193-AG193)</f>
        <v>0</v>
      </c>
    </row>
    <row r="194" customFormat="false" ht="15" hidden="false" customHeight="false" outlineLevel="0" collapsed="false">
      <c r="O194" s="17" t="n">
        <f aca="false">30+174*$P$5</f>
        <v>73.5</v>
      </c>
      <c r="P194" s="17" t="n">
        <f aca="false">-Delta_c*O194</f>
        <v>-7.44343554738123</v>
      </c>
      <c r="R194" s="11" t="n">
        <f aca="false">(-P194/$P$5*R193)/(Rho_a-P194/$P$5)</f>
        <v>-178.11856225074</v>
      </c>
      <c r="S194" s="11" t="n">
        <f aca="false">IF(O194&lt;Floor_F,MAX((-(Cost_k*Ubar_c+Delay_D)*(1-EXP(-Rho_a*LN((Top_c-O194)/(Top_c-Floor_F))/Delta_c))/Rho_a+EXP(-Rho_a*LN((Top_c-O194)/(Top_c-Floor_F))/Delta_c)*(-Cost_k*Delta_c*Floor_F/Rho_a)),(-Delay_D/Rho_a)),(EXP(-Rho_a*LN(O194/Floor_F)/Delta_c)*(-Cost_k*Delta_c*Floor_F/Rho_a)))</f>
        <v>-177.933222054722</v>
      </c>
      <c r="T194" s="22" t="n">
        <f aca="false">ABS(R194-S194)</f>
        <v>0.185340196017734</v>
      </c>
      <c r="V194" s="17" t="n">
        <f aca="false">30+174*$W$5</f>
        <v>51.75</v>
      </c>
      <c r="W194" s="17" t="n">
        <f aca="false">Ubar_c-Delta_c*V194</f>
        <v>4.88633694096795</v>
      </c>
      <c r="X194" s="11" t="n">
        <f aca="false">(-(Cost_k*Ubar_c+Delay_D)+W194/$W$5*X195)/(Rho_a+W194/$W$5)</f>
        <v>-267.151527419968</v>
      </c>
      <c r="Y194" s="11" t="n">
        <f aca="false">MAX(X194,-Delay_D/Rho_a)</f>
        <v>-267.151527419968</v>
      </c>
      <c r="Z194" s="11" t="n">
        <f aca="false">IF(V194&lt;Floor_F,MAX((-(Cost_k*Ubar_c+Delay_D)*(1-EXP(-Rho_a*LN((Top_c-V194)/(Top_c-Floor_F))/Delta_c))/Rho_a+EXP(-Rho_a*LN((Top_c-V194)/(Top_c-Floor_F))/Delta_c)*(-Cost_k*Delta_c*Floor_F/Rho_a)),(-Delay_D/Rho_a)),(EXP(-Rho_a*LN(V194/Floor_F)/Delta_c)*(-Cost_k*Delta_c*Floor_F/Rho_a)))</f>
        <v>-267.235665589615</v>
      </c>
      <c r="AA194" s="22" t="n">
        <f aca="false">ABS(Y194-Z194)</f>
        <v>0.0841381696470194</v>
      </c>
      <c r="AC194" s="17" t="n">
        <f aca="false">30+174*$AD$5</f>
        <v>40.875</v>
      </c>
      <c r="AD194" s="17" t="n">
        <f aca="false">Ubar_c-Delta_c*AC194</f>
        <v>5.98766158828456</v>
      </c>
      <c r="AE194" s="11" t="n">
        <f aca="false">(-(Cost_k*Ubar_c+Delay_D)+AD194/$AD$5*AE195)/(Rho_a+AD194/$AD$5)</f>
        <v>-353.040406314913</v>
      </c>
      <c r="AF194" s="11" t="n">
        <f aca="false">MAX(AE194,-Delay_D/Rho_a)</f>
        <v>-335.745877992226</v>
      </c>
      <c r="AG194" s="11" t="n">
        <f aca="false">IF(AC194&lt;Floor_F,MAX((-(Cost_k*Ubar_c+Delay_D)*(1-EXP(-Rho_a*LN((Top_c-AC194)/(Top_c-Floor_F))/Delta_c))/Rho_a+EXP(-Rho_a*LN((Top_c-AC194)/(Top_c-Floor_F))/Delta_c)*(-Cost_k*Delta_c*Floor_F/Rho_a)),(-Delay_D/Rho_a)),(EXP(-Rho_a*LN(AC194/Floor_F)/Delta_c)*(-Cost_k*Delta_c*Floor_F/Rho_a)))</f>
        <v>-335.745877992226</v>
      </c>
      <c r="AH194" s="22" t="n">
        <f aca="false">ABS(AF194-AG194)</f>
        <v>0</v>
      </c>
    </row>
    <row r="195" customFormat="false" ht="15" hidden="false" customHeight="false" outlineLevel="0" collapsed="false">
      <c r="O195" s="17" t="n">
        <f aca="false">30+175*$P$5</f>
        <v>73.75</v>
      </c>
      <c r="P195" s="17" t="n">
        <f aca="false">-Delta_c*O195</f>
        <v>-7.46875335536552</v>
      </c>
      <c r="R195" s="11" t="n">
        <f aca="false">(-P195/$P$5*R194)/(Rho_a-P195/$P$5)</f>
        <v>-177.552118176913</v>
      </c>
      <c r="S195" s="11" t="n">
        <f aca="false">IF(O195&lt;Floor_F,MAX((-(Cost_k*Ubar_c+Delay_D)*(1-EXP(-Rho_a*LN((Top_c-O195)/(Top_c-Floor_F))/Delta_c))/Rho_a+EXP(-Rho_a*LN((Top_c-O195)/(Top_c-Floor_F))/Delta_c)*(-Cost_k*Delta_c*Floor_F/Rho_a)),(-Delay_D/Rho_a)),(EXP(-Rho_a*LN(O195/Floor_F)/Delta_c)*(-Cost_k*Delta_c*Floor_F/Rho_a)))</f>
        <v>-177.365505444827</v>
      </c>
      <c r="T195" s="22" t="n">
        <f aca="false">ABS(R195-S195)</f>
        <v>0.186612732086104</v>
      </c>
      <c r="V195" s="17" t="n">
        <f aca="false">30+175*$W$5</f>
        <v>51.875</v>
      </c>
      <c r="W195" s="17" t="n">
        <f aca="false">Ubar_c-Delta_c*V195</f>
        <v>4.87367803697581</v>
      </c>
      <c r="X195" s="11" t="n">
        <f aca="false">(-(Cost_k*Ubar_c+Delay_D)+W195/$W$5*X196)/(Rho_a+W195/$W$5)</f>
        <v>-265.948012567487</v>
      </c>
      <c r="Y195" s="11" t="n">
        <f aca="false">MAX(X195,-Delay_D/Rho_a)</f>
        <v>-265.948012567487</v>
      </c>
      <c r="Z195" s="11" t="n">
        <f aca="false">IF(V195&lt;Floor_F,MAX((-(Cost_k*Ubar_c+Delay_D)*(1-EXP(-Rho_a*LN((Top_c-V195)/(Top_c-Floor_F))/Delta_c))/Rho_a+EXP(-Rho_a*LN((Top_c-V195)/(Top_c-Floor_F))/Delta_c)*(-Cost_k*Delta_c*Floor_F/Rho_a)),(-Delay_D/Rho_a)),(EXP(-Rho_a*LN(V195/Floor_F)/Delta_c)*(-Cost_k*Delta_c*Floor_F/Rho_a)))</f>
        <v>-266.029322542302</v>
      </c>
      <c r="AA195" s="22" t="n">
        <f aca="false">ABS(Y195-Z195)</f>
        <v>0.0813099748156105</v>
      </c>
      <c r="AC195" s="17" t="n">
        <f aca="false">30+175*$AD$5</f>
        <v>40.9375</v>
      </c>
      <c r="AD195" s="17" t="n">
        <f aca="false">Ubar_c-Delta_c*AC195</f>
        <v>5.98133213628849</v>
      </c>
      <c r="AE195" s="11" t="n">
        <f aca="false">(-(Cost_k*Ubar_c+Delay_D)+AD195/$AD$5*AE196)/(Rho_a+AD195/$AD$5)</f>
        <v>-352.634778971941</v>
      </c>
      <c r="AF195" s="11" t="n">
        <f aca="false">MAX(AE195,-Delay_D/Rho_a)</f>
        <v>-335.745877992226</v>
      </c>
      <c r="AG195" s="11" t="n">
        <f aca="false">IF(AC195&lt;Floor_F,MAX((-(Cost_k*Ubar_c+Delay_D)*(1-EXP(-Rho_a*LN((Top_c-AC195)/(Top_c-Floor_F))/Delta_c))/Rho_a+EXP(-Rho_a*LN((Top_c-AC195)/(Top_c-Floor_F))/Delta_c)*(-Cost_k*Delta_c*Floor_F/Rho_a)),(-Delay_D/Rho_a)),(EXP(-Rho_a*LN(AC195/Floor_F)/Delta_c)*(-Cost_k*Delta_c*Floor_F/Rho_a)))</f>
        <v>-335.745877992226</v>
      </c>
      <c r="AH195" s="22" t="n">
        <f aca="false">ABS(AF195-AG195)</f>
        <v>0</v>
      </c>
    </row>
    <row r="196" customFormat="false" ht="15" hidden="false" customHeight="false" outlineLevel="0" collapsed="false">
      <c r="O196" s="17" t="n">
        <f aca="false">30+176*$P$5</f>
        <v>74</v>
      </c>
      <c r="P196" s="17" t="n">
        <f aca="false">-Delta_c*O196</f>
        <v>-7.49407116334981</v>
      </c>
      <c r="R196" s="11" t="n">
        <f aca="false">(-P196/$P$5*R195)/(Rho_a-P196/$P$5)</f>
        <v>-176.989377011972</v>
      </c>
      <c r="S196" s="11" t="n">
        <f aca="false">IF(O196&lt;Floor_F,MAX((-(Cost_k*Ubar_c+Delay_D)*(1-EXP(-Rho_a*LN((Top_c-O196)/(Top_c-Floor_F))/Delta_c))/Rho_a+EXP(-Rho_a*LN((Top_c-O196)/(Top_c-Floor_F))/Delta_c)*(-Cost_k*Delta_c*Floor_F/Rho_a)),(-Delay_D/Rho_a)),(EXP(-Rho_a*LN(O196/Floor_F)/Delta_c)*(-Cost_k*Delta_c*Floor_F/Rho_a)))</f>
        <v>-176.80151223328</v>
      </c>
      <c r="T196" s="22" t="n">
        <f aca="false">ABS(R196-S196)</f>
        <v>0.187864778691534</v>
      </c>
      <c r="V196" s="17" t="n">
        <f aca="false">30+176*$W$5</f>
        <v>52</v>
      </c>
      <c r="W196" s="17" t="n">
        <f aca="false">Ubar_c-Delta_c*V196</f>
        <v>4.86101913298366</v>
      </c>
      <c r="X196" s="11" t="n">
        <f aca="false">(-(Cost_k*Ubar_c+Delay_D)+W196/$W$5*X197)/(Rho_a+W196/$W$5)</f>
        <v>-264.738429693919</v>
      </c>
      <c r="Y196" s="11" t="n">
        <f aca="false">MAX(X196,-Delay_D/Rho_a)</f>
        <v>-264.738429693919</v>
      </c>
      <c r="Z196" s="11" t="n">
        <f aca="false">IF(V196&lt;Floor_F,MAX((-(Cost_k*Ubar_c+Delay_D)*(1-EXP(-Rho_a*LN((Top_c-V196)/(Top_c-Floor_F))/Delta_c))/Rho_a+EXP(-Rho_a*LN((Top_c-V196)/(Top_c-Floor_F))/Delta_c)*(-Cost_k*Delta_c*Floor_F/Rho_a)),(-Delay_D/Rho_a)),(EXP(-Rho_a*LN(V196/Floor_F)/Delta_c)*(-Cost_k*Delta_c*Floor_F/Rho_a)))</f>
        <v>-264.81688184186</v>
      </c>
      <c r="AA196" s="22" t="n">
        <f aca="false">ABS(Y196-Z196)</f>
        <v>0.0784521479411069</v>
      </c>
      <c r="AC196" s="17" t="n">
        <f aca="false">30+176*$AD$5</f>
        <v>41</v>
      </c>
      <c r="AD196" s="17" t="n">
        <f aca="false">Ubar_c-Delta_c*AC196</f>
        <v>5.97500268429242</v>
      </c>
      <c r="AE196" s="11" t="n">
        <f aca="false">(-(Cost_k*Ubar_c+Delay_D)+AD196/$AD$5*AE197)/(Rho_a+AD196/$AD$5)</f>
        <v>-352.228318424154</v>
      </c>
      <c r="AF196" s="11" t="n">
        <f aca="false">MAX(AE196,-Delay_D/Rho_a)</f>
        <v>-335.745877992226</v>
      </c>
      <c r="AG196" s="11" t="n">
        <f aca="false">IF(AC196&lt;Floor_F,MAX((-(Cost_k*Ubar_c+Delay_D)*(1-EXP(-Rho_a*LN((Top_c-AC196)/(Top_c-Floor_F))/Delta_c))/Rho_a+EXP(-Rho_a*LN((Top_c-AC196)/(Top_c-Floor_F))/Delta_c)*(-Cost_k*Delta_c*Floor_F/Rho_a)),(-Delay_D/Rho_a)),(EXP(-Rho_a*LN(AC196/Floor_F)/Delta_c)*(-Cost_k*Delta_c*Floor_F/Rho_a)))</f>
        <v>-335.745877992226</v>
      </c>
      <c r="AH196" s="22" t="n">
        <f aca="false">ABS(AF196-AG196)</f>
        <v>0</v>
      </c>
    </row>
    <row r="197" customFormat="false" ht="15" hidden="false" customHeight="false" outlineLevel="0" collapsed="false">
      <c r="O197" s="17" t="n">
        <f aca="false">30+177*$P$5</f>
        <v>74.25</v>
      </c>
      <c r="P197" s="17" t="n">
        <f aca="false">-Delta_c*O197</f>
        <v>-7.5193889713341</v>
      </c>
      <c r="R197" s="11" t="n">
        <f aca="false">(-P197/$P$5*R196)/(Rho_a-P197/$P$5)</f>
        <v>-176.430302202504</v>
      </c>
      <c r="S197" s="11" t="n">
        <f aca="false">IF(O197&lt;Floor_F,MAX((-(Cost_k*Ubar_c+Delay_D)*(1-EXP(-Rho_a*LN((Top_c-O197)/(Top_c-Floor_F))/Delta_c))/Rho_a+EXP(-Rho_a*LN((Top_c-O197)/(Top_c-Floor_F))/Delta_c)*(-Cost_k*Delta_c*Floor_F/Rho_a)),(-Delay_D/Rho_a)),(EXP(-Rho_a*LN(O197/Floor_F)/Delta_c)*(-Cost_k*Delta_c*Floor_F/Rho_a)))</f>
        <v>-176.241205544273</v>
      </c>
      <c r="T197" s="22" t="n">
        <f aca="false">ABS(R197-S197)</f>
        <v>0.189096658230739</v>
      </c>
      <c r="V197" s="17" t="n">
        <f aca="false">30+177*$W$5</f>
        <v>52.125</v>
      </c>
      <c r="W197" s="17" t="n">
        <f aca="false">Ubar_c-Delta_c*V197</f>
        <v>4.84836022899152</v>
      </c>
      <c r="X197" s="11" t="n">
        <f aca="false">(-(Cost_k*Ubar_c+Delay_D)+W197/$W$5*X198)/(Rho_a+W197/$W$5)</f>
        <v>-263.522732323001</v>
      </c>
      <c r="Y197" s="11" t="n">
        <f aca="false">MAX(X197,-Delay_D/Rho_a)</f>
        <v>-263.522732323001</v>
      </c>
      <c r="Z197" s="11" t="n">
        <f aca="false">IF(V197&lt;Floor_F,MAX((-(Cost_k*Ubar_c+Delay_D)*(1-EXP(-Rho_a*LN((Top_c-V197)/(Top_c-Floor_F))/Delta_c))/Rho_a+EXP(-Rho_a*LN((Top_c-V197)/(Top_c-Floor_F))/Delta_c)*(-Cost_k*Delta_c*Floor_F/Rho_a)),(-Delay_D/Rho_a)),(EXP(-Rho_a*LN(V197/Floor_F)/Delta_c)*(-Cost_k*Delta_c*Floor_F/Rho_a)))</f>
        <v>-263.598296666717</v>
      </c>
      <c r="AA197" s="22" t="n">
        <f aca="false">ABS(Y197-Z197)</f>
        <v>0.0755643437165645</v>
      </c>
      <c r="AC197" s="17" t="n">
        <f aca="false">30+177*$AD$5</f>
        <v>41.0625</v>
      </c>
      <c r="AD197" s="17" t="n">
        <f aca="false">Ubar_c-Delta_c*AC197</f>
        <v>5.96867323229634</v>
      </c>
      <c r="AE197" s="11" t="n">
        <f aca="false">(-(Cost_k*Ubar_c+Delay_D)+AD197/$AD$5*AE198)/(Rho_a+AD197/$AD$5)</f>
        <v>-351.821022075609</v>
      </c>
      <c r="AF197" s="11" t="n">
        <f aca="false">MAX(AE197,-Delay_D/Rho_a)</f>
        <v>-335.745877992226</v>
      </c>
      <c r="AG197" s="11" t="n">
        <f aca="false">IF(AC197&lt;Floor_F,MAX((-(Cost_k*Ubar_c+Delay_D)*(1-EXP(-Rho_a*LN((Top_c-AC197)/(Top_c-Floor_F))/Delta_c))/Rho_a+EXP(-Rho_a*LN((Top_c-AC197)/(Top_c-Floor_F))/Delta_c)*(-Cost_k*Delta_c*Floor_F/Rho_a)),(-Delay_D/Rho_a)),(EXP(-Rho_a*LN(AC197/Floor_F)/Delta_c)*(-Cost_k*Delta_c*Floor_F/Rho_a)))</f>
        <v>-335.745877992226</v>
      </c>
      <c r="AH197" s="22" t="n">
        <f aca="false">ABS(AF197-AG197)</f>
        <v>0</v>
      </c>
    </row>
    <row r="198" customFormat="false" ht="15" hidden="false" customHeight="false" outlineLevel="0" collapsed="false">
      <c r="O198" s="17" t="n">
        <f aca="false">30+178*$P$5</f>
        <v>74.5</v>
      </c>
      <c r="P198" s="17" t="n">
        <f aca="false">-Delta_c*O198</f>
        <v>-7.54470677931839</v>
      </c>
      <c r="R198" s="11" t="n">
        <f aca="false">(-P198/$P$5*R197)/(Rho_a-P198/$P$5)</f>
        <v>-175.874857677005</v>
      </c>
      <c r="S198" s="11" t="n">
        <f aca="false">IF(O198&lt;Floor_F,MAX((-(Cost_k*Ubar_c+Delay_D)*(1-EXP(-Rho_a*LN((Top_c-O198)/(Top_c-Floor_F))/Delta_c))/Rho_a+EXP(-Rho_a*LN((Top_c-O198)/(Top_c-Floor_F))/Delta_c)*(-Cost_k*Delta_c*Floor_F/Rho_a)),(-Delay_D/Rho_a)),(EXP(-Rho_a*LN(O198/Floor_F)/Delta_c)*(-Cost_k*Delta_c*Floor_F/Rho_a)))</f>
        <v>-175.684548989739</v>
      </c>
      <c r="T198" s="22" t="n">
        <f aca="false">ABS(R198-S198)</f>
        <v>0.190308687266423</v>
      </c>
      <c r="V198" s="17" t="n">
        <f aca="false">30+178*$W$5</f>
        <v>52.25</v>
      </c>
      <c r="W198" s="17" t="n">
        <f aca="false">Ubar_c-Delta_c*V198</f>
        <v>4.83570132499937</v>
      </c>
      <c r="X198" s="11" t="n">
        <f aca="false">(-(Cost_k*Ubar_c+Delay_D)+W198/$W$5*X199)/(Rho_a+W198/$W$5)</f>
        <v>-262.300873500217</v>
      </c>
      <c r="Y198" s="11" t="n">
        <f aca="false">MAX(X198,-Delay_D/Rho_a)</f>
        <v>-262.300873500217</v>
      </c>
      <c r="Z198" s="11" t="n">
        <f aca="false">IF(V198&lt;Floor_F,MAX((-(Cost_k*Ubar_c+Delay_D)*(1-EXP(-Rho_a*LN((Top_c-V198)/(Top_c-Floor_F))/Delta_c))/Rho_a+EXP(-Rho_a*LN((Top_c-V198)/(Top_c-Floor_F))/Delta_c)*(-Cost_k*Delta_c*Floor_F/Rho_a)),(-Delay_D/Rho_a)),(EXP(-Rho_a*LN(V198/Floor_F)/Delta_c)*(-Cost_k*Delta_c*Floor_F/Rho_a)))</f>
        <v>-262.373519712274</v>
      </c>
      <c r="AA198" s="22" t="n">
        <f aca="false">ABS(Y198-Z198)</f>
        <v>0.0726462120578049</v>
      </c>
      <c r="AC198" s="17" t="n">
        <f aca="false">30+178*$AD$5</f>
        <v>41.125</v>
      </c>
      <c r="AD198" s="17" t="n">
        <f aca="false">Ubar_c-Delta_c*AC198</f>
        <v>5.96234378030027</v>
      </c>
      <c r="AE198" s="11" t="n">
        <f aca="false">(-(Cost_k*Ubar_c+Delay_D)+AD198/$AD$5*AE199)/(Rho_a+AD198/$AD$5)</f>
        <v>-351.412887319515</v>
      </c>
      <c r="AF198" s="11" t="n">
        <f aca="false">MAX(AE198,-Delay_D/Rho_a)</f>
        <v>-335.745877992226</v>
      </c>
      <c r="AG198" s="11" t="n">
        <f aca="false">IF(AC198&lt;Floor_F,MAX((-(Cost_k*Ubar_c+Delay_D)*(1-EXP(-Rho_a*LN((Top_c-AC198)/(Top_c-Floor_F))/Delta_c))/Rho_a+EXP(-Rho_a*LN((Top_c-AC198)/(Top_c-Floor_F))/Delta_c)*(-Cost_k*Delta_c*Floor_F/Rho_a)),(-Delay_D/Rho_a)),(EXP(-Rho_a*LN(AC198/Floor_F)/Delta_c)*(-Cost_k*Delta_c*Floor_F/Rho_a)))</f>
        <v>-335.745877992226</v>
      </c>
      <c r="AH198" s="22" t="n">
        <f aca="false">ABS(AF198-AG198)</f>
        <v>0</v>
      </c>
    </row>
    <row r="199" customFormat="false" ht="15" hidden="false" customHeight="false" outlineLevel="0" collapsed="false">
      <c r="O199" s="17" t="n">
        <f aca="false">30+179*$P$5</f>
        <v>74.75</v>
      </c>
      <c r="P199" s="17" t="n">
        <f aca="false">-Delta_c*O199</f>
        <v>-7.57002458730268</v>
      </c>
      <c r="R199" s="11" t="n">
        <f aca="false">(-P199/$P$5*R198)/(Rho_a-P199/$P$5)</f>
        <v>-175.323007837941</v>
      </c>
      <c r="S199" s="11" t="n">
        <f aca="false">IF(O199&lt;Floor_F,MAX((-(Cost_k*Ubar_c+Delay_D)*(1-EXP(-Rho_a*LN((Top_c-O199)/(Top_c-Floor_F))/Delta_c))/Rho_a+EXP(-Rho_a*LN((Top_c-O199)/(Top_c-Floor_F))/Delta_c)*(-Cost_k*Delta_c*Floor_F/Rho_a)),(-Delay_D/Rho_a)),(EXP(-Rho_a*LN(O199/Floor_F)/Delta_c)*(-Cost_k*Delta_c*Floor_F/Rho_a)))</f>
        <v>-175.131506661291</v>
      </c>
      <c r="T199" s="22" t="n">
        <f aca="false">ABS(R199-S199)</f>
        <v>0.191501176649439</v>
      </c>
      <c r="V199" s="17" t="n">
        <f aca="false">30+179*$W$5</f>
        <v>52.375</v>
      </c>
      <c r="W199" s="17" t="n">
        <f aca="false">Ubar_c-Delta_c*V199</f>
        <v>4.82304242100723</v>
      </c>
      <c r="X199" s="11" t="n">
        <f aca="false">(-(Cost_k*Ubar_c+Delay_D)+W199/$W$5*X200)/(Rho_a+W199/$W$5)</f>
        <v>-261.072805786617</v>
      </c>
      <c r="Y199" s="11" t="n">
        <f aca="false">MAX(X199,-Delay_D/Rho_a)</f>
        <v>-261.072805786617</v>
      </c>
      <c r="Z199" s="11" t="n">
        <f aca="false">IF(V199&lt;Floor_F,MAX((-(Cost_k*Ubar_c+Delay_D)*(1-EXP(-Rho_a*LN((Top_c-V199)/(Top_c-Floor_F))/Delta_c))/Rho_a+EXP(-Rho_a*LN((Top_c-V199)/(Top_c-Floor_F))/Delta_c)*(-Cost_k*Delta_c*Floor_F/Rho_a)),(-Delay_D/Rho_a)),(EXP(-Rho_a*LN(V199/Floor_F)/Delta_c)*(-Cost_k*Delta_c*Floor_F/Rho_a)))</f>
        <v>-261.142503184643</v>
      </c>
      <c r="AA199" s="22" t="n">
        <f aca="false">ABS(Y199-Z199)</f>
        <v>0.0696973980254256</v>
      </c>
      <c r="AC199" s="17" t="n">
        <f aca="false">30+179*$AD$5</f>
        <v>41.1875</v>
      </c>
      <c r="AD199" s="17" t="n">
        <f aca="false">Ubar_c-Delta_c*AC199</f>
        <v>5.9560143283042</v>
      </c>
      <c r="AE199" s="11" t="n">
        <f aca="false">(-(Cost_k*Ubar_c+Delay_D)+AD199/$AD$5*AE200)/(Rho_a+AD199/$AD$5)</f>
        <v>-351.003911538173</v>
      </c>
      <c r="AF199" s="11" t="n">
        <f aca="false">MAX(AE199,-Delay_D/Rho_a)</f>
        <v>-335.745877992226</v>
      </c>
      <c r="AG199" s="11" t="n">
        <f aca="false">IF(AC199&lt;Floor_F,MAX((-(Cost_k*Ubar_c+Delay_D)*(1-EXP(-Rho_a*LN((Top_c-AC199)/(Top_c-Floor_F))/Delta_c))/Rho_a+EXP(-Rho_a*LN((Top_c-AC199)/(Top_c-Floor_F))/Delta_c)*(-Cost_k*Delta_c*Floor_F/Rho_a)),(-Delay_D/Rho_a)),(EXP(-Rho_a*LN(AC199/Floor_F)/Delta_c)*(-Cost_k*Delta_c*Floor_F/Rho_a)))</f>
        <v>-335.745877992226</v>
      </c>
      <c r="AH199" s="22" t="n">
        <f aca="false">ABS(AF199-AG199)</f>
        <v>0</v>
      </c>
    </row>
    <row r="200" customFormat="false" ht="15" hidden="false" customHeight="false" outlineLevel="0" collapsed="false">
      <c r="O200" s="17" t="n">
        <f aca="false">30+180*$P$5</f>
        <v>75</v>
      </c>
      <c r="P200" s="17" t="n">
        <f aca="false">-Delta_c*O200</f>
        <v>-7.59534239528697</v>
      </c>
      <c r="R200" s="11" t="n">
        <f aca="false">(-P200/$P$5*R199)/(Rho_a-P200/$P$5)</f>
        <v>-174.774717553962</v>
      </c>
      <c r="S200" s="11" t="n">
        <f aca="false">IF(O200&lt;Floor_F,MAX((-(Cost_k*Ubar_c+Delay_D)*(1-EXP(-Rho_a*LN((Top_c-O200)/(Top_c-Floor_F))/Delta_c))/Rho_a+EXP(-Rho_a*LN((Top_c-O200)/(Top_c-Floor_F))/Delta_c)*(-Cost_k*Delta_c*Floor_F/Rho_a)),(-Delay_D/Rho_a)),(EXP(-Rho_a*LN(O200/Floor_F)/Delta_c)*(-Cost_k*Delta_c*Floor_F/Rho_a)))</f>
        <v>-174.582043122324</v>
      </c>
      <c r="T200" s="22" t="n">
        <f aca="false">ABS(R200-S200)</f>
        <v>0.192674431638039</v>
      </c>
      <c r="V200" s="17" t="n">
        <f aca="false">30+180*$W$5</f>
        <v>52.5</v>
      </c>
      <c r="W200" s="17" t="n">
        <f aca="false">Ubar_c-Delta_c*V200</f>
        <v>4.81038351701508</v>
      </c>
      <c r="X200" s="11" t="n">
        <f aca="false">(-(Cost_k*Ubar_c+Delay_D)+W200/$W$5*X201)/(Rho_a+W200/$W$5)</f>
        <v>-259.838481252536</v>
      </c>
      <c r="Y200" s="11" t="n">
        <f aca="false">MAX(X200,-Delay_D/Rho_a)</f>
        <v>-259.838481252536</v>
      </c>
      <c r="Z200" s="11" t="n">
        <f aca="false">IF(V200&lt;Floor_F,MAX((-(Cost_k*Ubar_c+Delay_D)*(1-EXP(-Rho_a*LN((Top_c-V200)/(Top_c-Floor_F))/Delta_c))/Rho_a+EXP(-Rho_a*LN((Top_c-V200)/(Top_c-Floor_F))/Delta_c)*(-Cost_k*Delta_c*Floor_F/Rho_a)),(-Delay_D/Rho_a)),(EXP(-Rho_a*LN(V200/Floor_F)/Delta_c)*(-Cost_k*Delta_c*Floor_F/Rho_a)))</f>
        <v>-259.905198794282</v>
      </c>
      <c r="AA200" s="22" t="n">
        <f aca="false">ABS(Y200-Z200)</f>
        <v>0.0667175417457315</v>
      </c>
      <c r="AC200" s="17" t="n">
        <f aca="false">30+180*$AD$5</f>
        <v>41.25</v>
      </c>
      <c r="AD200" s="17" t="n">
        <f aca="false">Ubar_c-Delta_c*AC200</f>
        <v>5.94968487630813</v>
      </c>
      <c r="AE200" s="11" t="n">
        <f aca="false">(-(Cost_k*Ubar_c+Delay_D)+AD200/$AD$5*AE201)/(Rho_a+AD200/$AD$5)</f>
        <v>-350.59409210292</v>
      </c>
      <c r="AF200" s="11" t="n">
        <f aca="false">MAX(AE200,-Delay_D/Rho_a)</f>
        <v>-335.745877992226</v>
      </c>
      <c r="AG200" s="11" t="n">
        <f aca="false">IF(AC200&lt;Floor_F,MAX((-(Cost_k*Ubar_c+Delay_D)*(1-EXP(-Rho_a*LN((Top_c-AC200)/(Top_c-Floor_F))/Delta_c))/Rho_a+EXP(-Rho_a*LN((Top_c-AC200)/(Top_c-Floor_F))/Delta_c)*(-Cost_k*Delta_c*Floor_F/Rho_a)),(-Delay_D/Rho_a)),(EXP(-Rho_a*LN(AC200/Floor_F)/Delta_c)*(-Cost_k*Delta_c*Floor_F/Rho_a)))</f>
        <v>-335.745877992226</v>
      </c>
      <c r="AH200" s="22" t="n">
        <f aca="false">ABS(AF200-AG200)</f>
        <v>0</v>
      </c>
    </row>
    <row r="201" customFormat="false" ht="15" hidden="false" customHeight="false" outlineLevel="0" collapsed="false">
      <c r="O201" s="17" t="n">
        <f aca="false">30+181*$P$5</f>
        <v>75.25</v>
      </c>
      <c r="P201" s="17" t="n">
        <f aca="false">-Delta_c*O201</f>
        <v>-7.62066020327126</v>
      </c>
      <c r="R201" s="11" t="n">
        <f aca="false">(-P201/$P$5*R200)/(Rho_a-P201/$P$5)</f>
        <v>-174.229952152278</v>
      </c>
      <c r="S201" s="11" t="n">
        <f aca="false">IF(O201&lt;Floor_F,MAX((-(Cost_k*Ubar_c+Delay_D)*(1-EXP(-Rho_a*LN((Top_c-O201)/(Top_c-Floor_F))/Delta_c))/Rho_a+EXP(-Rho_a*LN((Top_c-O201)/(Top_c-Floor_F))/Delta_c)*(-Cost_k*Delta_c*Floor_F/Rho_a)),(-Delay_D/Rho_a)),(EXP(-Rho_a*LN(O201/Floor_F)/Delta_c)*(-Cost_k*Delta_c*Floor_F/Rho_a)))</f>
        <v>-174.036123400263</v>
      </c>
      <c r="T201" s="22" t="n">
        <f aca="false">ABS(R201-S201)</f>
        <v>0.19382875201444</v>
      </c>
      <c r="V201" s="17" t="n">
        <f aca="false">30+181*$W$5</f>
        <v>52.625</v>
      </c>
      <c r="W201" s="17" t="n">
        <f aca="false">Ubar_c-Delta_c*V201</f>
        <v>4.79772461302294</v>
      </c>
      <c r="X201" s="11" t="n">
        <f aca="false">(-(Cost_k*Ubar_c+Delay_D)+W201/$W$5*X202)/(Rho_a+W201/$W$5)</f>
        <v>-258.597851471206</v>
      </c>
      <c r="Y201" s="11" t="n">
        <f aca="false">MAX(X201,-Delay_D/Rho_a)</f>
        <v>-258.597851471206</v>
      </c>
      <c r="Z201" s="11" t="n">
        <f aca="false">IF(V201&lt;Floor_F,MAX((-(Cost_k*Ubar_c+Delay_D)*(1-EXP(-Rho_a*LN((Top_c-V201)/(Top_c-Floor_F))/Delta_c))/Rho_a+EXP(-Rho_a*LN((Top_c-V201)/(Top_c-Floor_F))/Delta_c)*(-Cost_k*Delta_c*Floor_F/Rho_a)),(-Delay_D/Rho_a)),(EXP(-Rho_a*LN(V201/Floor_F)/Delta_c)*(-Cost_k*Delta_c*Floor_F/Rho_a)))</f>
        <v>-258.661557749537</v>
      </c>
      <c r="AA201" s="22" t="n">
        <f aca="false">ABS(Y201-Z201)</f>
        <v>0.0637062783301872</v>
      </c>
      <c r="AC201" s="17" t="n">
        <f aca="false">30+181*$AD$5</f>
        <v>41.3125</v>
      </c>
      <c r="AD201" s="17" t="n">
        <f aca="false">Ubar_c-Delta_c*AC201</f>
        <v>5.94335542431205</v>
      </c>
      <c r="AE201" s="11" t="n">
        <f aca="false">(-(Cost_k*Ubar_c+Delay_D)+AD201/$AD$5*AE202)/(Rho_a+AD201/$AD$5)</f>
        <v>-350.183426374074</v>
      </c>
      <c r="AF201" s="11" t="n">
        <f aca="false">MAX(AE201,-Delay_D/Rho_a)</f>
        <v>-335.745877992226</v>
      </c>
      <c r="AG201" s="11" t="n">
        <f aca="false">IF(AC201&lt;Floor_F,MAX((-(Cost_k*Ubar_c+Delay_D)*(1-EXP(-Rho_a*LN((Top_c-AC201)/(Top_c-Floor_F))/Delta_c))/Rho_a+EXP(-Rho_a*LN((Top_c-AC201)/(Top_c-Floor_F))/Delta_c)*(-Cost_k*Delta_c*Floor_F/Rho_a)),(-Delay_D/Rho_a)),(EXP(-Rho_a*LN(AC201/Floor_F)/Delta_c)*(-Cost_k*Delta_c*Floor_F/Rho_a)))</f>
        <v>-335.745877992226</v>
      </c>
      <c r="AH201" s="22" t="n">
        <f aca="false">ABS(AF201-AG201)</f>
        <v>0</v>
      </c>
    </row>
    <row r="202" customFormat="false" ht="15" hidden="false" customHeight="false" outlineLevel="0" collapsed="false">
      <c r="O202" s="17" t="n">
        <f aca="false">30+182*$P$5</f>
        <v>75.5</v>
      </c>
      <c r="P202" s="17" t="n">
        <f aca="false">-Delta_c*O202</f>
        <v>-7.64597801125555</v>
      </c>
      <c r="R202" s="11" t="n">
        <f aca="false">(-P202/$P$5*R201)/(Rho_a-P202/$P$5)</f>
        <v>-173.688677411176</v>
      </c>
      <c r="S202" s="11" t="n">
        <f aca="false">IF(O202&lt;Floor_F,MAX((-(Cost_k*Ubar_c+Delay_D)*(1-EXP(-Rho_a*LN((Top_c-O202)/(Top_c-Floor_F))/Delta_c))/Rho_a+EXP(-Rho_a*LN((Top_c-O202)/(Top_c-Floor_F))/Delta_c)*(-Cost_k*Delta_c*Floor_F/Rho_a)),(-Delay_D/Rho_a)),(EXP(-Rho_a*LN(O202/Floor_F)/Delta_c)*(-Cost_k*Delta_c*Floor_F/Rho_a)))</f>
        <v>-173.493712978978</v>
      </c>
      <c r="T202" s="22" t="n">
        <f aca="false">ABS(R202-S202)</f>
        <v>0.194964432198162</v>
      </c>
      <c r="V202" s="17" t="n">
        <f aca="false">30+182*$W$5</f>
        <v>52.75</v>
      </c>
      <c r="W202" s="17" t="n">
        <f aca="false">Ubar_c-Delta_c*V202</f>
        <v>4.78506570903079</v>
      </c>
      <c r="X202" s="11" t="n">
        <f aca="false">(-(Cost_k*Ubar_c+Delay_D)+W202/$W$5*X203)/(Rho_a+W202/$W$5)</f>
        <v>-257.350867512284</v>
      </c>
      <c r="Y202" s="11" t="n">
        <f aca="false">MAX(X202,-Delay_D/Rho_a)</f>
        <v>-257.350867512284</v>
      </c>
      <c r="Z202" s="11" t="n">
        <f aca="false">IF(V202&lt;Floor_F,MAX((-(Cost_k*Ubar_c+Delay_D)*(1-EXP(-Rho_a*LN((Top_c-V202)/(Top_c-Floor_F))/Delta_c))/Rho_a+EXP(-Rho_a*LN((Top_c-V202)/(Top_c-Floor_F))/Delta_c)*(-Cost_k*Delta_c*Floor_F/Rho_a)),(-Delay_D/Rho_a)),(EXP(-Rho_a*LN(V202/Floor_F)/Delta_c)*(-Cost_k*Delta_c*Floor_F/Rho_a)))</f>
        <v>-257.411530750077</v>
      </c>
      <c r="AA202" s="22" t="n">
        <f aca="false">ABS(Y202-Z202)</f>
        <v>0.0606632377929941</v>
      </c>
      <c r="AC202" s="17" t="n">
        <f aca="false">30+182*$AD$5</f>
        <v>41.375</v>
      </c>
      <c r="AD202" s="17" t="n">
        <f aca="false">Ubar_c-Delta_c*AC202</f>
        <v>5.93702597231598</v>
      </c>
      <c r="AE202" s="11" t="n">
        <f aca="false">(-(Cost_k*Ubar_c+Delay_D)+AD202/$AD$5*AE203)/(Rho_a+AD202/$AD$5)</f>
        <v>-349.771911700871</v>
      </c>
      <c r="AF202" s="11" t="n">
        <f aca="false">MAX(AE202,-Delay_D/Rho_a)</f>
        <v>-335.745877992226</v>
      </c>
      <c r="AG202" s="11" t="n">
        <f aca="false">IF(AC202&lt;Floor_F,MAX((-(Cost_k*Ubar_c+Delay_D)*(1-EXP(-Rho_a*LN((Top_c-AC202)/(Top_c-Floor_F))/Delta_c))/Rho_a+EXP(-Rho_a*LN((Top_c-AC202)/(Top_c-Floor_F))/Delta_c)*(-Cost_k*Delta_c*Floor_F/Rho_a)),(-Delay_D/Rho_a)),(EXP(-Rho_a*LN(AC202/Floor_F)/Delta_c)*(-Cost_k*Delta_c*Floor_F/Rho_a)))</f>
        <v>-335.745877992226</v>
      </c>
      <c r="AH202" s="22" t="n">
        <f aca="false">ABS(AF202-AG202)</f>
        <v>0</v>
      </c>
    </row>
    <row r="203" customFormat="false" ht="15" hidden="false" customHeight="false" outlineLevel="0" collapsed="false">
      <c r="O203" s="17" t="n">
        <f aca="false">30+183*$P$5</f>
        <v>75.75</v>
      </c>
      <c r="P203" s="17" t="n">
        <f aca="false">-Delta_c*O203</f>
        <v>-7.67129581923984</v>
      </c>
      <c r="R203" s="11" t="n">
        <f aca="false">(-P203/$P$5*R202)/(Rho_a-P203/$P$5)</f>
        <v>-173.150859552691</v>
      </c>
      <c r="S203" s="11" t="n">
        <f aca="false">IF(O203&lt;Floor_F,MAX((-(Cost_k*Ubar_c+Delay_D)*(1-EXP(-Rho_a*LN((Top_c-O203)/(Top_c-Floor_F))/Delta_c))/Rho_a+EXP(-Rho_a*LN((Top_c-O203)/(Top_c-Floor_F))/Delta_c)*(-Cost_k*Delta_c*Floor_F/Rho_a)),(-Delay_D/Rho_a)),(EXP(-Rho_a*LN(O203/Floor_F)/Delta_c)*(-Cost_k*Delta_c*Floor_F/Rho_a)))</f>
        <v>-172.954777791334</v>
      </c>
      <c r="T203" s="22" t="n">
        <f aca="false">ABS(R203-S203)</f>
        <v>0.196081761357192</v>
      </c>
      <c r="V203" s="17" t="n">
        <f aca="false">30+183*$W$5</f>
        <v>52.875</v>
      </c>
      <c r="W203" s="17" t="n">
        <f aca="false">Ubar_c-Delta_c*V203</f>
        <v>4.77240680503865</v>
      </c>
      <c r="X203" s="11" t="n">
        <f aca="false">(-(Cost_k*Ubar_c+Delay_D)+W203/$W$5*X204)/(Rho_a+W203/$W$5)</f>
        <v>-256.097479935262</v>
      </c>
      <c r="Y203" s="11" t="n">
        <f aca="false">MAX(X203,-Delay_D/Rho_a)</f>
        <v>-256.097479935262</v>
      </c>
      <c r="Z203" s="11" t="n">
        <f aca="false">IF(V203&lt;Floor_F,MAX((-(Cost_k*Ubar_c+Delay_D)*(1-EXP(-Rho_a*LN((Top_c-V203)/(Top_c-Floor_F))/Delta_c))/Rho_a+EXP(-Rho_a*LN((Top_c-V203)/(Top_c-Floor_F))/Delta_c)*(-Cost_k*Delta_c*Floor_F/Rho_a)),(-Delay_D/Rho_a)),(EXP(-Rho_a*LN(V203/Floor_F)/Delta_c)*(-Cost_k*Delta_c*Floor_F/Rho_a)))</f>
        <v>-256.15506798023</v>
      </c>
      <c r="AA203" s="22" t="n">
        <f aca="false">ABS(Y203-Z203)</f>
        <v>0.0575880449677015</v>
      </c>
      <c r="AC203" s="17" t="n">
        <f aca="false">30+183*$AD$5</f>
        <v>41.4375</v>
      </c>
      <c r="AD203" s="17" t="n">
        <f aca="false">Ubar_c-Delta_c*AC203</f>
        <v>5.93069652031991</v>
      </c>
      <c r="AE203" s="11" t="n">
        <f aca="false">(-(Cost_k*Ubar_c+Delay_D)+AD203/$AD$5*AE204)/(Rho_a+AD203/$AD$5)</f>
        <v>-349.359545421411</v>
      </c>
      <c r="AF203" s="11" t="n">
        <f aca="false">MAX(AE203,-Delay_D/Rho_a)</f>
        <v>-335.745877992226</v>
      </c>
      <c r="AG203" s="11" t="n">
        <f aca="false">IF(AC203&lt;Floor_F,MAX((-(Cost_k*Ubar_c+Delay_D)*(1-EXP(-Rho_a*LN((Top_c-AC203)/(Top_c-Floor_F))/Delta_c))/Rho_a+EXP(-Rho_a*LN((Top_c-AC203)/(Top_c-Floor_F))/Delta_c)*(-Cost_k*Delta_c*Floor_F/Rho_a)),(-Delay_D/Rho_a)),(EXP(-Rho_a*LN(AC203/Floor_F)/Delta_c)*(-Cost_k*Delta_c*Floor_F/Rho_a)))</f>
        <v>-335.745877992226</v>
      </c>
      <c r="AH203" s="22" t="n">
        <f aca="false">ABS(AF203-AG203)</f>
        <v>0</v>
      </c>
    </row>
    <row r="204" customFormat="false" ht="15" hidden="false" customHeight="false" outlineLevel="0" collapsed="false">
      <c r="O204" s="17" t="n">
        <f aca="false">30+184*$P$5</f>
        <v>76</v>
      </c>
      <c r="P204" s="17" t="n">
        <f aca="false">-Delta_c*O204</f>
        <v>-7.69661362722413</v>
      </c>
      <c r="R204" s="11" t="n">
        <f aca="false">(-P204/$P$5*R203)/(Rho_a-P204/$P$5)</f>
        <v>-172.61646523541</v>
      </c>
      <c r="S204" s="11" t="n">
        <f aca="false">IF(O204&lt;Floor_F,MAX((-(Cost_k*Ubar_c+Delay_D)*(1-EXP(-Rho_a*LN((Top_c-O204)/(Top_c-Floor_F))/Delta_c))/Rho_a+EXP(-Rho_a*LN((Top_c-O204)/(Top_c-Floor_F))/Delta_c)*(-Cost_k*Delta_c*Floor_F/Rho_a)),(-Delay_D/Rho_a)),(EXP(-Rho_a*LN(O204/Floor_F)/Delta_c)*(-Cost_k*Delta_c*Floor_F/Rho_a)))</f>
        <v>-172.419284211894</v>
      </c>
      <c r="T204" s="22" t="n">
        <f aca="false">ABS(R204-S204)</f>
        <v>0.197181023516379</v>
      </c>
      <c r="V204" s="17" t="n">
        <f aca="false">30+184*$W$5</f>
        <v>53</v>
      </c>
      <c r="W204" s="17" t="n">
        <f aca="false">Ubar_c-Delta_c*V204</f>
        <v>4.7597479010465</v>
      </c>
      <c r="X204" s="11" t="n">
        <f aca="false">(-(Cost_k*Ubar_c+Delay_D)+W204/$W$5*X205)/(Rho_a+W204/$W$5)</f>
        <v>-254.837638782785</v>
      </c>
      <c r="Y204" s="11" t="n">
        <f aca="false">MAX(X204,-Delay_D/Rho_a)</f>
        <v>-254.837638782785</v>
      </c>
      <c r="Z204" s="11" t="n">
        <f aca="false">IF(V204&lt;Floor_F,MAX((-(Cost_k*Ubar_c+Delay_D)*(1-EXP(-Rho_a*LN((Top_c-V204)/(Top_c-Floor_F))/Delta_c))/Rho_a+EXP(-Rho_a*LN((Top_c-V204)/(Top_c-Floor_F))/Delta_c)*(-Cost_k*Delta_c*Floor_F/Rho_a)),(-Delay_D/Rho_a)),(EXP(-Rho_a*LN(V204/Floor_F)/Delta_c)*(-Cost_k*Delta_c*Floor_F/Rho_a)))</f>
        <v>-254.892119102206</v>
      </c>
      <c r="AA204" s="22" t="n">
        <f aca="false">ABS(Y204-Z204)</f>
        <v>0.0544803194212307</v>
      </c>
      <c r="AC204" s="17" t="n">
        <f aca="false">30+184*$AD$5</f>
        <v>41.5</v>
      </c>
      <c r="AD204" s="17" t="n">
        <f aca="false">Ubar_c-Delta_c*AC204</f>
        <v>5.92436706832384</v>
      </c>
      <c r="AE204" s="11" t="n">
        <f aca="false">(-(Cost_k*Ubar_c+Delay_D)+AD204/$AD$5*AE205)/(Rho_a+AD204/$AD$5)</f>
        <v>-348.946324862598</v>
      </c>
      <c r="AF204" s="11" t="n">
        <f aca="false">MAX(AE204,-Delay_D/Rho_a)</f>
        <v>-335.745877992226</v>
      </c>
      <c r="AG204" s="11" t="n">
        <f aca="false">IF(AC204&lt;Floor_F,MAX((-(Cost_k*Ubar_c+Delay_D)*(1-EXP(-Rho_a*LN((Top_c-AC204)/(Top_c-Floor_F))/Delta_c))/Rho_a+EXP(-Rho_a*LN((Top_c-AC204)/(Top_c-Floor_F))/Delta_c)*(-Cost_k*Delta_c*Floor_F/Rho_a)),(-Delay_D/Rho_a)),(EXP(-Rho_a*LN(AC204/Floor_F)/Delta_c)*(-Cost_k*Delta_c*Floor_F/Rho_a)))</f>
        <v>-335.745877992226</v>
      </c>
      <c r="AH204" s="22" t="n">
        <f aca="false">ABS(AF204-AG204)</f>
        <v>0</v>
      </c>
    </row>
    <row r="205" customFormat="false" ht="15" hidden="false" customHeight="false" outlineLevel="0" collapsed="false">
      <c r="O205" s="17" t="n">
        <f aca="false">30+185*$P$5</f>
        <v>76.25</v>
      </c>
      <c r="P205" s="17" t="n">
        <f aca="false">-Delta_c*O205</f>
        <v>-7.72193143520842</v>
      </c>
      <c r="R205" s="11" t="n">
        <f aca="false">(-P205/$P$5*R204)/(Rho_a-P205/$P$5)</f>
        <v>-172.085461547427</v>
      </c>
      <c r="S205" s="11" t="n">
        <f aca="false">IF(O205&lt;Floor_F,MAX((-(Cost_k*Ubar_c+Delay_D)*(1-EXP(-Rho_a*LN((Top_c-O205)/(Top_c-Floor_F))/Delta_c))/Rho_a+EXP(-Rho_a*LN((Top_c-O205)/(Top_c-Floor_F))/Delta_c)*(-Cost_k*Delta_c*Floor_F/Rho_a)),(-Delay_D/Rho_a)),(EXP(-Rho_a*LN(O205/Floor_F)/Delta_c)*(-Cost_k*Delta_c*Floor_F/Rho_a)))</f>
        <v>-171.887199049764</v>
      </c>
      <c r="T205" s="22" t="n">
        <f aca="false">ABS(R205-S205)</f>
        <v>0.19826249766308</v>
      </c>
      <c r="V205" s="17" t="n">
        <f aca="false">30+185*$W$5</f>
        <v>53.125</v>
      </c>
      <c r="W205" s="17" t="n">
        <f aca="false">Ubar_c-Delta_c*V205</f>
        <v>4.74708899705436</v>
      </c>
      <c r="X205" s="11" t="n">
        <f aca="false">(-(Cost_k*Ubar_c+Delay_D)+W205/$W$5*X206)/(Rho_a+W205/$W$5)</f>
        <v>-253.571293573857</v>
      </c>
      <c r="Y205" s="11" t="n">
        <f aca="false">MAX(X205,-Delay_D/Rho_a)</f>
        <v>-253.571293573857</v>
      </c>
      <c r="Z205" s="11" t="n">
        <f aca="false">IF(V205&lt;Floor_F,MAX((-(Cost_k*Ubar_c+Delay_D)*(1-EXP(-Rho_a*LN((Top_c-V205)/(Top_c-Floor_F))/Delta_c))/Rho_a+EXP(-Rho_a*LN((Top_c-V205)/(Top_c-Floor_F))/Delta_c)*(-Cost_k*Delta_c*Floor_F/Rho_a)),(-Delay_D/Rho_a)),(EXP(-Rho_a*LN(V205/Floor_F)/Delta_c)*(-Cost_k*Delta_c*Floor_F/Rho_a)))</f>
        <v>-253.622633249224</v>
      </c>
      <c r="AA205" s="22" t="n">
        <f aca="false">ABS(Y205-Z205)</f>
        <v>0.0513396753677284</v>
      </c>
      <c r="AC205" s="17" t="n">
        <f aca="false">30+185*$AD$5</f>
        <v>41.5625</v>
      </c>
      <c r="AD205" s="17" t="n">
        <f aca="false">Ubar_c-Delta_c*AC205</f>
        <v>5.91803761632777</v>
      </c>
      <c r="AE205" s="11" t="n">
        <f aca="false">(-(Cost_k*Ubar_c+Delay_D)+AD205/$AD$5*AE206)/(Rho_a+AD205/$AD$5)</f>
        <v>-348.532247340081</v>
      </c>
      <c r="AF205" s="11" t="n">
        <f aca="false">MAX(AE205,-Delay_D/Rho_a)</f>
        <v>-335.745877992226</v>
      </c>
      <c r="AG205" s="11" t="n">
        <f aca="false">IF(AC205&lt;Floor_F,MAX((-(Cost_k*Ubar_c+Delay_D)*(1-EXP(-Rho_a*LN((Top_c-AC205)/(Top_c-Floor_F))/Delta_c))/Rho_a+EXP(-Rho_a*LN((Top_c-AC205)/(Top_c-Floor_F))/Delta_c)*(-Cost_k*Delta_c*Floor_F/Rho_a)),(-Delay_D/Rho_a)),(EXP(-Rho_a*LN(AC205/Floor_F)/Delta_c)*(-Cost_k*Delta_c*Floor_F/Rho_a)))</f>
        <v>-335.745877992226</v>
      </c>
      <c r="AH205" s="22" t="n">
        <f aca="false">ABS(AF205-AG205)</f>
        <v>0</v>
      </c>
    </row>
    <row r="206" customFormat="false" ht="15" hidden="false" customHeight="false" outlineLevel="0" collapsed="false">
      <c r="O206" s="17" t="n">
        <f aca="false">30+186*$P$5</f>
        <v>76.5</v>
      </c>
      <c r="P206" s="17" t="n">
        <f aca="false">-Delta_c*O206</f>
        <v>-7.74724924319271</v>
      </c>
      <c r="R206" s="11" t="n">
        <f aca="false">(-P206/$P$5*R205)/(Rho_a-P206/$P$5)</f>
        <v>-171.557815999425</v>
      </c>
      <c r="S206" s="11" t="n">
        <f aca="false">IF(O206&lt;Floor_F,MAX((-(Cost_k*Ubar_c+Delay_D)*(1-EXP(-Rho_a*LN((Top_c-O206)/(Top_c-Floor_F))/Delta_c))/Rho_a+EXP(-Rho_a*LN((Top_c-O206)/(Top_c-Floor_F))/Delta_c)*(-Cost_k*Delta_c*Floor_F/Rho_a)),(-Delay_D/Rho_a)),(EXP(-Rho_a*LN(O206/Floor_F)/Delta_c)*(-Cost_k*Delta_c*Floor_F/Rho_a)))</f>
        <v>-171.358489541575</v>
      </c>
      <c r="T206" s="22" t="n">
        <f aca="false">ABS(R206-S206)</f>
        <v>0.199326457850333</v>
      </c>
      <c r="V206" s="17" t="n">
        <f aca="false">30+186*$W$5</f>
        <v>53.25</v>
      </c>
      <c r="W206" s="17" t="n">
        <f aca="false">Ubar_c-Delta_c*V206</f>
        <v>4.73443009306221</v>
      </c>
      <c r="X206" s="11" t="n">
        <f aca="false">(-(Cost_k*Ubar_c+Delay_D)+W206/$W$5*X207)/(Rho_a+W206/$W$5)</f>
        <v>-252.298393296942</v>
      </c>
      <c r="Y206" s="11" t="n">
        <f aca="false">MAX(X206,-Delay_D/Rho_a)</f>
        <v>-252.298393296942</v>
      </c>
      <c r="Z206" s="11" t="n">
        <f aca="false">IF(V206&lt;Floor_F,MAX((-(Cost_k*Ubar_c+Delay_D)*(1-EXP(-Rho_a*LN((Top_c-V206)/(Top_c-Floor_F))/Delta_c))/Rho_a+EXP(-Rho_a*LN((Top_c-V206)/(Top_c-Floor_F))/Delta_c)*(-Cost_k*Delta_c*Floor_F/Rho_a)),(-Delay_D/Rho_a)),(EXP(-Rho_a*LN(V206/Floor_F)/Delta_c)*(-Cost_k*Delta_c*Floor_F/Rho_a)))</f>
        <v>-252.346559018521</v>
      </c>
      <c r="AA206" s="22" t="n">
        <f aca="false">ABS(Y206-Z206)</f>
        <v>0.0481657215793518</v>
      </c>
      <c r="AC206" s="17" t="n">
        <f aca="false">30+186*$AD$5</f>
        <v>41.625</v>
      </c>
      <c r="AD206" s="17" t="n">
        <f aca="false">Ubar_c-Delta_c*AC206</f>
        <v>5.91170816433169</v>
      </c>
      <c r="AE206" s="11" t="n">
        <f aca="false">(-(Cost_k*Ubar_c+Delay_D)+AD206/$AD$5*AE207)/(Rho_a+AD206/$AD$5)</f>
        <v>-348.117310158193</v>
      </c>
      <c r="AF206" s="11" t="n">
        <f aca="false">MAX(AE206,-Delay_D/Rho_a)</f>
        <v>-335.745877992226</v>
      </c>
      <c r="AG206" s="11" t="n">
        <f aca="false">IF(AC206&lt;Floor_F,MAX((-(Cost_k*Ubar_c+Delay_D)*(1-EXP(-Rho_a*LN((Top_c-AC206)/(Top_c-Floor_F))/Delta_c))/Rho_a+EXP(-Rho_a*LN((Top_c-AC206)/(Top_c-Floor_F))/Delta_c)*(-Cost_k*Delta_c*Floor_F/Rho_a)),(-Delay_D/Rho_a)),(EXP(-Rho_a*LN(AC206/Floor_F)/Delta_c)*(-Cost_k*Delta_c*Floor_F/Rho_a)))</f>
        <v>-335.745877992226</v>
      </c>
      <c r="AH206" s="22" t="n">
        <f aca="false">ABS(AF206-AG206)</f>
        <v>0</v>
      </c>
    </row>
    <row r="207" customFormat="false" ht="15" hidden="false" customHeight="false" outlineLevel="0" collapsed="false">
      <c r="O207" s="17" t="n">
        <f aca="false">30+187*$P$5</f>
        <v>76.75</v>
      </c>
      <c r="P207" s="17" t="n">
        <f aca="false">-Delta_c*O207</f>
        <v>-7.772567051177</v>
      </c>
      <c r="R207" s="11" t="n">
        <f aca="false">(-P207/$P$5*R206)/(Rho_a-P207/$P$5)</f>
        <v>-171.033496517896</v>
      </c>
      <c r="S207" s="11" t="n">
        <f aca="false">IF(O207&lt;Floor_F,MAX((-(Cost_k*Ubar_c+Delay_D)*(1-EXP(-Rho_a*LN((Top_c-O207)/(Top_c-Floor_F))/Delta_c))/Rho_a+EXP(-Rho_a*LN((Top_c-O207)/(Top_c-Floor_F))/Delta_c)*(-Cost_k*Delta_c*Floor_F/Rho_a)),(-Delay_D/Rho_a)),(EXP(-Rho_a*LN(O207/Floor_F)/Delta_c)*(-Cost_k*Delta_c*Floor_F/Rho_a)))</f>
        <v>-170.833123344598</v>
      </c>
      <c r="T207" s="22" t="n">
        <f aca="false">ABS(R207-S207)</f>
        <v>0.200373173298033</v>
      </c>
      <c r="V207" s="17" t="n">
        <f aca="false">30+187*$W$5</f>
        <v>53.375</v>
      </c>
      <c r="W207" s="17" t="n">
        <f aca="false">Ubar_c-Delta_c*V207</f>
        <v>4.72177118907007</v>
      </c>
      <c r="X207" s="11" t="n">
        <f aca="false">(-(Cost_k*Ubar_c+Delay_D)+W207/$W$5*X208)/(Rho_a+W207/$W$5)</f>
        <v>-251.018886402954</v>
      </c>
      <c r="Y207" s="11" t="n">
        <f aca="false">MAX(X207,-Delay_D/Rho_a)</f>
        <v>-251.018886402954</v>
      </c>
      <c r="Z207" s="11" t="n">
        <f aca="false">IF(V207&lt;Floor_F,MAX((-(Cost_k*Ubar_c+Delay_D)*(1-EXP(-Rho_a*LN((Top_c-V207)/(Top_c-Floor_F))/Delta_c))/Rho_a+EXP(-Rho_a*LN((Top_c-V207)/(Top_c-Floor_F))/Delta_c)*(-Cost_k*Delta_c*Floor_F/Rho_a)),(-Delay_D/Rho_a)),(EXP(-Rho_a*LN(V207/Floor_F)/Delta_c)*(-Cost_k*Delta_c*Floor_F/Rho_a)))</f>
        <v>-251.063844464251</v>
      </c>
      <c r="AA207" s="22" t="n">
        <f aca="false">ABS(Y207-Z207)</f>
        <v>0.0449580612962563</v>
      </c>
      <c r="AC207" s="17" t="n">
        <f aca="false">30+187*$AD$5</f>
        <v>41.6875</v>
      </c>
      <c r="AD207" s="17" t="n">
        <f aca="false">Ubar_c-Delta_c*AC207</f>
        <v>5.90537871233562</v>
      </c>
      <c r="AE207" s="11" t="n">
        <f aca="false">(-(Cost_k*Ubar_c+Delay_D)+AD207/$AD$5*AE208)/(Rho_a+AD207/$AD$5)</f>
        <v>-347.701510609891</v>
      </c>
      <c r="AF207" s="11" t="n">
        <f aca="false">MAX(AE207,-Delay_D/Rho_a)</f>
        <v>-335.745877992226</v>
      </c>
      <c r="AG207" s="11" t="n">
        <f aca="false">IF(AC207&lt;Floor_F,MAX((-(Cost_k*Ubar_c+Delay_D)*(1-EXP(-Rho_a*LN((Top_c-AC207)/(Top_c-Floor_F))/Delta_c))/Rho_a+EXP(-Rho_a*LN((Top_c-AC207)/(Top_c-Floor_F))/Delta_c)*(-Cost_k*Delta_c*Floor_F/Rho_a)),(-Delay_D/Rho_a)),(EXP(-Rho_a*LN(AC207/Floor_F)/Delta_c)*(-Cost_k*Delta_c*Floor_F/Rho_a)))</f>
        <v>-335.745877992226</v>
      </c>
      <c r="AH207" s="22" t="n">
        <f aca="false">ABS(AF207-AG207)</f>
        <v>0</v>
      </c>
    </row>
    <row r="208" customFormat="false" ht="15" hidden="false" customHeight="false" outlineLevel="0" collapsed="false">
      <c r="O208" s="17" t="n">
        <f aca="false">30+188*$P$5</f>
        <v>77</v>
      </c>
      <c r="P208" s="17" t="n">
        <f aca="false">-Delta_c*O208</f>
        <v>-7.79788485916129</v>
      </c>
      <c r="R208" s="11" t="n">
        <f aca="false">(-P208/$P$5*R207)/(Rho_a-P208/$P$5)</f>
        <v>-170.512471438493</v>
      </c>
      <c r="S208" s="11" t="n">
        <f aca="false">IF(O208&lt;Floor_F,MAX((-(Cost_k*Ubar_c+Delay_D)*(1-EXP(-Rho_a*LN((Top_c-O208)/(Top_c-Floor_F))/Delta_c))/Rho_a+EXP(-Rho_a*LN((Top_c-O208)/(Top_c-Floor_F))/Delta_c)*(-Cost_k*Delta_c*Floor_F/Rho_a)),(-Delay_D/Rho_a)),(EXP(-Rho_a*LN(O208/Floor_F)/Delta_c)*(-Cost_k*Delta_c*Floor_F/Rho_a)))</f>
        <v>-170.311068530002</v>
      </c>
      <c r="T208" s="22" t="n">
        <f aca="false">ABS(R208-S208)</f>
        <v>0.201402908491104</v>
      </c>
      <c r="V208" s="17" t="n">
        <f aca="false">30+188*$W$5</f>
        <v>53.5</v>
      </c>
      <c r="W208" s="17" t="n">
        <f aca="false">Ubar_c-Delta_c*V208</f>
        <v>4.70911228507792</v>
      </c>
      <c r="X208" s="11" t="n">
        <f aca="false">(-(Cost_k*Ubar_c+Delay_D)+W208/$W$5*X209)/(Rho_a+W208/$W$5)</f>
        <v>-249.732720798139</v>
      </c>
      <c r="Y208" s="11" t="n">
        <f aca="false">MAX(X208,-Delay_D/Rho_a)</f>
        <v>-249.732720798139</v>
      </c>
      <c r="Z208" s="11" t="n">
        <f aca="false">IF(V208&lt;Floor_F,MAX((-(Cost_k*Ubar_c+Delay_D)*(1-EXP(-Rho_a*LN((Top_c-V208)/(Top_c-Floor_F))/Delta_c))/Rho_a+EXP(-Rho_a*LN((Top_c-V208)/(Top_c-Floor_F))/Delta_c)*(-Cost_k*Delta_c*Floor_F/Rho_a)),(-Delay_D/Rho_a)),(EXP(-Rho_a*LN(V208/Floor_F)/Delta_c)*(-Cost_k*Delta_c*Floor_F/Rho_a)))</f>
        <v>-249.774437090273</v>
      </c>
      <c r="AA208" s="22" t="n">
        <f aca="false">ABS(Y208-Z208)</f>
        <v>0.0417162921341401</v>
      </c>
      <c r="AC208" s="17" t="n">
        <f aca="false">30+188*$AD$5</f>
        <v>41.75</v>
      </c>
      <c r="AD208" s="17" t="n">
        <f aca="false">Ubar_c-Delta_c*AC208</f>
        <v>5.89904926033955</v>
      </c>
      <c r="AE208" s="11" t="n">
        <f aca="false">(-(Cost_k*Ubar_c+Delay_D)+AD208/$AD$5*AE209)/(Rho_a+AD208/$AD$5)</f>
        <v>-347.284845976701</v>
      </c>
      <c r="AF208" s="11" t="n">
        <f aca="false">MAX(AE208,-Delay_D/Rho_a)</f>
        <v>-335.745877992226</v>
      </c>
      <c r="AG208" s="11" t="n">
        <f aca="false">IF(AC208&lt;Floor_F,MAX((-(Cost_k*Ubar_c+Delay_D)*(1-EXP(-Rho_a*LN((Top_c-AC208)/(Top_c-Floor_F))/Delta_c))/Rho_a+EXP(-Rho_a*LN((Top_c-AC208)/(Top_c-Floor_F))/Delta_c)*(-Cost_k*Delta_c*Floor_F/Rho_a)),(-Delay_D/Rho_a)),(EXP(-Rho_a*LN(AC208/Floor_F)/Delta_c)*(-Cost_k*Delta_c*Floor_F/Rho_a)))</f>
        <v>-335.745877992226</v>
      </c>
      <c r="AH208" s="22" t="n">
        <f aca="false">ABS(AF208-AG208)</f>
        <v>0</v>
      </c>
    </row>
    <row r="209" customFormat="false" ht="15" hidden="false" customHeight="false" outlineLevel="0" collapsed="false">
      <c r="O209" s="17" t="n">
        <f aca="false">30+189*$P$5</f>
        <v>77.25</v>
      </c>
      <c r="P209" s="17" t="n">
        <f aca="false">-Delta_c*O209</f>
        <v>-7.82320266714558</v>
      </c>
      <c r="R209" s="11" t="n">
        <f aca="false">(-P209/$P$5*R208)/(Rho_a-P209/$P$5)</f>
        <v>-169.994709499504</v>
      </c>
      <c r="S209" s="11" t="n">
        <f aca="false">IF(O209&lt;Floor_F,MAX((-(Cost_k*Ubar_c+Delay_D)*(1-EXP(-Rho_a*LN((Top_c-O209)/(Top_c-Floor_F))/Delta_c))/Rho_a+EXP(-Rho_a*LN((Top_c-O209)/(Top_c-Floor_F))/Delta_c)*(-Cost_k*Delta_c*Floor_F/Rho_a)),(-Delay_D/Rho_a)),(EXP(-Rho_a*LN(O209/Floor_F)/Delta_c)*(-Cost_k*Delta_c*Floor_F/Rho_a)))</f>
        <v>-169.792293576228</v>
      </c>
      <c r="T209" s="22" t="n">
        <f aca="false">ABS(R209-S209)</f>
        <v>0.202415923276135</v>
      </c>
      <c r="V209" s="17" t="n">
        <f aca="false">30+189*$W$5</f>
        <v>53.625</v>
      </c>
      <c r="W209" s="17" t="n">
        <f aca="false">Ubar_c-Delta_c*V209</f>
        <v>4.69645338108578</v>
      </c>
      <c r="X209" s="11" t="n">
        <f aca="false">(-(Cost_k*Ubar_c+Delay_D)+W209/$W$5*X210)/(Rho_a+W209/$W$5)</f>
        <v>-248.439843836835</v>
      </c>
      <c r="Y209" s="11" t="n">
        <f aca="false">MAX(X209,-Delay_D/Rho_a)</f>
        <v>-248.439843836835</v>
      </c>
      <c r="Z209" s="11" t="n">
        <f aca="false">IF(V209&lt;Floor_F,MAX((-(Cost_k*Ubar_c+Delay_D)*(1-EXP(-Rho_a*LN((Top_c-V209)/(Top_c-Floor_F))/Delta_c))/Rho_a+EXP(-Rho_a*LN((Top_c-V209)/(Top_c-Floor_F))/Delta_c)*(-Cost_k*Delta_c*Floor_F/Rho_a)),(-Delay_D/Rho_a)),(EXP(-Rho_a*LN(V209/Floor_F)/Delta_c)*(-Cost_k*Delta_c*Floor_F/Rho_a)))</f>
        <v>-248.478283842826</v>
      </c>
      <c r="AA209" s="22" t="n">
        <f aca="false">ABS(Y209-Z209)</f>
        <v>0.0384400059907648</v>
      </c>
      <c r="AC209" s="17" t="n">
        <f aca="false">30+189*$AD$5</f>
        <v>41.8125</v>
      </c>
      <c r="AD209" s="17" t="n">
        <f aca="false">Ubar_c-Delta_c*AC209</f>
        <v>5.89271980834347</v>
      </c>
      <c r="AE209" s="11" t="n">
        <f aca="false">(-(Cost_k*Ubar_c+Delay_D)+AD209/$AD$5*AE210)/(Rho_a+AD209/$AD$5)</f>
        <v>-346.86731352865</v>
      </c>
      <c r="AF209" s="11" t="n">
        <f aca="false">MAX(AE209,-Delay_D/Rho_a)</f>
        <v>-335.745877992226</v>
      </c>
      <c r="AG209" s="11" t="n">
        <f aca="false">IF(AC209&lt;Floor_F,MAX((-(Cost_k*Ubar_c+Delay_D)*(1-EXP(-Rho_a*LN((Top_c-AC209)/(Top_c-Floor_F))/Delta_c))/Rho_a+EXP(-Rho_a*LN((Top_c-AC209)/(Top_c-Floor_F))/Delta_c)*(-Cost_k*Delta_c*Floor_F/Rho_a)),(-Delay_D/Rho_a)),(EXP(-Rho_a*LN(AC209/Floor_F)/Delta_c)*(-Cost_k*Delta_c*Floor_F/Rho_a)))</f>
        <v>-335.745877992226</v>
      </c>
      <c r="AH209" s="22" t="n">
        <f aca="false">ABS(AF209-AG209)</f>
        <v>0</v>
      </c>
    </row>
    <row r="210" customFormat="false" ht="15" hidden="false" customHeight="false" outlineLevel="0" collapsed="false">
      <c r="O210" s="17" t="n">
        <f aca="false">30+190*$P$5</f>
        <v>77.5</v>
      </c>
      <c r="P210" s="17" t="n">
        <f aca="false">-Delta_c*O210</f>
        <v>-7.84852047512987</v>
      </c>
      <c r="R210" s="11" t="n">
        <f aca="false">(-P210/$P$5*R209)/(Rho_a-P210/$P$5)</f>
        <v>-169.480179835455</v>
      </c>
      <c r="S210" s="11" t="n">
        <f aca="false">IF(O210&lt;Floor_F,MAX((-(Cost_k*Ubar_c+Delay_D)*(1-EXP(-Rho_a*LN((Top_c-O210)/(Top_c-Floor_F))/Delta_c))/Rho_a+EXP(-Rho_a*LN((Top_c-O210)/(Top_c-Floor_F))/Delta_c)*(-Cost_k*Delta_c*Floor_F/Rho_a)),(-Delay_D/Rho_a)),(EXP(-Rho_a*LN(O210/Floor_F)/Delta_c)*(-Cost_k*Delta_c*Floor_F/Rho_a)))</f>
        <v>-169.276767362501</v>
      </c>
      <c r="T210" s="22" t="n">
        <f aca="false">ABS(R210-S210)</f>
        <v>0.203412472954739</v>
      </c>
      <c r="V210" s="17" t="n">
        <f aca="false">30+190*$W$5</f>
        <v>53.75</v>
      </c>
      <c r="W210" s="17" t="n">
        <f aca="false">Ubar_c-Delta_c*V210</f>
        <v>4.68379447709363</v>
      </c>
      <c r="X210" s="11" t="n">
        <f aca="false">(-(Cost_k*Ubar_c+Delay_D)+W210/$W$5*X211)/(Rho_a+W210/$W$5)</f>
        <v>-247.140202314126</v>
      </c>
      <c r="Y210" s="11" t="n">
        <f aca="false">MAX(X210,-Delay_D/Rho_a)</f>
        <v>-247.140202314126</v>
      </c>
      <c r="Z210" s="11" t="n">
        <f aca="false">IF(V210&lt;Floor_F,MAX((-(Cost_k*Ubar_c+Delay_D)*(1-EXP(-Rho_a*LN((Top_c-V210)/(Top_c-Floor_F))/Delta_c))/Rho_a+EXP(-Rho_a*LN((Top_c-V210)/(Top_c-Floor_F))/Delta_c)*(-Cost_k*Delta_c*Floor_F/Rho_a)),(-Delay_D/Rho_a)),(EXP(-Rho_a*LN(V210/Floor_F)/Delta_c)*(-Cost_k*Delta_c*Floor_F/Rho_a)))</f>
        <v>-247.175331103077</v>
      </c>
      <c r="AA210" s="22" t="n">
        <f aca="false">ABS(Y210-Z210)</f>
        <v>0.035128788950658</v>
      </c>
      <c r="AC210" s="17" t="n">
        <f aca="false">30+190*$AD$5</f>
        <v>41.875</v>
      </c>
      <c r="AD210" s="17" t="n">
        <f aca="false">Ubar_c-Delta_c*AC210</f>
        <v>5.8863903563474</v>
      </c>
      <c r="AE210" s="11" t="n">
        <f aca="false">(-(Cost_k*Ubar_c+Delay_D)+AD210/$AD$5*AE211)/(Rho_a+AD210/$AD$5)</f>
        <v>-346.448910524209</v>
      </c>
      <c r="AF210" s="11" t="n">
        <f aca="false">MAX(AE210,-Delay_D/Rho_a)</f>
        <v>-335.745877992226</v>
      </c>
      <c r="AG210" s="11" t="n">
        <f aca="false">IF(AC210&lt;Floor_F,MAX((-(Cost_k*Ubar_c+Delay_D)*(1-EXP(-Rho_a*LN((Top_c-AC210)/(Top_c-Floor_F))/Delta_c))/Rho_a+EXP(-Rho_a*LN((Top_c-AC210)/(Top_c-Floor_F))/Delta_c)*(-Cost_k*Delta_c*Floor_F/Rho_a)),(-Delay_D/Rho_a)),(EXP(-Rho_a*LN(AC210/Floor_F)/Delta_c)*(-Cost_k*Delta_c*Floor_F/Rho_a)))</f>
        <v>-335.745877992226</v>
      </c>
      <c r="AH210" s="22" t="n">
        <f aca="false">ABS(AF210-AG210)</f>
        <v>0</v>
      </c>
    </row>
    <row r="211" customFormat="false" ht="15" hidden="false" customHeight="false" outlineLevel="0" collapsed="false">
      <c r="O211" s="17" t="n">
        <f aca="false">30+191*$P$5</f>
        <v>77.75</v>
      </c>
      <c r="P211" s="17" t="n">
        <f aca="false">-Delta_c*O211</f>
        <v>-7.87383828311416</v>
      </c>
      <c r="R211" s="11" t="n">
        <f aca="false">(-P211/$P$5*R210)/(Rho_a-P211/$P$5)</f>
        <v>-168.968851970835</v>
      </c>
      <c r="S211" s="11" t="n">
        <f aca="false">IF(O211&lt;Floor_F,MAX((-(Cost_k*Ubar_c+Delay_D)*(1-EXP(-Rho_a*LN((Top_c-O211)/(Top_c-Floor_F))/Delta_c))/Rho_a+EXP(-Rho_a*LN((Top_c-O211)/(Top_c-Floor_F))/Delta_c)*(-Cost_k*Delta_c*Floor_F/Rho_a)),(-Delay_D/Rho_a)),(EXP(-Rho_a*LN(O211/Floor_F)/Delta_c)*(-Cost_k*Delta_c*Floor_F/Rho_a)))</f>
        <v>-168.764459162459</v>
      </c>
      <c r="T211" s="22" t="n">
        <f aca="false">ABS(R211-S211)</f>
        <v>0.204392808375957</v>
      </c>
      <c r="V211" s="17" t="n">
        <f aca="false">30+191*$W$5</f>
        <v>53.875</v>
      </c>
      <c r="W211" s="17" t="n">
        <f aca="false">Ubar_c-Delta_c*V211</f>
        <v>4.67113557310149</v>
      </c>
      <c r="X211" s="11" t="n">
        <f aca="false">(-(Cost_k*Ubar_c+Delay_D)+W211/$W$5*X212)/(Rho_a+W211/$W$5)</f>
        <v>-245.833742458371</v>
      </c>
      <c r="Y211" s="11" t="n">
        <f aca="false">MAX(X211,-Delay_D/Rho_a)</f>
        <v>-245.833742458371</v>
      </c>
      <c r="Z211" s="11" t="n">
        <f aca="false">IF(V211&lt;Floor_F,MAX((-(Cost_k*Ubar_c+Delay_D)*(1-EXP(-Rho_a*LN((Top_c-V211)/(Top_c-Floor_F))/Delta_c))/Rho_a+EXP(-Rho_a*LN((Top_c-V211)/(Top_c-Floor_F))/Delta_c)*(-Cost_k*Delta_c*Floor_F/Rho_a)),(-Delay_D/Rho_a)),(EXP(-Rho_a*LN(V211/Floor_F)/Delta_c)*(-Cost_k*Delta_c*Floor_F/Rho_a)))</f>
        <v>-245.865524679558</v>
      </c>
      <c r="AA211" s="22" t="n">
        <f aca="false">ABS(Y211-Z211)</f>
        <v>0.0317822211866883</v>
      </c>
      <c r="AC211" s="17" t="n">
        <f aca="false">30+191*$AD$5</f>
        <v>41.9375</v>
      </c>
      <c r="AD211" s="17" t="n">
        <f aca="false">Ubar_c-Delta_c*AC211</f>
        <v>5.88006090435133</v>
      </c>
      <c r="AE211" s="11" t="n">
        <f aca="false">(-(Cost_k*Ubar_c+Delay_D)+AD211/$AD$5*AE212)/(Rho_a+AD211/$AD$5)</f>
        <v>-346.029634210233</v>
      </c>
      <c r="AF211" s="11" t="n">
        <f aca="false">MAX(AE211,-Delay_D/Rho_a)</f>
        <v>-335.745877992226</v>
      </c>
      <c r="AG211" s="11" t="n">
        <f aca="false">IF(AC211&lt;Floor_F,MAX((-(Cost_k*Ubar_c+Delay_D)*(1-EXP(-Rho_a*LN((Top_c-AC211)/(Top_c-Floor_F))/Delta_c))/Rho_a+EXP(-Rho_a*LN((Top_c-AC211)/(Top_c-Floor_F))/Delta_c)*(-Cost_k*Delta_c*Floor_F/Rho_a)),(-Delay_D/Rho_a)),(EXP(-Rho_a*LN(AC211/Floor_F)/Delta_c)*(-Cost_k*Delta_c*Floor_F/Rho_a)))</f>
        <v>-335.745877992226</v>
      </c>
      <c r="AH211" s="22" t="n">
        <f aca="false">ABS(AF211-AG211)</f>
        <v>0</v>
      </c>
    </row>
    <row r="212" customFormat="false" ht="15" hidden="false" customHeight="false" outlineLevel="0" collapsed="false">
      <c r="O212" s="17" t="n">
        <f aca="false">30+192*$P$5</f>
        <v>78</v>
      </c>
      <c r="P212" s="17" t="n">
        <f aca="false">-Delta_c*O212</f>
        <v>-7.89915609109845</v>
      </c>
      <c r="R212" s="11" t="n">
        <f aca="false">(-P212/$P$5*R211)/(Rho_a-P212/$P$5)</f>
        <v>-168.460695813937</v>
      </c>
      <c r="S212" s="11" t="n">
        <f aca="false">IF(O212&lt;Floor_F,MAX((-(Cost_k*Ubar_c+Delay_D)*(1-EXP(-Rho_a*LN((Top_c-O212)/(Top_c-Floor_F))/Delta_c))/Rho_a+EXP(-Rho_a*LN((Top_c-O212)/(Top_c-Floor_F))/Delta_c)*(-Cost_k*Delta_c*Floor_F/Rho_a)),(-Delay_D/Rho_a)),(EXP(-Rho_a*LN(O212/Floor_F)/Delta_c)*(-Cost_k*Delta_c*Floor_F/Rho_a)))</f>
        <v>-168.255338637911</v>
      </c>
      <c r="T212" s="22" t="n">
        <f aca="false">ABS(R212-S212)</f>
        <v>0.2053571760257</v>
      </c>
      <c r="V212" s="17" t="n">
        <f aca="false">30+192*$W$5</f>
        <v>54</v>
      </c>
      <c r="W212" s="17" t="n">
        <f aca="false">Ubar_c-Delta_c*V212</f>
        <v>4.65847666910934</v>
      </c>
      <c r="X212" s="11" t="n">
        <f aca="false">(-(Cost_k*Ubar_c+Delay_D)+W212/$W$5*X213)/(Rho_a+W212/$W$5)</f>
        <v>-244.520409923618</v>
      </c>
      <c r="Y212" s="11" t="n">
        <f aca="false">MAX(X212,-Delay_D/Rho_a)</f>
        <v>-244.520409923618</v>
      </c>
      <c r="Z212" s="11" t="n">
        <f aca="false">IF(V212&lt;Floor_F,MAX((-(Cost_k*Ubar_c+Delay_D)*(1-EXP(-Rho_a*LN((Top_c-V212)/(Top_c-Floor_F))/Delta_c))/Rho_a+EXP(-Rho_a*LN((Top_c-V212)/(Top_c-Floor_F))/Delta_c)*(-Cost_k*Delta_c*Floor_F/Rho_a)),(-Delay_D/Rho_a)),(EXP(-Rho_a*LN(V212/Floor_F)/Delta_c)*(-Cost_k*Delta_c*Floor_F/Rho_a)))</f>
        <v>-244.548809800479</v>
      </c>
      <c r="AA212" s="22" t="n">
        <f aca="false">ABS(Y212-Z212)</f>
        <v>0.0283998768615845</v>
      </c>
      <c r="AC212" s="17" t="n">
        <f aca="false">30+192*$AD$5</f>
        <v>42</v>
      </c>
      <c r="AD212" s="17" t="n">
        <f aca="false">Ubar_c-Delta_c*AC212</f>
        <v>5.87373145235526</v>
      </c>
      <c r="AE212" s="11" t="n">
        <f aca="false">(-(Cost_k*Ubar_c+Delay_D)+AD212/$AD$5*AE213)/(Rho_a+AD212/$AD$5)</f>
        <v>-345.609481821894</v>
      </c>
      <c r="AF212" s="11" t="n">
        <f aca="false">MAX(AE212,-Delay_D/Rho_a)</f>
        <v>-335.745877992226</v>
      </c>
      <c r="AG212" s="11" t="n">
        <f aca="false">IF(AC212&lt;Floor_F,MAX((-(Cost_k*Ubar_c+Delay_D)*(1-EXP(-Rho_a*LN((Top_c-AC212)/(Top_c-Floor_F))/Delta_c))/Rho_a+EXP(-Rho_a*LN((Top_c-AC212)/(Top_c-Floor_F))/Delta_c)*(-Cost_k*Delta_c*Floor_F/Rho_a)),(-Delay_D/Rho_a)),(EXP(-Rho_a*LN(AC212/Floor_F)/Delta_c)*(-Cost_k*Delta_c*Floor_F/Rho_a)))</f>
        <v>-335.745877992226</v>
      </c>
      <c r="AH212" s="22" t="n">
        <f aca="false">ABS(AF212-AG212)</f>
        <v>0</v>
      </c>
    </row>
    <row r="213" customFormat="false" ht="15" hidden="false" customHeight="false" outlineLevel="0" collapsed="false">
      <c r="O213" s="17" t="n">
        <f aca="false">30+193*$P$5</f>
        <v>78.25</v>
      </c>
      <c r="P213" s="17" t="n">
        <f aca="false">-Delta_c*O213</f>
        <v>-7.92447389908274</v>
      </c>
      <c r="R213" s="11" t="n">
        <f aca="false">(-P213/$P$5*R212)/(Rho_a-P213/$P$5)</f>
        <v>-167.955681650815</v>
      </c>
      <c r="S213" s="11" t="n">
        <f aca="false">IF(O213&lt;Floor_F,MAX((-(Cost_k*Ubar_c+Delay_D)*(1-EXP(-Rho_a*LN((Top_c-O213)/(Top_c-Floor_F))/Delta_c))/Rho_a+EXP(-Rho_a*LN((Top_c-O213)/(Top_c-Floor_F))/Delta_c)*(-Cost_k*Delta_c*Floor_F/Rho_a)),(-Delay_D/Rho_a)),(EXP(-Rho_a*LN(O213/Floor_F)/Delta_c)*(-Cost_k*Delta_c*Floor_F/Rho_a)))</f>
        <v>-167.749375832701</v>
      </c>
      <c r="T213" s="22" t="n">
        <f aca="false">ABS(R213-S213)</f>
        <v>0.206305818114146</v>
      </c>
      <c r="V213" s="17" t="n">
        <f aca="false">30+193*$W$5</f>
        <v>54.125</v>
      </c>
      <c r="W213" s="17" t="n">
        <f aca="false">Ubar_c-Delta_c*V213</f>
        <v>4.6458177651172</v>
      </c>
      <c r="X213" s="11" t="n">
        <f aca="false">(-(Cost_k*Ubar_c+Delay_D)+W213/$W$5*X214)/(Rho_a+W213/$W$5)</f>
        <v>-243.200149781888</v>
      </c>
      <c r="Y213" s="11" t="n">
        <f aca="false">MAX(X213,-Delay_D/Rho_a)</f>
        <v>-243.200149781888</v>
      </c>
      <c r="Z213" s="11" t="n">
        <f aca="false">IF(V213&lt;Floor_F,MAX((-(Cost_k*Ubar_c+Delay_D)*(1-EXP(-Rho_a*LN((Top_c-V213)/(Top_c-Floor_F))/Delta_c))/Rho_a+EXP(-Rho_a*LN((Top_c-V213)/(Top_c-Floor_F))/Delta_c)*(-Cost_k*Delta_c*Floor_F/Rho_a)),(-Delay_D/Rho_a)),(EXP(-Rho_a*LN(V213/Floor_F)/Delta_c)*(-Cost_k*Delta_c*Floor_F/Rho_a)))</f>
        <v>-243.225131105914</v>
      </c>
      <c r="AA213" s="22" t="n">
        <f aca="false">ABS(Y213-Z213)</f>
        <v>0.0249813240259869</v>
      </c>
      <c r="AC213" s="17" t="n">
        <f aca="false">30+193*$AD$5</f>
        <v>42.0625</v>
      </c>
      <c r="AD213" s="17" t="n">
        <f aca="false">Ubar_c-Delta_c*AC213</f>
        <v>5.86740200035919</v>
      </c>
      <c r="AE213" s="11" t="n">
        <f aca="false">(-(Cost_k*Ubar_c+Delay_D)+AD213/$AD$5*AE214)/(Rho_a+AD213/$AD$5)</f>
        <v>-345.188450582624</v>
      </c>
      <c r="AF213" s="11" t="n">
        <f aca="false">MAX(AE213,-Delay_D/Rho_a)</f>
        <v>-335.745877992226</v>
      </c>
      <c r="AG213" s="11" t="n">
        <f aca="false">IF(AC213&lt;Floor_F,MAX((-(Cost_k*Ubar_c+Delay_D)*(1-EXP(-Rho_a*LN((Top_c-AC213)/(Top_c-Floor_F))/Delta_c))/Rho_a+EXP(-Rho_a*LN((Top_c-AC213)/(Top_c-Floor_F))/Delta_c)*(-Cost_k*Delta_c*Floor_F/Rho_a)),(-Delay_D/Rho_a)),(EXP(-Rho_a*LN(AC213/Floor_F)/Delta_c)*(-Cost_k*Delta_c*Floor_F/Rho_a)))</f>
        <v>-335.745877992226</v>
      </c>
      <c r="AH213" s="22" t="n">
        <f aca="false">ABS(AF213-AG213)</f>
        <v>0</v>
      </c>
    </row>
    <row r="214" customFormat="false" ht="15" hidden="false" customHeight="false" outlineLevel="0" collapsed="false">
      <c r="O214" s="17" t="n">
        <f aca="false">30+194*$P$5</f>
        <v>78.5</v>
      </c>
      <c r="P214" s="17" t="n">
        <f aca="false">-Delta_c*O214</f>
        <v>-7.94979170706703</v>
      </c>
      <c r="R214" s="11" t="n">
        <f aca="false">(-P214/$P$5*R213)/(Rho_a-P214/$P$5)</f>
        <v>-167.453780139364</v>
      </c>
      <c r="S214" s="11" t="n">
        <f aca="false">IF(O214&lt;Floor_F,MAX((-(Cost_k*Ubar_c+Delay_D)*(1-EXP(-Rho_a*LN((Top_c-O214)/(Top_c-Floor_F))/Delta_c))/Rho_a+EXP(-Rho_a*LN((Top_c-O214)/(Top_c-Floor_F))/Delta_c)*(-Cost_k*Delta_c*Floor_F/Rho_a)),(-Delay_D/Rho_a)),(EXP(-Rho_a*LN(O214/Floor_F)/Delta_c)*(-Cost_k*Delta_c*Floor_F/Rho_a)))</f>
        <v>-167.246541166702</v>
      </c>
      <c r="T214" s="22" t="n">
        <f aca="false">ABS(R214-S214)</f>
        <v>0.207238972661798</v>
      </c>
      <c r="V214" s="17" t="n">
        <f aca="false">30+194*$W$5</f>
        <v>54.25</v>
      </c>
      <c r="W214" s="17" t="n">
        <f aca="false">Ubar_c-Delta_c*V214</f>
        <v>4.63315886112505</v>
      </c>
      <c r="X214" s="11" t="n">
        <f aca="false">(-(Cost_k*Ubar_c+Delay_D)+W214/$W$5*X215)/(Rho_a+W214/$W$5)</f>
        <v>-241.872906515345</v>
      </c>
      <c r="Y214" s="11" t="n">
        <f aca="false">MAX(X214,-Delay_D/Rho_a)</f>
        <v>-241.872906515345</v>
      </c>
      <c r="Z214" s="11" t="n">
        <f aca="false">IF(V214&lt;Floor_F,MAX((-(Cost_k*Ubar_c+Delay_D)*(1-EXP(-Rho_a*LN((Top_c-V214)/(Top_c-Floor_F))/Delta_c))/Rho_a+EXP(-Rho_a*LN((Top_c-V214)/(Top_c-Floor_F))/Delta_c)*(-Cost_k*Delta_c*Floor_F/Rho_a)),(-Delay_D/Rho_a)),(EXP(-Rho_a*LN(V214/Floor_F)/Delta_c)*(-Cost_k*Delta_c*Floor_F/Rho_a)))</f>
        <v>-241.894432639861</v>
      </c>
      <c r="AA214" s="22" t="n">
        <f aca="false">ABS(Y214-Z214)</f>
        <v>0.0215261245156171</v>
      </c>
      <c r="AC214" s="17" t="n">
        <f aca="false">30+194*$AD$5</f>
        <v>42.125</v>
      </c>
      <c r="AD214" s="17" t="n">
        <f aca="false">Ubar_c-Delta_c*AC214</f>
        <v>5.86107254836311</v>
      </c>
      <c r="AE214" s="11" t="n">
        <f aca="false">(-(Cost_k*Ubar_c+Delay_D)+AD214/$AD$5*AE215)/(Rho_a+AD214/$AD$5)</f>
        <v>-344.766537704051</v>
      </c>
      <c r="AF214" s="11" t="n">
        <f aca="false">MAX(AE214,-Delay_D/Rho_a)</f>
        <v>-335.745877992226</v>
      </c>
      <c r="AG214" s="11" t="n">
        <f aca="false">IF(AC214&lt;Floor_F,MAX((-(Cost_k*Ubar_c+Delay_D)*(1-EXP(-Rho_a*LN((Top_c-AC214)/(Top_c-Floor_F))/Delta_c))/Rho_a+EXP(-Rho_a*LN((Top_c-AC214)/(Top_c-Floor_F))/Delta_c)*(-Cost_k*Delta_c*Floor_F/Rho_a)),(-Delay_D/Rho_a)),(EXP(-Rho_a*LN(AC214/Floor_F)/Delta_c)*(-Cost_k*Delta_c*Floor_F/Rho_a)))</f>
        <v>-335.745877992226</v>
      </c>
      <c r="AH214" s="22" t="n">
        <f aca="false">ABS(AF214-AG214)</f>
        <v>0</v>
      </c>
    </row>
    <row r="215" customFormat="false" ht="15" hidden="false" customHeight="false" outlineLevel="0" collapsed="false">
      <c r="O215" s="17" t="n">
        <f aca="false">30+195*$P$5</f>
        <v>78.75</v>
      </c>
      <c r="P215" s="17" t="n">
        <f aca="false">-Delta_c*O215</f>
        <v>-7.97510951505132</v>
      </c>
      <c r="R215" s="11" t="n">
        <f aca="false">(-P215/$P$5*R214)/(Rho_a-P215/$P$5)</f>
        <v>-166.954962303498</v>
      </c>
      <c r="S215" s="11" t="n">
        <f aca="false">IF(O215&lt;Floor_F,MAX((-(Cost_k*Ubar_c+Delay_D)*(1-EXP(-Rho_a*LN((Top_c-O215)/(Top_c-Floor_F))/Delta_c))/Rho_a+EXP(-Rho_a*LN((Top_c-O215)/(Top_c-Floor_F))/Delta_c)*(-Cost_k*Delta_c*Floor_F/Rho_a)),(-Delay_D/Rho_a)),(EXP(-Rho_a*LN(O215/Floor_F)/Delta_c)*(-Cost_k*Delta_c*Floor_F/Rho_a)))</f>
        <v>-166.746805429915</v>
      </c>
      <c r="T215" s="22" t="n">
        <f aca="false">ABS(R215-S215)</f>
        <v>0.20815687358288</v>
      </c>
      <c r="V215" s="17" t="n">
        <f aca="false">30+195*$W$5</f>
        <v>54.375</v>
      </c>
      <c r="W215" s="17" t="n">
        <f aca="false">Ubar_c-Delta_c*V215</f>
        <v>4.62049995713291</v>
      </c>
      <c r="X215" s="11" t="n">
        <f aca="false">(-(Cost_k*Ubar_c+Delay_D)+W215/$W$5*X216)/(Rho_a+W215/$W$5)</f>
        <v>-240.538624008327</v>
      </c>
      <c r="Y215" s="11" t="n">
        <f aca="false">MAX(X215,-Delay_D/Rho_a)</f>
        <v>-240.538624008327</v>
      </c>
      <c r="Z215" s="11" t="n">
        <f aca="false">IF(V215&lt;Floor_F,MAX((-(Cost_k*Ubar_c+Delay_D)*(1-EXP(-Rho_a*LN((Top_c-V215)/(Top_c-Floor_F))/Delta_c))/Rho_a+EXP(-Rho_a*LN((Top_c-V215)/(Top_c-Floor_F))/Delta_c)*(-Cost_k*Delta_c*Floor_F/Rho_a)),(-Delay_D/Rho_a)),(EXP(-Rho_a*LN(V215/Floor_F)/Delta_c)*(-Cost_k*Delta_c*Floor_F/Rho_a)))</f>
        <v>-240.556657842172</v>
      </c>
      <c r="AA215" s="22" t="n">
        <f aca="false">ABS(Y215-Z215)</f>
        <v>0.018033833845692</v>
      </c>
      <c r="AC215" s="17" t="n">
        <f aca="false">30+195*$AD$5</f>
        <v>42.1875</v>
      </c>
      <c r="AD215" s="17" t="n">
        <f aca="false">Ubar_c-Delta_c*AC215</f>
        <v>5.85474309636704</v>
      </c>
      <c r="AE215" s="11" t="n">
        <f aca="false">(-(Cost_k*Ubar_c+Delay_D)+AD215/$AD$5*AE216)/(Rho_a+AD215/$AD$5)</f>
        <v>-344.343740385935</v>
      </c>
      <c r="AF215" s="11" t="n">
        <f aca="false">MAX(AE215,-Delay_D/Rho_a)</f>
        <v>-335.745877992226</v>
      </c>
      <c r="AG215" s="11" t="n">
        <f aca="false">IF(AC215&lt;Floor_F,MAX((-(Cost_k*Ubar_c+Delay_D)*(1-EXP(-Rho_a*LN((Top_c-AC215)/(Top_c-Floor_F))/Delta_c))/Rho_a+EXP(-Rho_a*LN((Top_c-AC215)/(Top_c-Floor_F))/Delta_c)*(-Cost_k*Delta_c*Floor_F/Rho_a)),(-Delay_D/Rho_a)),(EXP(-Rho_a*LN(AC215/Floor_F)/Delta_c)*(-Cost_k*Delta_c*Floor_F/Rho_a)))</f>
        <v>-335.745877992226</v>
      </c>
      <c r="AH215" s="22" t="n">
        <f aca="false">ABS(AF215-AG215)</f>
        <v>0</v>
      </c>
    </row>
    <row r="216" customFormat="false" ht="15" hidden="false" customHeight="false" outlineLevel="0" collapsed="false">
      <c r="O216" s="17" t="n">
        <f aca="false">30+196*$P$5</f>
        <v>79</v>
      </c>
      <c r="P216" s="17" t="n">
        <f aca="false">-Delta_c*O216</f>
        <v>-8.00042732303561</v>
      </c>
      <c r="R216" s="11" t="n">
        <f aca="false">(-P216/$P$5*R215)/(Rho_a-P216/$P$5)</f>
        <v>-166.459199527447</v>
      </c>
      <c r="S216" s="11" t="n">
        <f aca="false">IF(O216&lt;Floor_F,MAX((-(Cost_k*Ubar_c+Delay_D)*(1-EXP(-Rho_a*LN((Top_c-O216)/(Top_c-Floor_F))/Delta_c))/Rho_a+EXP(-Rho_a*LN((Top_c-O216)/(Top_c-Floor_F))/Delta_c)*(-Cost_k*Delta_c*Floor_F/Rho_a)),(-Delay_D/Rho_a)),(EXP(-Rho_a*LN(O216/Floor_F)/Delta_c)*(-Cost_k*Delta_c*Floor_F/Rho_a)))</f>
        <v>-166.25013977668</v>
      </c>
      <c r="T216" s="22" t="n">
        <f aca="false">ABS(R216-S216)</f>
        <v>0.209059750766983</v>
      </c>
      <c r="V216" s="17" t="n">
        <f aca="false">30+196*$W$5</f>
        <v>54.5</v>
      </c>
      <c r="W216" s="17" t="n">
        <f aca="false">Ubar_c-Delta_c*V216</f>
        <v>4.60784105314076</v>
      </c>
      <c r="X216" s="11" t="n">
        <f aca="false">(-(Cost_k*Ubar_c+Delay_D)+W216/$W$5*X217)/(Rho_a+W216/$W$5)</f>
        <v>-239.197245539255</v>
      </c>
      <c r="Y216" s="11" t="n">
        <f aca="false">MAX(X216,-Delay_D/Rho_a)</f>
        <v>-239.197245539255</v>
      </c>
      <c r="Z216" s="11" t="n">
        <f aca="false">IF(V216&lt;Floor_F,MAX((-(Cost_k*Ubar_c+Delay_D)*(1-EXP(-Rho_a*LN((Top_c-V216)/(Top_c-Floor_F))/Delta_c))/Rho_a+EXP(-Rho_a*LN((Top_c-V216)/(Top_c-Floor_F))/Delta_c)*(-Cost_k*Delta_c*Floor_F/Rho_a)),(-Delay_D/Rho_a)),(EXP(-Rho_a*LN(V216/Floor_F)/Delta_c)*(-Cost_k*Delta_c*Floor_F/Rho_a)))</f>
        <v>-239.211749540359</v>
      </c>
      <c r="AA216" s="22" t="n">
        <f aca="false">ABS(Y216-Z216)</f>
        <v>0.0145040011036031</v>
      </c>
      <c r="AC216" s="17" t="n">
        <f aca="false">30+196*$AD$5</f>
        <v>42.25</v>
      </c>
      <c r="AD216" s="17" t="n">
        <f aca="false">Ubar_c-Delta_c*AC216</f>
        <v>5.84841364437097</v>
      </c>
      <c r="AE216" s="11" t="n">
        <f aca="false">(-(Cost_k*Ubar_c+Delay_D)+AD216/$AD$5*AE217)/(Rho_a+AD216/$AD$5)</f>
        <v>-343.920055816102</v>
      </c>
      <c r="AF216" s="11" t="n">
        <f aca="false">MAX(AE216,-Delay_D/Rho_a)</f>
        <v>-335.745877992226</v>
      </c>
      <c r="AG216" s="11" t="n">
        <f aca="false">IF(AC216&lt;Floor_F,MAX((-(Cost_k*Ubar_c+Delay_D)*(1-EXP(-Rho_a*LN((Top_c-AC216)/(Top_c-Floor_F))/Delta_c))/Rho_a+EXP(-Rho_a*LN((Top_c-AC216)/(Top_c-Floor_F))/Delta_c)*(-Cost_k*Delta_c*Floor_F/Rho_a)),(-Delay_D/Rho_a)),(EXP(-Rho_a*LN(AC216/Floor_F)/Delta_c)*(-Cost_k*Delta_c*Floor_F/Rho_a)))</f>
        <v>-335.745877992226</v>
      </c>
      <c r="AH216" s="22" t="n">
        <f aca="false">ABS(AF216-AG216)</f>
        <v>0</v>
      </c>
    </row>
    <row r="217" customFormat="false" ht="15" hidden="false" customHeight="false" outlineLevel="0" collapsed="false">
      <c r="O217" s="17" t="n">
        <f aca="false">30+197*$P$5</f>
        <v>79.25</v>
      </c>
      <c r="P217" s="17" t="n">
        <f aca="false">-Delta_c*O217</f>
        <v>-8.0257451310199</v>
      </c>
      <c r="R217" s="11" t="n">
        <f aca="false">(-P217/$P$5*R216)/(Rho_a-P217/$P$5)</f>
        <v>-165.966463550157</v>
      </c>
      <c r="S217" s="11" t="n">
        <f aca="false">IF(O217&lt;Floor_F,MAX((-(Cost_k*Ubar_c+Delay_D)*(1-EXP(-Rho_a*LN((Top_c-O217)/(Top_c-Floor_F))/Delta_c))/Rho_a+EXP(-Rho_a*LN((Top_c-O217)/(Top_c-Floor_F))/Delta_c)*(-Cost_k*Delta_c*Floor_F/Rho_a)),(-Delay_D/Rho_a)),(EXP(-Rho_a*LN(O217/Floor_F)/Delta_c)*(-Cost_k*Delta_c*Floor_F/Rho_a)))</f>
        <v>-165.756515719998</v>
      </c>
      <c r="T217" s="22" t="n">
        <f aca="false">ABS(R217-S217)</f>
        <v>0.209947830159166</v>
      </c>
      <c r="V217" s="17" t="n">
        <f aca="false">30+197*$W$5</f>
        <v>54.625</v>
      </c>
      <c r="W217" s="17" t="n">
        <f aca="false">Ubar_c-Delta_c*V217</f>
        <v>4.59518214914862</v>
      </c>
      <c r="X217" s="11" t="n">
        <f aca="false">(-(Cost_k*Ubar_c+Delay_D)+W217/$W$5*X218)/(Rho_a+W217/$W$5)</f>
        <v>-237.848713772411</v>
      </c>
      <c r="Y217" s="11" t="n">
        <f aca="false">MAX(X217,-Delay_D/Rho_a)</f>
        <v>-237.848713772411</v>
      </c>
      <c r="Z217" s="11" t="n">
        <f aca="false">IF(V217&lt;Floor_F,MAX((-(Cost_k*Ubar_c+Delay_D)*(1-EXP(-Rho_a*LN((Top_c-V217)/(Top_c-Floor_F))/Delta_c))/Rho_a+EXP(-Rho_a*LN((Top_c-V217)/(Top_c-Floor_F))/Delta_c)*(-Cost_k*Delta_c*Floor_F/Rho_a)),(-Delay_D/Rho_a)),(EXP(-Rho_a*LN(V217/Floor_F)/Delta_c)*(-Cost_k*Delta_c*Floor_F/Rho_a)))</f>
        <v>-237.859649941251</v>
      </c>
      <c r="AA217" s="22" t="n">
        <f aca="false">ABS(Y217-Z217)</f>
        <v>0.0109361688396632</v>
      </c>
      <c r="AC217" s="17" t="n">
        <f aca="false">30+197*$AD$5</f>
        <v>42.3125</v>
      </c>
      <c r="AD217" s="17" t="n">
        <f aca="false">Ubar_c-Delta_c*AC217</f>
        <v>5.84208419237489</v>
      </c>
      <c r="AE217" s="11" t="n">
        <f aca="false">(-(Cost_k*Ubar_c+Delay_D)+AD217/$AD$5*AE218)/(Rho_a+AD217/$AD$5)</f>
        <v>-343.495481170389</v>
      </c>
      <c r="AF217" s="11" t="n">
        <f aca="false">MAX(AE217,-Delay_D/Rho_a)</f>
        <v>-335.745877992226</v>
      </c>
      <c r="AG217" s="11" t="n">
        <f aca="false">IF(AC217&lt;Floor_F,MAX((-(Cost_k*Ubar_c+Delay_D)*(1-EXP(-Rho_a*LN((Top_c-AC217)/(Top_c-Floor_F))/Delta_c))/Rho_a+EXP(-Rho_a*LN((Top_c-AC217)/(Top_c-Floor_F))/Delta_c)*(-Cost_k*Delta_c*Floor_F/Rho_a)),(-Delay_D/Rho_a)),(EXP(-Rho_a*LN(AC217/Floor_F)/Delta_c)*(-Cost_k*Delta_c*Floor_F/Rho_a)))</f>
        <v>-335.745877992226</v>
      </c>
      <c r="AH217" s="22" t="n">
        <f aca="false">ABS(AF217-AG217)</f>
        <v>0</v>
      </c>
    </row>
    <row r="218" customFormat="false" ht="15" hidden="false" customHeight="false" outlineLevel="0" collapsed="false">
      <c r="O218" s="17" t="n">
        <f aca="false">30+198*$P$5</f>
        <v>79.5</v>
      </c>
      <c r="P218" s="17" t="n">
        <f aca="false">-Delta_c*O218</f>
        <v>-8.05106293900419</v>
      </c>
      <c r="R218" s="11" t="n">
        <f aca="false">(-P218/$P$5*R217)/(Rho_a-P218/$P$5)</f>
        <v>-165.476726459794</v>
      </c>
      <c r="S218" s="11" t="n">
        <f aca="false">IF(O218&lt;Floor_F,MAX((-(Cost_k*Ubar_c+Delay_D)*(1-EXP(-Rho_a*LN((Top_c-O218)/(Top_c-Floor_F))/Delta_c))/Rho_a+EXP(-Rho_a*LN((Top_c-O218)/(Top_c-Floor_F))/Delta_c)*(-Cost_k*Delta_c*Floor_F/Rho_a)),(-Delay_D/Rho_a)),(EXP(-Rho_a*LN(O218/Floor_F)/Delta_c)*(-Cost_k*Delta_c*Floor_F/Rho_a)))</f>
        <v>-165.265905125956</v>
      </c>
      <c r="T218" s="22" t="n">
        <f aca="false">ABS(R218-S218)</f>
        <v>0.210821333837941</v>
      </c>
      <c r="V218" s="17" t="n">
        <f aca="false">30+198*$W$5</f>
        <v>54.75</v>
      </c>
      <c r="W218" s="17" t="n">
        <f aca="false">Ubar_c-Delta_c*V218</f>
        <v>4.58252324515647</v>
      </c>
      <c r="X218" s="11" t="n">
        <f aca="false">(-(Cost_k*Ubar_c+Delay_D)+W218/$W$5*X219)/(Rho_a+W218/$W$5)</f>
        <v>-236.492970749574</v>
      </c>
      <c r="Y218" s="11" t="n">
        <f aca="false">MAX(X218,-Delay_D/Rho_a)</f>
        <v>-236.492970749574</v>
      </c>
      <c r="Z218" s="11" t="n">
        <f aca="false">IF(V218&lt;Floor_F,MAX((-(Cost_k*Ubar_c+Delay_D)*(1-EXP(-Rho_a*LN((Top_c-V218)/(Top_c-Floor_F))/Delta_c))/Rho_a+EXP(-Rho_a*LN((Top_c-V218)/(Top_c-Floor_F))/Delta_c)*(-Cost_k*Delta_c*Floor_F/Rho_a)),(-Delay_D/Rho_a)),(EXP(-Rho_a*LN(V218/Floor_F)/Delta_c)*(-Cost_k*Delta_c*Floor_F/Rho_a)))</f>
        <v>-236.50030062253</v>
      </c>
      <c r="AA218" s="22" t="n">
        <f aca="false">ABS(Y218-Z218)</f>
        <v>0.00732987295515386</v>
      </c>
      <c r="AC218" s="17" t="n">
        <f aca="false">30+198*$AD$5</f>
        <v>42.375</v>
      </c>
      <c r="AD218" s="17" t="n">
        <f aca="false">Ubar_c-Delta_c*AC218</f>
        <v>5.83575474037882</v>
      </c>
      <c r="AE218" s="11" t="n">
        <f aca="false">(-(Cost_k*Ubar_c+Delay_D)+AD218/$AD$5*AE219)/(Rho_a+AD218/$AD$5)</f>
        <v>-343.070013612569</v>
      </c>
      <c r="AF218" s="11" t="n">
        <f aca="false">MAX(AE218,-Delay_D/Rho_a)</f>
        <v>-335.745877992226</v>
      </c>
      <c r="AG218" s="11" t="n">
        <f aca="false">IF(AC218&lt;Floor_F,MAX((-(Cost_k*Ubar_c+Delay_D)*(1-EXP(-Rho_a*LN((Top_c-AC218)/(Top_c-Floor_F))/Delta_c))/Rho_a+EXP(-Rho_a*LN((Top_c-AC218)/(Top_c-Floor_F))/Delta_c)*(-Cost_k*Delta_c*Floor_F/Rho_a)),(-Delay_D/Rho_a)),(EXP(-Rho_a*LN(AC218/Floor_F)/Delta_c)*(-Cost_k*Delta_c*Floor_F/Rho_a)))</f>
        <v>-335.745877992226</v>
      </c>
      <c r="AH218" s="22" t="n">
        <f aca="false">ABS(AF218-AG218)</f>
        <v>0</v>
      </c>
    </row>
    <row r="219" customFormat="false" ht="15" hidden="false" customHeight="false" outlineLevel="0" collapsed="false">
      <c r="O219" s="17" t="n">
        <f aca="false">30+199*$P$5</f>
        <v>79.75</v>
      </c>
      <c r="P219" s="17" t="n">
        <f aca="false">-Delta_c*O219</f>
        <v>-8.07638074698848</v>
      </c>
      <c r="R219" s="11" t="n">
        <f aca="false">(-P219/$P$5*R218)/(Rho_a-P219/$P$5)</f>
        <v>-164.98996068835</v>
      </c>
      <c r="S219" s="11" t="n">
        <f aca="false">IF(O219&lt;Floor_F,MAX((-(Cost_k*Ubar_c+Delay_D)*(1-EXP(-Rho_a*LN((Top_c-O219)/(Top_c-Floor_F))/Delta_c))/Rho_a+EXP(-Rho_a*LN((Top_c-O219)/(Top_c-Floor_F))/Delta_c)*(-Cost_k*Delta_c*Floor_F/Rho_a)),(-Delay_D/Rho_a)),(EXP(-Rho_a*LN(O219/Floor_F)/Delta_c)*(-Cost_k*Delta_c*Floor_F/Rho_a)))</f>
        <v>-164.778280208259</v>
      </c>
      <c r="T219" s="22" t="n">
        <f aca="false">ABS(R219-S219)</f>
        <v>0.211680480091417</v>
      </c>
      <c r="V219" s="17" t="n">
        <f aca="false">30+199*$W$5</f>
        <v>54.875</v>
      </c>
      <c r="W219" s="17" t="n">
        <f aca="false">Ubar_c-Delta_c*V219</f>
        <v>4.56986434116433</v>
      </c>
      <c r="X219" s="11" t="n">
        <f aca="false">(-(Cost_k*Ubar_c+Delay_D)+W219/$W$5*X220)/(Rho_a+W219/$W$5)</f>
        <v>-235.129957881525</v>
      </c>
      <c r="Y219" s="11" t="n">
        <f aca="false">MAX(X219,-Delay_D/Rho_a)</f>
        <v>-235.129957881525</v>
      </c>
      <c r="Z219" s="11" t="n">
        <f aca="false">IF(V219&lt;Floor_F,MAX((-(Cost_k*Ubar_c+Delay_D)*(1-EXP(-Rho_a*LN((Top_c-V219)/(Top_c-Floor_F))/Delta_c))/Rho_a+EXP(-Rho_a*LN((Top_c-V219)/(Top_c-Floor_F))/Delta_c)*(-Cost_k*Delta_c*Floor_F/Rho_a)),(-Delay_D/Rho_a)),(EXP(-Rho_a*LN(V219/Floor_F)/Delta_c)*(-Cost_k*Delta_c*Floor_F/Rho_a)))</f>
        <v>-235.133642524114</v>
      </c>
      <c r="AA219" s="22" t="n">
        <f aca="false">ABS(Y219-Z219)</f>
        <v>0.00368464258872336</v>
      </c>
      <c r="AC219" s="17" t="n">
        <f aca="false">30+199*$AD$5</f>
        <v>42.4375</v>
      </c>
      <c r="AD219" s="17" t="n">
        <f aca="false">Ubar_c-Delta_c*AC219</f>
        <v>5.82942528838275</v>
      </c>
      <c r="AE219" s="11" t="n">
        <f aca="false">(-(Cost_k*Ubar_c+Delay_D)+AD219/$AD$5*AE220)/(Rho_a+AD219/$AD$5)</f>
        <v>-342.643650294294</v>
      </c>
      <c r="AF219" s="11" t="n">
        <f aca="false">MAX(AE219,-Delay_D/Rho_a)</f>
        <v>-335.745877992226</v>
      </c>
      <c r="AG219" s="11" t="n">
        <f aca="false">IF(AC219&lt;Floor_F,MAX((-(Cost_k*Ubar_c+Delay_D)*(1-EXP(-Rho_a*LN((Top_c-AC219)/(Top_c-Floor_F))/Delta_c))/Rho_a+EXP(-Rho_a*LN((Top_c-AC219)/(Top_c-Floor_F))/Delta_c)*(-Cost_k*Delta_c*Floor_F/Rho_a)),(-Delay_D/Rho_a)),(EXP(-Rho_a*LN(AC219/Floor_F)/Delta_c)*(-Cost_k*Delta_c*Floor_F/Rho_a)))</f>
        <v>-335.745877992226</v>
      </c>
      <c r="AH219" s="22" t="n">
        <f aca="false">ABS(AF219-AG219)</f>
        <v>0</v>
      </c>
    </row>
    <row r="220" customFormat="false" ht="15" hidden="false" customHeight="false" outlineLevel="0" collapsed="false">
      <c r="O220" s="17" t="n">
        <f aca="false">30+200*$P$5</f>
        <v>80</v>
      </c>
      <c r="P220" s="17" t="n">
        <f aca="false">-Delta_c*O220</f>
        <v>-8.10169855497277</v>
      </c>
      <c r="R220" s="11" t="n">
        <f aca="false">(-P220/$P$5*R219)/(Rho_a-P220/$P$5)</f>
        <v>-164.506139006353</v>
      </c>
      <c r="S220" s="11" t="n">
        <f aca="false">IF(O220&lt;Floor_F,MAX((-(Cost_k*Ubar_c+Delay_D)*(1-EXP(-Rho_a*LN((Top_c-O220)/(Top_c-Floor_F))/Delta_c))/Rho_a+EXP(-Rho_a*LN((Top_c-O220)/(Top_c-Floor_F))/Delta_c)*(-Cost_k*Delta_c*Floor_F/Rho_a)),(-Delay_D/Rho_a)),(EXP(-Rho_a*LN(O220/Floor_F)/Delta_c)*(-Cost_k*Delta_c*Floor_F/Rho_a)))</f>
        <v>-164.293613522861</v>
      </c>
      <c r="T220" s="22" t="n">
        <f aca="false">ABS(R220-S220)</f>
        <v>0.2125254834923</v>
      </c>
      <c r="V220" s="17" t="n">
        <f aca="false">30+200*$W$5</f>
        <v>55</v>
      </c>
      <c r="W220" s="17" t="n">
        <v>0</v>
      </c>
      <c r="X220" s="11" t="n">
        <f aca="false">-Cost_k*Delta_c*Floor_F/Rho_a</f>
        <v>-233.75961593941</v>
      </c>
      <c r="Y220" s="11" t="n">
        <f aca="false">X220</f>
        <v>-233.75961593941</v>
      </c>
      <c r="Z220" s="11" t="n">
        <f aca="false">IF(V220&lt;Floor_F,MAX((-(Cost_k*Ubar_c+Delay_D)*(1-EXP(-Rho_a*LN((Top_c-V220)/(Top_c-Floor_F))/Delta_c))/Rho_a+EXP(-Rho_a*LN((Top_c-V220)/(Top_c-Floor_F))/Delta_c)*(-Cost_k*Delta_c*Floor_F/Rho_a)),(-Delay_D/Rho_a)),(EXP(-Rho_a*LN(V220/Floor_F)/Delta_c)*(-Cost_k*Delta_c*Floor_F/Rho_a)))</f>
        <v>-233.75961593941</v>
      </c>
      <c r="AA220" s="22" t="n">
        <f aca="false">ABS(Y220-Z220)</f>
        <v>0</v>
      </c>
      <c r="AC220" s="17" t="n">
        <f aca="false">30+200*$AD$5</f>
        <v>42.5</v>
      </c>
      <c r="AD220" s="17" t="n">
        <f aca="false">Ubar_c-Delta_c*AC220</f>
        <v>5.82309583638668</v>
      </c>
      <c r="AE220" s="11" t="n">
        <f aca="false">(-(Cost_k*Ubar_c+Delay_D)+AD220/$AD$5*AE221)/(Rho_a+AD220/$AD$5)</f>
        <v>-342.216388355026</v>
      </c>
      <c r="AF220" s="11" t="n">
        <f aca="false">MAX(AE220,-Delay_D/Rho_a)</f>
        <v>-335.745877992226</v>
      </c>
      <c r="AG220" s="11" t="n">
        <f aca="false">IF(AC220&lt;Floor_F,MAX((-(Cost_k*Ubar_c+Delay_D)*(1-EXP(-Rho_a*LN((Top_c-AC220)/(Top_c-Floor_F))/Delta_c))/Rho_a+EXP(-Rho_a*LN((Top_c-AC220)/(Top_c-Floor_F))/Delta_c)*(-Cost_k*Delta_c*Floor_F/Rho_a)),(-Delay_D/Rho_a)),(EXP(-Rho_a*LN(AC220/Floor_F)/Delta_c)*(-Cost_k*Delta_c*Floor_F/Rho_a)))</f>
        <v>-335.745877992226</v>
      </c>
      <c r="AH220" s="22" t="n">
        <f aca="false">ABS(AF220-AG220)</f>
        <v>0</v>
      </c>
    </row>
    <row r="221" customFormat="false" ht="15" hidden="false" customHeight="false" outlineLevel="0" collapsed="false">
      <c r="V221" s="17" t="n">
        <f aca="false">30+201*$W$5</f>
        <v>55.125</v>
      </c>
      <c r="W221" s="17" t="n">
        <f aca="false">-Delta_c*V221</f>
        <v>-5.58257666053592</v>
      </c>
      <c r="Y221" s="11" t="n">
        <f aca="false">(-W221/$W$5*Y220)/(Rho_a-W221/$W$5)</f>
        <v>-233.261812089065</v>
      </c>
      <c r="Z221" s="11" t="n">
        <f aca="false">IF(V221&lt;Floor_F,MAX((-(Cost_k*Ubar_c+Delay_D)*(1-EXP(-Rho_a*LN((Top_c-V221)/(Top_c-Floor_F))/Delta_c))/Rho_a+EXP(-Rho_a*LN((Top_c-V221)/(Top_c-Floor_F))/Delta_c)*(-Cost_k*Delta_c*Floor_F/Rho_a)),(-Delay_D/Rho_a)),(EXP(-Rho_a*LN(V221/Floor_F)/Delta_c)*(-Cost_k*Delta_c*Floor_F/Rho_a)))</f>
        <v>-233.260716406627</v>
      </c>
      <c r="AA221" s="22" t="n">
        <f aca="false">ABS(Y221-Z221)</f>
        <v>0.00109568243814806</v>
      </c>
      <c r="AC221" s="17" t="n">
        <f aca="false">30+201*$AD$5</f>
        <v>42.5625</v>
      </c>
      <c r="AD221" s="17" t="n">
        <f aca="false">Ubar_c-Delta_c*AC221</f>
        <v>5.81676638439061</v>
      </c>
      <c r="AE221" s="11" t="n">
        <f aca="false">(-(Cost_k*Ubar_c+Delay_D)+AD221/$AD$5*AE222)/(Rho_a+AD221/$AD$5)</f>
        <v>-341.788224921974</v>
      </c>
      <c r="AF221" s="11" t="n">
        <f aca="false">MAX(AE221,-Delay_D/Rho_a)</f>
        <v>-335.745877992226</v>
      </c>
      <c r="AG221" s="11" t="n">
        <f aca="false">IF(AC221&lt;Floor_F,MAX((-(Cost_k*Ubar_c+Delay_D)*(1-EXP(-Rho_a*LN((Top_c-AC221)/(Top_c-Floor_F))/Delta_c))/Rho_a+EXP(-Rho_a*LN((Top_c-AC221)/(Top_c-Floor_F))/Delta_c)*(-Cost_k*Delta_c*Floor_F/Rho_a)),(-Delay_D/Rho_a)),(EXP(-Rho_a*LN(AC221/Floor_F)/Delta_c)*(-Cost_k*Delta_c*Floor_F/Rho_a)))</f>
        <v>-335.745877992226</v>
      </c>
      <c r="AH221" s="22" t="n">
        <f aca="false">ABS(AF221-AG221)</f>
        <v>0</v>
      </c>
    </row>
    <row r="222" customFormat="false" ht="15" hidden="false" customHeight="false" outlineLevel="0" collapsed="false">
      <c r="V222" s="17" t="n">
        <f aca="false">30+202*$W$5</f>
        <v>55.25</v>
      </c>
      <c r="W222" s="17" t="n">
        <f aca="false">-Delta_c*V222</f>
        <v>-5.59523556452807</v>
      </c>
      <c r="Y222" s="11" t="n">
        <f aca="false">(-W222/$W$5*Y221)/(Rho_a-W222/$W$5)</f>
        <v>-232.766189805898</v>
      </c>
      <c r="Z222" s="11" t="n">
        <f aca="false">IF(V222&lt;Floor_F,MAX((-(Cost_k*Ubar_c+Delay_D)*(1-EXP(-Rho_a*LN((Top_c-V222)/(Top_c-Floor_F))/Delta_c))/Rho_a+EXP(-Rho_a*LN((Top_c-V222)/(Top_c-Floor_F))/Delta_c)*(-Cost_k*Delta_c*Floor_F/Rho_a)),(-Delay_D/Rho_a)),(EXP(-Rho_a*LN(V222/Floor_F)/Delta_c)*(-Cost_k*Delta_c*Floor_F/Rho_a)))</f>
        <v>-232.764008044158</v>
      </c>
      <c r="AA222" s="22" t="n">
        <f aca="false">ABS(Y222-Z222)</f>
        <v>0.00218176174044515</v>
      </c>
      <c r="AC222" s="17" t="n">
        <f aca="false">30+202*$AD$5</f>
        <v>42.625</v>
      </c>
      <c r="AD222" s="17" t="n">
        <f aca="false">Ubar_c-Delta_c*AC222</f>
        <v>5.81043693239453</v>
      </c>
      <c r="AE222" s="11" t="n">
        <f aca="false">(-(Cost_k*Ubar_c+Delay_D)+AD222/$AD$5*AE223)/(Rho_a+AD222/$AD$5)</f>
        <v>-341.359157110027</v>
      </c>
      <c r="AF222" s="11" t="n">
        <f aca="false">MAX(AE222,-Delay_D/Rho_a)</f>
        <v>-335.745877992226</v>
      </c>
      <c r="AG222" s="11" t="n">
        <f aca="false">IF(AC222&lt;Floor_F,MAX((-(Cost_k*Ubar_c+Delay_D)*(1-EXP(-Rho_a*LN((Top_c-AC222)/(Top_c-Floor_F))/Delta_c))/Rho_a+EXP(-Rho_a*LN((Top_c-AC222)/(Top_c-Floor_F))/Delta_c)*(-Cost_k*Delta_c*Floor_F/Rho_a)),(-Delay_D/Rho_a)),(EXP(-Rho_a*LN(AC222/Floor_F)/Delta_c)*(-Cost_k*Delta_c*Floor_F/Rho_a)))</f>
        <v>-335.745877992226</v>
      </c>
      <c r="AH222" s="22" t="n">
        <f aca="false">ABS(AF222-AG222)</f>
        <v>0</v>
      </c>
    </row>
    <row r="223" customFormat="false" ht="15" hidden="false" customHeight="false" outlineLevel="0" collapsed="false">
      <c r="V223" s="17" t="n">
        <f aca="false">30+203*$W$5</f>
        <v>55.375</v>
      </c>
      <c r="W223" s="17" t="n">
        <f aca="false">-Delta_c*V223</f>
        <v>-5.60789446852021</v>
      </c>
      <c r="Y223" s="11" t="n">
        <f aca="false">(-W223/$W$5*Y222)/(Rho_a-W223/$W$5)</f>
        <v>-232.272734636892</v>
      </c>
      <c r="Z223" s="11" t="n">
        <f aca="false">IF(V223&lt;Floor_F,MAX((-(Cost_k*Ubar_c+Delay_D)*(1-EXP(-Rho_a*LN((Top_c-V223)/(Top_c-Floor_F))/Delta_c))/Rho_a+EXP(-Rho_a*LN((Top_c-V223)/(Top_c-Floor_F))/Delta_c)*(-Cost_k*Delta_c*Floor_F/Rho_a)),(-Delay_D/Rho_a)),(EXP(-Rho_a*LN(V223/Floor_F)/Delta_c)*(-Cost_k*Delta_c*Floor_F/Rho_a)))</f>
        <v>-232.269476303555</v>
      </c>
      <c r="AA223" s="22" t="n">
        <f aca="false">ABS(Y223-Z223)</f>
        <v>0.00325833333624814</v>
      </c>
      <c r="AC223" s="17" t="n">
        <f aca="false">30+203*$AD$5</f>
        <v>42.6875</v>
      </c>
      <c r="AD223" s="17" t="n">
        <f aca="false">Ubar_c-Delta_c*AC223</f>
        <v>5.80410748039846</v>
      </c>
      <c r="AE223" s="11" t="n">
        <f aca="false">(-(Cost_k*Ubar_c+Delay_D)+AD223/$AD$5*AE224)/(Rho_a+AD223/$AD$5)</f>
        <v>-340.929182021686</v>
      </c>
      <c r="AF223" s="11" t="n">
        <f aca="false">MAX(AE223,-Delay_D/Rho_a)</f>
        <v>-335.745877992226</v>
      </c>
      <c r="AG223" s="11" t="n">
        <f aca="false">IF(AC223&lt;Floor_F,MAX((-(Cost_k*Ubar_c+Delay_D)*(1-EXP(-Rho_a*LN((Top_c-AC223)/(Top_c-Floor_F))/Delta_c))/Rho_a+EXP(-Rho_a*LN((Top_c-AC223)/(Top_c-Floor_F))/Delta_c)*(-Cost_k*Delta_c*Floor_F/Rho_a)),(-Delay_D/Rho_a)),(EXP(-Rho_a*LN(AC223/Floor_F)/Delta_c)*(-Cost_k*Delta_c*Floor_F/Rho_a)))</f>
        <v>-335.745877992226</v>
      </c>
      <c r="AH223" s="22" t="n">
        <f aca="false">ABS(AF223-AG223)</f>
        <v>0</v>
      </c>
    </row>
    <row r="224" customFormat="false" ht="15" hidden="false" customHeight="false" outlineLevel="0" collapsed="false">
      <c r="V224" s="17" t="n">
        <f aca="false">30+204*$W$5</f>
        <v>55.5</v>
      </c>
      <c r="W224" s="17" t="n">
        <f aca="false">-Delta_c*V224</f>
        <v>-5.62055337251236</v>
      </c>
      <c r="Y224" s="11" t="n">
        <f aca="false">(-W224/$W$5*Y223)/(Rho_a-W224/$W$5)</f>
        <v>-231.781432257046</v>
      </c>
      <c r="Z224" s="11" t="n">
        <f aca="false">IF(V224&lt;Floor_F,MAX((-(Cost_k*Ubar_c+Delay_D)*(1-EXP(-Rho_a*LN((Top_c-V224)/(Top_c-Floor_F))/Delta_c))/Rho_a+EXP(-Rho_a*LN((Top_c-V224)/(Top_c-Floor_F))/Delta_c)*(-Cost_k*Delta_c*Floor_F/Rho_a)),(-Delay_D/Rho_a)),(EXP(-Rho_a*LN(V224/Floor_F)/Delta_c)*(-Cost_k*Delta_c*Floor_F/Rho_a)))</f>
        <v>-231.777106765518</v>
      </c>
      <c r="AA224" s="22" t="n">
        <f aca="false">ABS(Y224-Z224)</f>
        <v>0.00432549152799311</v>
      </c>
      <c r="AC224" s="17" t="n">
        <f aca="false">30+204*$AD$5</f>
        <v>42.75</v>
      </c>
      <c r="AD224" s="17" t="n">
        <f aca="false">Ubar_c-Delta_c*AC224</f>
        <v>5.79777802840239</v>
      </c>
      <c r="AE224" s="11" t="n">
        <f aca="false">(-(Cost_k*Ubar_c+Delay_D)+AD224/$AD$5*AE225)/(Rho_a+AD224/$AD$5)</f>
        <v>-340.498296747002</v>
      </c>
      <c r="AF224" s="11" t="n">
        <f aca="false">MAX(AE224,-Delay_D/Rho_a)</f>
        <v>-335.745877992226</v>
      </c>
      <c r="AG224" s="11" t="n">
        <f aca="false">IF(AC224&lt;Floor_F,MAX((-(Cost_k*Ubar_c+Delay_D)*(1-EXP(-Rho_a*LN((Top_c-AC224)/(Top_c-Floor_F))/Delta_c))/Rho_a+EXP(-Rho_a*LN((Top_c-AC224)/(Top_c-Floor_F))/Delta_c)*(-Cost_k*Delta_c*Floor_F/Rho_a)),(-Delay_D/Rho_a)),(EXP(-Rho_a*LN(AC224/Floor_F)/Delta_c)*(-Cost_k*Delta_c*Floor_F/Rho_a)))</f>
        <v>-335.745877992226</v>
      </c>
      <c r="AH224" s="22" t="n">
        <f aca="false">ABS(AF224-AG224)</f>
        <v>0</v>
      </c>
    </row>
    <row r="225" customFormat="false" ht="15" hidden="false" customHeight="false" outlineLevel="0" collapsed="false">
      <c r="V225" s="17" t="n">
        <f aca="false">30+205*$W$5</f>
        <v>55.625</v>
      </c>
      <c r="W225" s="17" t="n">
        <f aca="false">-Delta_c*V225</f>
        <v>-5.6332122765045</v>
      </c>
      <c r="Y225" s="11" t="n">
        <f aca="false">(-W225/$W$5*Y224)/(Rho_a-W225/$W$5)</f>
        <v>-231.292268467964</v>
      </c>
      <c r="Z225" s="11" t="n">
        <f aca="false">IF(V225&lt;Floor_F,MAX((-(Cost_k*Ubar_c+Delay_D)*(1-EXP(-Rho_a*LN((Top_c-V225)/(Top_c-Floor_F))/Delta_c))/Rho_a+EXP(-Rho_a*LN((Top_c-V225)/(Top_c-Floor_F))/Delta_c)*(-Cost_k*Delta_c*Floor_F/Rho_a)),(-Delay_D/Rho_a)),(EXP(-Rho_a*LN(V225/Floor_F)/Delta_c)*(-Cost_k*Delta_c*Floor_F/Rho_a)))</f>
        <v>-231.286885138457</v>
      </c>
      <c r="AA225" s="22" t="n">
        <f aca="false">ABS(Y225-Z225)</f>
        <v>0.00538332950679887</v>
      </c>
      <c r="AC225" s="17" t="n">
        <f aca="false">30+205*$AD$5</f>
        <v>42.8125</v>
      </c>
      <c r="AD225" s="17" t="n">
        <f aca="false">Ubar_c-Delta_c*AC225</f>
        <v>5.79144857640632</v>
      </c>
      <c r="AE225" s="11" t="n">
        <f aca="false">(-(Cost_k*Ubar_c+Delay_D)+AD225/$AD$5*AE226)/(Rho_a+AD225/$AD$5)</f>
        <v>-340.066498363502</v>
      </c>
      <c r="AF225" s="11" t="n">
        <f aca="false">MAX(AE225,-Delay_D/Rho_a)</f>
        <v>-335.745877992226</v>
      </c>
      <c r="AG225" s="11" t="n">
        <f aca="false">IF(AC225&lt;Floor_F,MAX((-(Cost_k*Ubar_c+Delay_D)*(1-EXP(-Rho_a*LN((Top_c-AC225)/(Top_c-Floor_F))/Delta_c))/Rho_a+EXP(-Rho_a*LN((Top_c-AC225)/(Top_c-Floor_F))/Delta_c)*(-Cost_k*Delta_c*Floor_F/Rho_a)),(-Delay_D/Rho_a)),(EXP(-Rho_a*LN(AC225/Floor_F)/Delta_c)*(-Cost_k*Delta_c*Floor_F/Rho_a)))</f>
        <v>-335.745877992226</v>
      </c>
      <c r="AH225" s="22" t="n">
        <f aca="false">ABS(AF225-AG225)</f>
        <v>0</v>
      </c>
    </row>
    <row r="226" customFormat="false" ht="15" hidden="false" customHeight="false" outlineLevel="0" collapsed="false">
      <c r="V226" s="17" t="n">
        <f aca="false">30+206*$W$5</f>
        <v>55.75</v>
      </c>
      <c r="W226" s="17" t="n">
        <f aca="false">-Delta_c*V226</f>
        <v>-5.64587118049665</v>
      </c>
      <c r="Y226" s="11" t="n">
        <f aca="false">(-W226/$W$5*Y225)/(Rho_a-W226/$W$5)</f>
        <v>-230.80522919645</v>
      </c>
      <c r="Z226" s="11" t="n">
        <f aca="false">IF(V226&lt;Floor_F,MAX((-(Cost_k*Ubar_c+Delay_D)*(1-EXP(-Rho_a*LN((Top_c-V226)/(Top_c-Floor_F))/Delta_c))/Rho_a+EXP(-Rho_a*LN((Top_c-V226)/(Top_c-Floor_F))/Delta_c)*(-Cost_k*Delta_c*Floor_F/Rho_a)),(-Delay_D/Rho_a)),(EXP(-Rho_a*LN(V226/Floor_F)/Delta_c)*(-Cost_k*Delta_c*Floor_F/Rho_a)))</f>
        <v>-230.798797257082</v>
      </c>
      <c r="AA226" s="22" t="n">
        <f aca="false">ABS(Y226-Z226)</f>
        <v>0.0064319393675305</v>
      </c>
      <c r="AC226" s="17" t="n">
        <f aca="false">30+206*$AD$5</f>
        <v>42.875</v>
      </c>
      <c r="AD226" s="17" t="n">
        <f aca="false">Ubar_c-Delta_c*AC226</f>
        <v>5.78511912441024</v>
      </c>
      <c r="AE226" s="11" t="n">
        <f aca="false">(-(Cost_k*Ubar_c+Delay_D)+AD226/$AD$5*AE227)/(Rho_a+AD226/$AD$5)</f>
        <v>-339.633783936129</v>
      </c>
      <c r="AF226" s="11" t="n">
        <f aca="false">MAX(AE226,-Delay_D/Rho_a)</f>
        <v>-335.745877992226</v>
      </c>
      <c r="AG226" s="11" t="n">
        <f aca="false">IF(AC226&lt;Floor_F,MAX((-(Cost_k*Ubar_c+Delay_D)*(1-EXP(-Rho_a*LN((Top_c-AC226)/(Top_c-Floor_F))/Delta_c))/Rho_a+EXP(-Rho_a*LN((Top_c-AC226)/(Top_c-Floor_F))/Delta_c)*(-Cost_k*Delta_c*Floor_F/Rho_a)),(-Delay_D/Rho_a)),(EXP(-Rho_a*LN(AC226/Floor_F)/Delta_c)*(-Cost_k*Delta_c*Floor_F/Rho_a)))</f>
        <v>-335.745877992226</v>
      </c>
      <c r="AH226" s="22" t="n">
        <f aca="false">ABS(AF226-AG226)</f>
        <v>0</v>
      </c>
    </row>
    <row r="227" customFormat="false" ht="15" hidden="false" customHeight="false" outlineLevel="0" collapsed="false">
      <c r="V227" s="17" t="n">
        <f aca="false">30+207*$W$5</f>
        <v>55.875</v>
      </c>
      <c r="W227" s="17" t="n">
        <f aca="false">-Delta_c*V227</f>
        <v>-5.65853008448879</v>
      </c>
      <c r="Y227" s="11" t="n">
        <f aca="false">(-W227/$W$5*Y226)/(Rho_a-W227/$W$5)</f>
        <v>-230.320300493129</v>
      </c>
      <c r="Z227" s="11" t="n">
        <f aca="false">IF(V227&lt;Floor_F,MAX((-(Cost_k*Ubar_c+Delay_D)*(1-EXP(-Rho_a*LN((Top_c-V227)/(Top_c-Floor_F))/Delta_c))/Rho_a+EXP(-Rho_a*LN((Top_c-V227)/(Top_c-Floor_F))/Delta_c)*(-Cost_k*Delta_c*Floor_F/Rho_a)),(-Delay_D/Rho_a)),(EXP(-Rho_a*LN(V227/Floor_F)/Delta_c)*(-Cost_k*Delta_c*Floor_F/Rho_a)))</f>
        <v>-230.312829081005</v>
      </c>
      <c r="AA227" s="22" t="n">
        <f aca="false">ABS(Y227-Z227)</f>
        <v>0.00747141212428915</v>
      </c>
      <c r="AC227" s="17" t="n">
        <f aca="false">30+207*$AD$5</f>
        <v>42.9375</v>
      </c>
      <c r="AD227" s="17" t="n">
        <f aca="false">Ubar_c-Delta_c*AC227</f>
        <v>5.77878967241417</v>
      </c>
      <c r="AE227" s="11" t="n">
        <f aca="false">(-(Cost_k*Ubar_c+Delay_D)+AD227/$AD$5*AE228)/(Rho_a+AD227/$AD$5)</f>
        <v>-339.200150517168</v>
      </c>
      <c r="AF227" s="11" t="n">
        <f aca="false">MAX(AE227,-Delay_D/Rho_a)</f>
        <v>-335.745877992226</v>
      </c>
      <c r="AG227" s="11" t="n">
        <f aca="false">IF(AC227&lt;Floor_F,MAX((-(Cost_k*Ubar_c+Delay_D)*(1-EXP(-Rho_a*LN((Top_c-AC227)/(Top_c-Floor_F))/Delta_c))/Rho_a+EXP(-Rho_a*LN((Top_c-AC227)/(Top_c-Floor_F))/Delta_c)*(-Cost_k*Delta_c*Floor_F/Rho_a)),(-Delay_D/Rho_a)),(EXP(-Rho_a*LN(AC227/Floor_F)/Delta_c)*(-Cost_k*Delta_c*Floor_F/Rho_a)))</f>
        <v>-335.745877992226</v>
      </c>
      <c r="AH227" s="22" t="n">
        <f aca="false">ABS(AF227-AG227)</f>
        <v>0</v>
      </c>
    </row>
    <row r="228" customFormat="false" ht="15" hidden="false" customHeight="false" outlineLevel="0" collapsed="false">
      <c r="V228" s="17" t="n">
        <f aca="false">30+208*$W$5</f>
        <v>56</v>
      </c>
      <c r="W228" s="17" t="n">
        <f aca="false">-Delta_c*V228</f>
        <v>-5.67118898848094</v>
      </c>
      <c r="Y228" s="11" t="n">
        <f aca="false">(-W228/$W$5*Y227)/(Rho_a-W228/$W$5)</f>
        <v>-229.837468531084</v>
      </c>
      <c r="Z228" s="11" t="n">
        <f aca="false">IF(V228&lt;Floor_F,MAX((-(Cost_k*Ubar_c+Delay_D)*(1-EXP(-Rho_a*LN((Top_c-V228)/(Top_c-Floor_F))/Delta_c))/Rho_a+EXP(-Rho_a*LN((Top_c-V228)/(Top_c-Floor_F))/Delta_c)*(-Cost_k*Delta_c*Floor_F/Rho_a)),(-Delay_D/Rho_a)),(EXP(-Rho_a*LN(V228/Floor_F)/Delta_c)*(-Cost_k*Delta_c*Floor_F/Rho_a)))</f>
        <v>-229.828966693359</v>
      </c>
      <c r="AA228" s="22" t="n">
        <f aca="false">ABS(Y228-Z228)</f>
        <v>0.00850183772507762</v>
      </c>
      <c r="AC228" s="17" t="n">
        <f aca="false">30+208*$AD$5</f>
        <v>43</v>
      </c>
      <c r="AD228" s="17" t="n">
        <f aca="false">Ubar_c-Delta_c*AC228</f>
        <v>5.7724602204181</v>
      </c>
      <c r="AE228" s="11" t="n">
        <f aca="false">(-(Cost_k*Ubar_c+Delay_D)+AD228/$AD$5*AE229)/(Rho_a+AD228/$AD$5)</f>
        <v>-338.765595146178</v>
      </c>
      <c r="AF228" s="11" t="n">
        <f aca="false">MAX(AE228,-Delay_D/Rho_a)</f>
        <v>-335.745877992226</v>
      </c>
      <c r="AG228" s="11" t="n">
        <f aca="false">IF(AC228&lt;Floor_F,MAX((-(Cost_k*Ubar_c+Delay_D)*(1-EXP(-Rho_a*LN((Top_c-AC228)/(Top_c-Floor_F))/Delta_c))/Rho_a+EXP(-Rho_a*LN((Top_c-AC228)/(Top_c-Floor_F))/Delta_c)*(-Cost_k*Delta_c*Floor_F/Rho_a)),(-Delay_D/Rho_a)),(EXP(-Rho_a*LN(AC228/Floor_F)/Delta_c)*(-Cost_k*Delta_c*Floor_F/Rho_a)))</f>
        <v>-335.745877992226</v>
      </c>
      <c r="AH228" s="22" t="n">
        <f aca="false">ABS(AF228-AG228)</f>
        <v>0</v>
      </c>
    </row>
    <row r="229" customFormat="false" ht="15" hidden="false" customHeight="false" outlineLevel="0" collapsed="false">
      <c r="V229" s="17" t="n">
        <f aca="false">30+209*$W$5</f>
        <v>56.125</v>
      </c>
      <c r="W229" s="17" t="n">
        <f aca="false">-Delta_c*V229</f>
        <v>-5.68384789247308</v>
      </c>
      <c r="Y229" s="11" t="n">
        <f aca="false">(-W229/$W$5*Y228)/(Rho_a-W229/$W$5)</f>
        <v>-229.356719604512</v>
      </c>
      <c r="Z229" s="11" t="n">
        <f aca="false">IF(V229&lt;Floor_F,MAX((-(Cost_k*Ubar_c+Delay_D)*(1-EXP(-Rho_a*LN((Top_c-V229)/(Top_c-Floor_F))/Delta_c))/Rho_a+EXP(-Rho_a*LN((Top_c-V229)/(Top_c-Floor_F))/Delta_c)*(-Cost_k*Delta_c*Floor_F/Rho_a)),(-Delay_D/Rho_a)),(EXP(-Rho_a*LN(V229/Floor_F)/Delta_c)*(-Cost_k*Delta_c*Floor_F/Rho_a)))</f>
        <v>-229.347196299446</v>
      </c>
      <c r="AA229" s="22" t="n">
        <f aca="false">ABS(Y229-Z229)</f>
        <v>0.00952330506657972</v>
      </c>
      <c r="AC229" s="17" t="n">
        <f aca="false">30+209*$AD$5</f>
        <v>43.0625</v>
      </c>
      <c r="AD229" s="17" t="n">
        <f aca="false">Ubar_c-Delta_c*AC229</f>
        <v>5.76613076842203</v>
      </c>
      <c r="AE229" s="11" t="n">
        <f aca="false">(-(Cost_k*Ubar_c+Delay_D)+AD229/$AD$5*AE230)/(Rho_a+AD229/$AD$5)</f>
        <v>-338.33011484993</v>
      </c>
      <c r="AF229" s="11" t="n">
        <f aca="false">MAX(AE229,-Delay_D/Rho_a)</f>
        <v>-335.745877992226</v>
      </c>
      <c r="AG229" s="11" t="n">
        <f aca="false">IF(AC229&lt;Floor_F,MAX((-(Cost_k*Ubar_c+Delay_D)*(1-EXP(-Rho_a*LN((Top_c-AC229)/(Top_c-Floor_F))/Delta_c))/Rho_a+EXP(-Rho_a*LN((Top_c-AC229)/(Top_c-Floor_F))/Delta_c)*(-Cost_k*Delta_c*Floor_F/Rho_a)),(-Delay_D/Rho_a)),(EXP(-Rho_a*LN(AC229/Floor_F)/Delta_c)*(-Cost_k*Delta_c*Floor_F/Rho_a)))</f>
        <v>-335.745877992226</v>
      </c>
      <c r="AH229" s="22" t="n">
        <f aca="false">ABS(AF229-AG229)</f>
        <v>0</v>
      </c>
    </row>
    <row r="230" customFormat="false" ht="15" hidden="false" customHeight="false" outlineLevel="0" collapsed="false">
      <c r="V230" s="17" t="n">
        <f aca="false">30+210*$W$5</f>
        <v>56.25</v>
      </c>
      <c r="W230" s="17" t="n">
        <f aca="false">-Delta_c*V230</f>
        <v>-5.69650679646523</v>
      </c>
      <c r="Y230" s="11" t="n">
        <f aca="false">(-W230/$W$5*Y229)/(Rho_a-W230/$W$5)</f>
        <v>-228.878040127395</v>
      </c>
      <c r="Z230" s="11" t="n">
        <f aca="false">IF(V230&lt;Floor_F,MAX((-(Cost_k*Ubar_c+Delay_D)*(1-EXP(-Rho_a*LN((Top_c-V230)/(Top_c-Floor_F))/Delta_c))/Rho_a+EXP(-Rho_a*LN((Top_c-V230)/(Top_c-Floor_F))/Delta_c)*(-Cost_k*Delta_c*Floor_F/Rho_a)),(-Delay_D/Rho_a)),(EXP(-Rho_a*LN(V230/Floor_F)/Delta_c)*(-Cost_k*Delta_c*Floor_F/Rho_a)))</f>
        <v>-228.867504225387</v>
      </c>
      <c r="AA230" s="22" t="n">
        <f aca="false">ABS(Y230-Z230)</f>
        <v>0.0105359020082005</v>
      </c>
      <c r="AC230" s="17" t="n">
        <f aca="false">30+210*$AD$5</f>
        <v>43.125</v>
      </c>
      <c r="AD230" s="17" t="n">
        <f aca="false">Ubar_c-Delta_c*AC230</f>
        <v>5.75980131642595</v>
      </c>
      <c r="AE230" s="11" t="n">
        <f aca="false">(-(Cost_k*Ubar_c+Delay_D)+AD230/$AD$5*AE231)/(Rho_a+AD230/$AD$5)</f>
        <v>-337.893706642326</v>
      </c>
      <c r="AF230" s="11" t="n">
        <f aca="false">MAX(AE230,-Delay_D/Rho_a)</f>
        <v>-335.745877992226</v>
      </c>
      <c r="AG230" s="11" t="n">
        <f aca="false">IF(AC230&lt;Floor_F,MAX((-(Cost_k*Ubar_c+Delay_D)*(1-EXP(-Rho_a*LN((Top_c-AC230)/(Top_c-Floor_F))/Delta_c))/Rho_a+EXP(-Rho_a*LN((Top_c-AC230)/(Top_c-Floor_F))/Delta_c)*(-Cost_k*Delta_c*Floor_F/Rho_a)),(-Delay_D/Rho_a)),(EXP(-Rho_a*LN(AC230/Floor_F)/Delta_c)*(-Cost_k*Delta_c*Floor_F/Rho_a)))</f>
        <v>-335.745877992226</v>
      </c>
      <c r="AH230" s="22" t="n">
        <f aca="false">ABS(AF230-AG230)</f>
        <v>0</v>
      </c>
    </row>
    <row r="231" customFormat="false" ht="15" hidden="false" customHeight="false" outlineLevel="0" collapsed="false">
      <c r="V231" s="17" t="n">
        <f aca="false">30+211*$W$5</f>
        <v>56.375</v>
      </c>
      <c r="W231" s="17" t="n">
        <f aca="false">-Delta_c*V231</f>
        <v>-5.70916570045737</v>
      </c>
      <c r="Y231" s="11" t="n">
        <f aca="false">(-W231/$W$5*Y230)/(Rho_a-W231/$W$5)</f>
        <v>-228.401416632192</v>
      </c>
      <c r="Z231" s="11" t="n">
        <f aca="false">IF(V231&lt;Floor_F,MAX((-(Cost_k*Ubar_c+Delay_D)*(1-EXP(-Rho_a*LN((Top_c-V231)/(Top_c-Floor_F))/Delta_c))/Rho_a+EXP(-Rho_a*LN((Top_c-V231)/(Top_c-Floor_F))/Delta_c)*(-Cost_k*Delta_c*Floor_F/Rho_a)),(-Delay_D/Rho_a)),(EXP(-Rho_a*LN(V231/Floor_F)/Delta_c)*(-Cost_k*Delta_c*Floor_F/Rho_a)))</f>
        <v>-228.389876916805</v>
      </c>
      <c r="AA231" s="22" t="n">
        <f aca="false">ABS(Y231-Z231)</f>
        <v>0.0115397153868457</v>
      </c>
      <c r="AC231" s="17" t="n">
        <f aca="false">30+211*$AD$5</f>
        <v>43.1875</v>
      </c>
      <c r="AD231" s="17" t="n">
        <f aca="false">Ubar_c-Delta_c*AC231</f>
        <v>5.75347186442988</v>
      </c>
      <c r="AE231" s="11" t="n">
        <f aca="false">(-(Cost_k*Ubar_c+Delay_D)+AD231/$AD$5*AE232)/(Rho_a+AD231/$AD$5)</f>
        <v>-337.456367524339</v>
      </c>
      <c r="AF231" s="11" t="n">
        <f aca="false">MAX(AE231,-Delay_D/Rho_a)</f>
        <v>-335.745877992226</v>
      </c>
      <c r="AG231" s="11" t="n">
        <f aca="false">IF(AC231&lt;Floor_F,MAX((-(Cost_k*Ubar_c+Delay_D)*(1-EXP(-Rho_a*LN((Top_c-AC231)/(Top_c-Floor_F))/Delta_c))/Rho_a+EXP(-Rho_a*LN((Top_c-AC231)/(Top_c-Floor_F))/Delta_c)*(-Cost_k*Delta_c*Floor_F/Rho_a)),(-Delay_D/Rho_a)),(EXP(-Rho_a*LN(AC231/Floor_F)/Delta_c)*(-Cost_k*Delta_c*Floor_F/Rho_a)))</f>
        <v>-335.745877992226</v>
      </c>
      <c r="AH231" s="22" t="n">
        <f aca="false">ABS(AF231-AG231)</f>
        <v>0</v>
      </c>
    </row>
    <row r="232" customFormat="false" ht="15" hidden="false" customHeight="false" outlineLevel="0" collapsed="false">
      <c r="V232" s="17" t="n">
        <f aca="false">30+212*$W$5</f>
        <v>56.5</v>
      </c>
      <c r="W232" s="17" t="n">
        <f aca="false">-Delta_c*V232</f>
        <v>-5.72182460444952</v>
      </c>
      <c r="Y232" s="11" t="n">
        <f aca="false">(-W232/$W$5*Y231)/(Rho_a-W232/$W$5)</f>
        <v>-227.926835768545</v>
      </c>
      <c r="Z232" s="11" t="n">
        <f aca="false">IF(V232&lt;Floor_F,MAX((-(Cost_k*Ubar_c+Delay_D)*(1-EXP(-Rho_a*LN((Top_c-V232)/(Top_c-Floor_F))/Delta_c))/Rho_a+EXP(-Rho_a*LN((Top_c-V232)/(Top_c-Floor_F))/Delta_c)*(-Cost_k*Delta_c*Floor_F/Rho_a)),(-Delay_D/Rho_a)),(EXP(-Rho_a*LN(V232/Floor_F)/Delta_c)*(-Cost_k*Delta_c*Floor_F/Rho_a)))</f>
        <v>-227.914300937515</v>
      </c>
      <c r="AA232" s="22" t="n">
        <f aca="false">ABS(Y232-Z232)</f>
        <v>0.0125348310304503</v>
      </c>
      <c r="AC232" s="17" t="n">
        <f aca="false">30+212*$AD$5</f>
        <v>43.25</v>
      </c>
      <c r="AD232" s="17" t="n">
        <f aca="false">Ubar_c-Delta_c*AC232</f>
        <v>5.74714241243381</v>
      </c>
      <c r="AE232" s="11" t="n">
        <f aca="false">(-(Cost_k*Ubar_c+Delay_D)+AD232/$AD$5*AE233)/(Rho_a+AD232/$AD$5)</f>
        <v>-337.01809448394</v>
      </c>
      <c r="AF232" s="11" t="n">
        <f aca="false">MAX(AE232,-Delay_D/Rho_a)</f>
        <v>-335.745877992226</v>
      </c>
      <c r="AG232" s="11" t="n">
        <f aca="false">IF(AC232&lt;Floor_F,MAX((-(Cost_k*Ubar_c+Delay_D)*(1-EXP(-Rho_a*LN((Top_c-AC232)/(Top_c-Floor_F))/Delta_c))/Rho_a+EXP(-Rho_a*LN((Top_c-AC232)/(Top_c-Floor_F))/Delta_c)*(-Cost_k*Delta_c*Floor_F/Rho_a)),(-Delay_D/Rho_a)),(EXP(-Rho_a*LN(AC232/Floor_F)/Delta_c)*(-Cost_k*Delta_c*Floor_F/Rho_a)))</f>
        <v>-335.745877992226</v>
      </c>
      <c r="AH232" s="22" t="n">
        <f aca="false">ABS(AF232-AG232)</f>
        <v>0</v>
      </c>
    </row>
    <row r="233" customFormat="false" ht="15" hidden="false" customHeight="false" outlineLevel="0" collapsed="false">
      <c r="V233" s="17" t="n">
        <f aca="false">30+213*$W$5</f>
        <v>56.625</v>
      </c>
      <c r="W233" s="17" t="n">
        <f aca="false">-Delta_c*V233</f>
        <v>-5.73448350844166</v>
      </c>
      <c r="Y233" s="11" t="n">
        <f aca="false">(-W233/$W$5*Y232)/(Rho_a-W233/$W$5)</f>
        <v>-227.454284302006</v>
      </c>
      <c r="Z233" s="11" t="n">
        <f aca="false">IF(V233&lt;Floor_F,MAX((-(Cost_k*Ubar_c+Delay_D)*(1-EXP(-Rho_a*LN((Top_c-V233)/(Top_c-Floor_F))/Delta_c))/Rho_a+EXP(-Rho_a*LN((Top_c-V233)/(Top_c-Floor_F))/Delta_c)*(-Cost_k*Delta_c*Floor_F/Rho_a)),(-Delay_D/Rho_a)),(EXP(-Rho_a*LN(V233/Floor_F)/Delta_c)*(-Cost_k*Delta_c*Floor_F/Rho_a)))</f>
        <v>-227.440762968234</v>
      </c>
      <c r="AA233" s="22" t="n">
        <f aca="false">ABS(Y233-Z233)</f>
        <v>0.0135213337717062</v>
      </c>
      <c r="AC233" s="17" t="n">
        <f aca="false">30+213*$AD$5</f>
        <v>43.3125</v>
      </c>
      <c r="AD233" s="17" t="n">
        <f aca="false">Ubar_c-Delta_c*AC233</f>
        <v>5.74081296043774</v>
      </c>
      <c r="AE233" s="11" t="n">
        <f aca="false">(-(Cost_k*Ubar_c+Delay_D)+AD233/$AD$5*AE234)/(Rho_a+AD233/$AD$5)</f>
        <v>-336.578884496024</v>
      </c>
      <c r="AF233" s="11" t="n">
        <f aca="false">MAX(AE233,-Delay_D/Rho_a)</f>
        <v>-335.745877992226</v>
      </c>
      <c r="AG233" s="11" t="n">
        <f aca="false">IF(AC233&lt;Floor_F,MAX((-(Cost_k*Ubar_c+Delay_D)*(1-EXP(-Rho_a*LN((Top_c-AC233)/(Top_c-Floor_F))/Delta_c))/Rho_a+EXP(-Rho_a*LN((Top_c-AC233)/(Top_c-Floor_F))/Delta_c)*(-Cost_k*Delta_c*Floor_F/Rho_a)),(-Delay_D/Rho_a)),(EXP(-Rho_a*LN(AC233/Floor_F)/Delta_c)*(-Cost_k*Delta_c*Floor_F/Rho_a)))</f>
        <v>-335.745877992226</v>
      </c>
      <c r="AH233" s="22" t="n">
        <f aca="false">ABS(AF233-AG233)</f>
        <v>0</v>
      </c>
    </row>
    <row r="234" customFormat="false" ht="15" hidden="false" customHeight="false" outlineLevel="0" collapsed="false">
      <c r="V234" s="17" t="n">
        <f aca="false">30+214*$W$5</f>
        <v>56.75</v>
      </c>
      <c r="W234" s="17" t="n">
        <f aca="false">-Delta_c*V234</f>
        <v>-5.74714241243381</v>
      </c>
      <c r="Y234" s="11" t="n">
        <f aca="false">(-W234/$W$5*Y233)/(Rho_a-W234/$W$5)</f>
        <v>-226.983749112774</v>
      </c>
      <c r="Z234" s="11" t="n">
        <f aca="false">IF(V234&lt;Floor_F,MAX((-(Cost_k*Ubar_c+Delay_D)*(1-EXP(-Rho_a*LN((Top_c-V234)/(Top_c-Floor_F))/Delta_c))/Rho_a+EXP(-Rho_a*LN((Top_c-V234)/(Top_c-Floor_F))/Delta_c)*(-Cost_k*Delta_c*Floor_F/Rho_a)),(-Delay_D/Rho_a)),(EXP(-Rho_a*LN(V234/Floor_F)/Delta_c)*(-Cost_k*Delta_c*Floor_F/Rho_a)))</f>
        <v>-226.969249805312</v>
      </c>
      <c r="AA234" s="22" t="n">
        <f aca="false">ABS(Y234-Z234)</f>
        <v>0.0144993074617901</v>
      </c>
      <c r="AC234" s="17" t="n">
        <f aca="false">30+214*$AD$5</f>
        <v>43.375</v>
      </c>
      <c r="AD234" s="17" t="n">
        <f aca="false">Ubar_c-Delta_c*AC234</f>
        <v>5.73448350844166</v>
      </c>
      <c r="AE234" s="11" t="n">
        <f aca="false">(-(Cost_k*Ubar_c+Delay_D)+AD234/$AD$5*AE235)/(Rho_a+AD234/$AD$5)</f>
        <v>-336.138734522342</v>
      </c>
      <c r="AF234" s="11" t="n">
        <f aca="false">MAX(AE234,-Delay_D/Rho_a)</f>
        <v>-335.745877992226</v>
      </c>
      <c r="AG234" s="11" t="n">
        <f aca="false">IF(AC234&lt;Floor_F,MAX((-(Cost_k*Ubar_c+Delay_D)*(1-EXP(-Rho_a*LN((Top_c-AC234)/(Top_c-Floor_F))/Delta_c))/Rho_a+EXP(-Rho_a*LN((Top_c-AC234)/(Top_c-Floor_F))/Delta_c)*(-Cost_k*Delta_c*Floor_F/Rho_a)),(-Delay_D/Rho_a)),(EXP(-Rho_a*LN(AC234/Floor_F)/Delta_c)*(-Cost_k*Delta_c*Floor_F/Rho_a)))</f>
        <v>-335.745877992226</v>
      </c>
      <c r="AH234" s="22" t="n">
        <f aca="false">ABS(AF234-AG234)</f>
        <v>0</v>
      </c>
    </row>
    <row r="235" customFormat="false" ht="15" hidden="false" customHeight="false" outlineLevel="0" collapsed="false">
      <c r="V235" s="17" t="n">
        <f aca="false">30+215*$W$5</f>
        <v>56.875</v>
      </c>
      <c r="W235" s="17" t="n">
        <f aca="false">-Delta_c*V235</f>
        <v>-5.75980131642595</v>
      </c>
      <c r="Y235" s="11" t="n">
        <f aca="false">(-W235/$W$5*Y234)/(Rho_a-W235/$W$5)</f>
        <v>-226.515217194458</v>
      </c>
      <c r="Z235" s="11" t="n">
        <f aca="false">IF(V235&lt;Floor_F,MAX((-(Cost_k*Ubar_c+Delay_D)*(1-EXP(-Rho_a*LN((Top_c-V235)/(Top_c-Floor_F))/Delta_c))/Rho_a+EXP(-Rho_a*LN((Top_c-V235)/(Top_c-Floor_F))/Delta_c)*(-Cost_k*Delta_c*Floor_F/Rho_a)),(-Delay_D/Rho_a)),(EXP(-Rho_a*LN(V235/Floor_F)/Delta_c)*(-Cost_k*Delta_c*Floor_F/Rho_a)))</f>
        <v>-226.499748359475</v>
      </c>
      <c r="AA235" s="22" t="n">
        <f aca="false">ABS(Y235-Z235)</f>
        <v>0.0154688349836363</v>
      </c>
      <c r="AC235" s="17" t="n">
        <f aca="false">30+215*$AD$5</f>
        <v>43.4375</v>
      </c>
      <c r="AD235" s="17" t="n">
        <f aca="false">Ubar_c-Delta_c*AC235</f>
        <v>5.72815405644559</v>
      </c>
      <c r="AE235" s="11" t="n">
        <f aca="false">(-(Cost_k*Ubar_c+Delay_D)+AD235/$AD$5*AE236)/(Rho_a+AD235/$AD$5)</f>
        <v>-335.697641511429</v>
      </c>
      <c r="AF235" s="11" t="n">
        <f aca="false">MAX(AE235,-Delay_D/Rho_a)</f>
        <v>-335.697641511429</v>
      </c>
      <c r="AG235" s="11" t="n">
        <f aca="false">IF(AC235&lt;Floor_F,MAX((-(Cost_k*Ubar_c+Delay_D)*(1-EXP(-Rho_a*LN((Top_c-AC235)/(Top_c-Floor_F))/Delta_c))/Rho_a+EXP(-Rho_a*LN((Top_c-AC235)/(Top_c-Floor_F))/Delta_c)*(-Cost_k*Delta_c*Floor_F/Rho_a)),(-Delay_D/Rho_a)),(EXP(-Rho_a*LN(AC235/Floor_F)/Delta_c)*(-Cost_k*Delta_c*Floor_F/Rho_a)))</f>
        <v>-335.745877992226</v>
      </c>
      <c r="AH235" s="22" t="n">
        <f aca="false">ABS(AF235-AG235)</f>
        <v>0.0482364807974705</v>
      </c>
    </row>
    <row r="236" customFormat="false" ht="15" hidden="false" customHeight="false" outlineLevel="0" collapsed="false">
      <c r="V236" s="17" t="n">
        <f aca="false">30+216*$W$5</f>
        <v>57</v>
      </c>
      <c r="W236" s="17" t="n">
        <f aca="false">-Delta_c*V236</f>
        <v>-5.7724602204181</v>
      </c>
      <c r="Y236" s="11" t="n">
        <f aca="false">(-W236/$W$5*Y235)/(Rho_a-W236/$W$5)</f>
        <v>-226.048675652847</v>
      </c>
      <c r="Z236" s="11" t="n">
        <f aca="false">IF(V236&lt;Floor_F,MAX((-(Cost_k*Ubar_c+Delay_D)*(1-EXP(-Rho_a*LN((Top_c-V236)/(Top_c-Floor_F))/Delta_c))/Rho_a+EXP(-Rho_a*LN((Top_c-V236)/(Top_c-Floor_F))/Delta_c)*(-Cost_k*Delta_c*Floor_F/Rho_a)),(-Delay_D/Rho_a)),(EXP(-Rho_a*LN(V236/Floor_F)/Delta_c)*(-Cost_k*Delta_c*Floor_F/Rho_a)))</f>
        <v>-226.032245654582</v>
      </c>
      <c r="AA236" s="22" t="n">
        <f aca="false">ABS(Y236-Z236)</f>
        <v>0.0164299982648686</v>
      </c>
      <c r="AC236" s="17" t="n">
        <f aca="false">30+216*$AD$5</f>
        <v>43.5</v>
      </c>
      <c r="AD236" s="17" t="n">
        <f aca="false">Ubar_c-Delta_c*AC236</f>
        <v>5.72182460444952</v>
      </c>
      <c r="AE236" s="11" t="n">
        <f aca="false">(-(Cost_k*Ubar_c+Delay_D)+AD236/$AD$5*AE237)/(Rho_a+AD236/$AD$5)</f>
        <v>-335.25560239853</v>
      </c>
      <c r="AF236" s="11" t="n">
        <f aca="false">MAX(AE236,-Delay_D/Rho_a)</f>
        <v>-335.25560239853</v>
      </c>
      <c r="AG236" s="11" t="n">
        <f aca="false">IF(AC236&lt;Floor_F,MAX((-(Cost_k*Ubar_c+Delay_D)*(1-EXP(-Rho_a*LN((Top_c-AC236)/(Top_c-Floor_F))/Delta_c))/Rho_a+EXP(-Rho_a*LN((Top_c-AC236)/(Top_c-Floor_F))/Delta_c)*(-Cost_k*Delta_c*Floor_F/Rho_a)),(-Delay_D/Rho_a)),(EXP(-Rho_a*LN(AC236/Floor_F)/Delta_c)*(-Cost_k*Delta_c*Floor_F/Rho_a)))</f>
        <v>-335.365332985087</v>
      </c>
      <c r="AH236" s="22" t="n">
        <f aca="false">ABS(AF236-AG236)</f>
        <v>0.109730586556793</v>
      </c>
    </row>
    <row r="237" customFormat="false" ht="15" hidden="false" customHeight="false" outlineLevel="0" collapsed="false">
      <c r="V237" s="17" t="n">
        <f aca="false">30+217*$W$5</f>
        <v>57.125</v>
      </c>
      <c r="W237" s="17" t="n">
        <f aca="false">-Delta_c*V237</f>
        <v>-5.78511912441024</v>
      </c>
      <c r="Y237" s="11" t="n">
        <f aca="false">(-W237/$W$5*Y236)/(Rho_a-W237/$W$5)</f>
        <v>-225.584111704698</v>
      </c>
      <c r="Z237" s="11" t="n">
        <f aca="false">IF(V237&lt;Floor_F,MAX((-(Cost_k*Ubar_c+Delay_D)*(1-EXP(-Rho_a*LN((Top_c-V237)/(Top_c-Floor_F))/Delta_c))/Rho_a+EXP(-Rho_a*LN((Top_c-V237)/(Top_c-Floor_F))/Delta_c)*(-Cost_k*Delta_c*Floor_F/Rho_a)),(-Delay_D/Rho_a)),(EXP(-Rho_a*LN(V237/Floor_F)/Delta_c)*(-Cost_k*Delta_c*Floor_F/Rho_a)))</f>
        <v>-225.566728826407</v>
      </c>
      <c r="AA237" s="22" t="n">
        <f aca="false">ABS(Y237-Z237)</f>
        <v>0.0173828782908743</v>
      </c>
      <c r="AC237" s="17" t="n">
        <f aca="false">30+217*$AD$5</f>
        <v>43.5625</v>
      </c>
      <c r="AD237" s="17" t="n">
        <f aca="false">Ubar_c-Delta_c*AC237</f>
        <v>5.71549515245345</v>
      </c>
      <c r="AE237" s="11" t="n">
        <f aca="false">(-(Cost_k*Ubar_c+Delay_D)+AD237/$AD$5*AE238)/(Rho_a+AD237/$AD$5)</f>
        <v>-334.812614105531</v>
      </c>
      <c r="AF237" s="11" t="n">
        <f aca="false">MAX(AE237,-Delay_D/Rho_a)</f>
        <v>-334.812614105531</v>
      </c>
      <c r="AG237" s="11" t="n">
        <f aca="false">IF(AC237&lt;Floor_F,MAX((-(Cost_k*Ubar_c+Delay_D)*(1-EXP(-Rho_a*LN((Top_c-AC237)/(Top_c-Floor_F))/Delta_c))/Rho_a+EXP(-Rho_a*LN((Top_c-AC237)/(Top_c-Floor_F))/Delta_c)*(-Cost_k*Delta_c*Floor_F/Rho_a)),(-Delay_D/Rho_a)),(EXP(-Rho_a*LN(AC237/Floor_F)/Delta_c)*(-Cost_k*Delta_c*Floor_F/Rho_a)))</f>
        <v>-334.921982927882</v>
      </c>
      <c r="AH237" s="22" t="n">
        <f aca="false">ABS(AF237-AG237)</f>
        <v>0.109368822351371</v>
      </c>
    </row>
    <row r="238" customFormat="false" ht="15" hidden="false" customHeight="false" outlineLevel="0" collapsed="false">
      <c r="V238" s="17" t="n">
        <f aca="false">30+218*$W$5</f>
        <v>57.25</v>
      </c>
      <c r="W238" s="17" t="n">
        <f aca="false">-Delta_c*V238</f>
        <v>-5.79777802840239</v>
      </c>
      <c r="Y238" s="11" t="n">
        <f aca="false">(-W238/$W$5*Y237)/(Rho_a-W238/$W$5)</f>
        <v>-225.121512676546</v>
      </c>
      <c r="Z238" s="11" t="n">
        <f aca="false">IF(V238&lt;Floor_F,MAX((-(Cost_k*Ubar_c+Delay_D)*(1-EXP(-Rho_a*LN((Top_c-V238)/(Top_c-Floor_F))/Delta_c))/Rho_a+EXP(-Rho_a*LN((Top_c-V238)/(Top_c-Floor_F))/Delta_c)*(-Cost_k*Delta_c*Floor_F/Rho_a)),(-Delay_D/Rho_a)),(EXP(-Rho_a*LN(V238/Floor_F)/Delta_c)*(-Cost_k*Delta_c*Floor_F/Rho_a)))</f>
        <v>-225.103185121429</v>
      </c>
      <c r="AA238" s="22" t="n">
        <f aca="false">ABS(Y238-Z238)</f>
        <v>0.0183275551175939</v>
      </c>
      <c r="AC238" s="17" t="n">
        <f aca="false">30+218*$AD$5</f>
        <v>43.625</v>
      </c>
      <c r="AD238" s="17" t="n">
        <f aca="false">Ubar_c-Delta_c*AC238</f>
        <v>5.70916570045737</v>
      </c>
      <c r="AE238" s="11" t="n">
        <f aca="false">(-(Cost_k*Ubar_c+Delay_D)+AD238/$AD$5*AE239)/(Rho_a+AD238/$AD$5)</f>
        <v>-334.368673540881</v>
      </c>
      <c r="AF238" s="11" t="n">
        <f aca="false">MAX(AE238,-Delay_D/Rho_a)</f>
        <v>-334.368673540881</v>
      </c>
      <c r="AG238" s="11" t="n">
        <f aca="false">IF(AC238&lt;Floor_F,MAX((-(Cost_k*Ubar_c+Delay_D)*(1-EXP(-Rho_a*LN((Top_c-AC238)/(Top_c-Floor_F))/Delta_c))/Rho_a+EXP(-Rho_a*LN((Top_c-AC238)/(Top_c-Floor_F))/Delta_c)*(-Cost_k*Delta_c*Floor_F/Rho_a)),(-Delay_D/Rho_a)),(EXP(-Rho_a*LN(AC238/Floor_F)/Delta_c)*(-Cost_k*Delta_c*Floor_F/Rho_a)))</f>
        <v>-334.477678795877</v>
      </c>
      <c r="AH238" s="22" t="n">
        <f aca="false">ABS(AF238-AG238)</f>
        <v>0.109005254995736</v>
      </c>
    </row>
    <row r="239" customFormat="false" ht="15" hidden="false" customHeight="false" outlineLevel="0" collapsed="false">
      <c r="V239" s="17" t="n">
        <f aca="false">30+219*$W$5</f>
        <v>57.375</v>
      </c>
      <c r="W239" s="17" t="n">
        <f aca="false">-Delta_c*V239</f>
        <v>-5.81043693239453</v>
      </c>
      <c r="Y239" s="11" t="n">
        <f aca="false">(-W239/$W$5*Y238)/(Rho_a-W239/$W$5)</f>
        <v>-224.660866003522</v>
      </c>
      <c r="Z239" s="11" t="n">
        <f aca="false">IF(V239&lt;Floor_F,MAX((-(Cost_k*Ubar_c+Delay_D)*(1-EXP(-Rho_a*LN((Top_c-V239)/(Top_c-Floor_F))/Delta_c))/Rho_a+EXP(-Rho_a*LN((Top_c-V239)/(Top_c-Floor_F))/Delta_c)*(-Cost_k*Delta_c*Floor_F/Rho_a)),(-Delay_D/Rho_a)),(EXP(-Rho_a*LN(V239/Floor_F)/Delta_c)*(-Cost_k*Delta_c*Floor_F/Rho_a)))</f>
        <v>-224.641601895639</v>
      </c>
      <c r="AA239" s="22" t="n">
        <f aca="false">ABS(Y239-Z239)</f>
        <v>0.0192641078836289</v>
      </c>
      <c r="AC239" s="17" t="n">
        <f aca="false">30+219*$AD$5</f>
        <v>43.6875</v>
      </c>
      <c r="AD239" s="17" t="n">
        <f aca="false">Ubar_c-Delta_c*AC239</f>
        <v>5.7028362484613</v>
      </c>
      <c r="AE239" s="11" t="n">
        <f aca="false">(-(Cost_k*Ubar_c+Delay_D)+AD239/$AD$5*AE240)/(Rho_a+AD239/$AD$5)</f>
        <v>-333.923777599524</v>
      </c>
      <c r="AF239" s="11" t="n">
        <f aca="false">MAX(AE239,-Delay_D/Rho_a)</f>
        <v>-333.923777599524</v>
      </c>
      <c r="AG239" s="11" t="n">
        <f aca="false">IF(AC239&lt;Floor_F,MAX((-(Cost_k*Ubar_c+Delay_D)*(1-EXP(-Rho_a*LN((Top_c-AC239)/(Top_c-Floor_F))/Delta_c))/Rho_a+EXP(-Rho_a*LN((Top_c-AC239)/(Top_c-Floor_F))/Delta_c)*(-Cost_k*Delta_c*Floor_F/Rho_a)),(-Delay_D/Rho_a)),(EXP(-Rho_a*LN(AC239/Floor_F)/Delta_c)*(-Cost_k*Delta_c*Floor_F/Rho_a)))</f>
        <v>-334.032417474783</v>
      </c>
      <c r="AH239" s="22" t="n">
        <f aca="false">ABS(AF239-AG239)</f>
        <v>0.1086398752592</v>
      </c>
    </row>
    <row r="240" customFormat="false" ht="15" hidden="false" customHeight="false" outlineLevel="0" collapsed="false">
      <c r="V240" s="17" t="n">
        <f aca="false">30+220*$W$5</f>
        <v>57.5</v>
      </c>
      <c r="W240" s="17" t="n">
        <f aca="false">-Delta_c*V240</f>
        <v>-5.82309583638668</v>
      </c>
      <c r="Y240" s="11" t="n">
        <f aca="false">(-W240/$W$5*Y239)/(Rho_a-W240/$W$5)</f>
        <v>-224.202159228188</v>
      </c>
      <c r="Z240" s="11" t="n">
        <f aca="false">IF(V240&lt;Floor_F,MAX((-(Cost_k*Ubar_c+Delay_D)*(1-EXP(-Rho_a*LN((Top_c-V240)/(Top_c-Floor_F))/Delta_c))/Rho_a+EXP(-Rho_a*LN((Top_c-V240)/(Top_c-Floor_F))/Delta_c)*(-Cost_k*Delta_c*Floor_F/Rho_a)),(-Delay_D/Rho_a)),(EXP(-Rho_a*LN(V240/Floor_F)/Delta_c)*(-Cost_k*Delta_c*Floor_F/Rho_a)))</f>
        <v>-224.181966613365</v>
      </c>
      <c r="AA240" s="22" t="n">
        <f aca="false">ABS(Y240-Z240)</f>
        <v>0.0201926148230029</v>
      </c>
      <c r="AC240" s="17" t="n">
        <f aca="false">30+220*$AD$5</f>
        <v>43.75</v>
      </c>
      <c r="AD240" s="17" t="n">
        <f aca="false">Ubar_c-Delta_c*AC240</f>
        <v>5.69650679646523</v>
      </c>
      <c r="AE240" s="11" t="n">
        <f aca="false">(-(Cost_k*Ubar_c+Delay_D)+AD240/$AD$5*AE241)/(Rho_a+AD240/$AD$5)</f>
        <v>-333.477923162818</v>
      </c>
      <c r="AF240" s="11" t="n">
        <f aca="false">MAX(AE240,-Delay_D/Rho_a)</f>
        <v>-333.477923162818</v>
      </c>
      <c r="AG240" s="11" t="n">
        <f aca="false">IF(AC240&lt;Floor_F,MAX((-(Cost_k*Ubar_c+Delay_D)*(1-EXP(-Rho_a*LN((Top_c-AC240)/(Top_c-Floor_F))/Delta_c))/Rho_a+EXP(-Rho_a*LN((Top_c-AC240)/(Top_c-Floor_F))/Delta_c)*(-Cost_k*Delta_c*Floor_F/Rho_a)),(-Delay_D/Rho_a)),(EXP(-Rho_a*LN(AC240/Floor_F)/Delta_c)*(-Cost_k*Delta_c*Floor_F/Rho_a)))</f>
        <v>-333.586195836674</v>
      </c>
      <c r="AH240" s="22" t="n">
        <f aca="false">ABS(AF240-AG240)</f>
        <v>0.108272673855993</v>
      </c>
    </row>
    <row r="241" customFormat="false" ht="15" hidden="false" customHeight="false" outlineLevel="0" collapsed="false">
      <c r="V241" s="17" t="n">
        <f aca="false">30+221*$W$5</f>
        <v>57.625</v>
      </c>
      <c r="W241" s="17" t="n">
        <f aca="false">-Delta_c*V241</f>
        <v>-5.83575474037882</v>
      </c>
      <c r="Y241" s="11" t="n">
        <f aca="false">(-W241/$W$5*Y240)/(Rho_a-W241/$W$5)</f>
        <v>-223.74537999939</v>
      </c>
      <c r="Z241" s="11" t="n">
        <f aca="false">IF(V241&lt;Floor_F,MAX((-(Cost_k*Ubar_c+Delay_D)*(1-EXP(-Rho_a*LN((Top_c-V241)/(Top_c-Floor_F))/Delta_c))/Rho_a+EXP(-Rho_a*LN((Top_c-V241)/(Top_c-Floor_F))/Delta_c)*(-Cost_k*Delta_c*Floor_F/Rho_a)),(-Delay_D/Rho_a)),(EXP(-Rho_a*LN(V241/Floor_F)/Delta_c)*(-Cost_k*Delta_c*Floor_F/Rho_a)))</f>
        <v>-223.724266846113</v>
      </c>
      <c r="AA241" s="22" t="n">
        <f aca="false">ABS(Y241-Z241)</f>
        <v>0.0211131532769286</v>
      </c>
      <c r="AC241" s="17" t="n">
        <f aca="false">30+221*$AD$5</f>
        <v>43.8125</v>
      </c>
      <c r="AD241" s="17" t="n">
        <f aca="false">Ubar_c-Delta_c*AC241</f>
        <v>5.69017734446916</v>
      </c>
      <c r="AE241" s="11" t="n">
        <f aca="false">(-(Cost_k*Ubar_c+Delay_D)+AD241/$AD$5*AE242)/(Rho_a+AD241/$AD$5)</f>
        <v>-333.031107098468</v>
      </c>
      <c r="AF241" s="11" t="n">
        <f aca="false">MAX(AE241,-Delay_D/Rho_a)</f>
        <v>-333.031107098468</v>
      </c>
      <c r="AG241" s="11" t="n">
        <f aca="false">IF(AC241&lt;Floor_F,MAX((-(Cost_k*Ubar_c+Delay_D)*(1-EXP(-Rho_a*LN((Top_c-AC241)/(Top_c-Floor_F))/Delta_c))/Rho_a+EXP(-Rho_a*LN((Top_c-AC241)/(Top_c-Floor_F))/Delta_c)*(-Cost_k*Delta_c*Floor_F/Rho_a)),(-Delay_D/Rho_a)),(EXP(-Rho_a*LN(AC241/Floor_F)/Delta_c)*(-Cost_k*Delta_c*Floor_F/Rho_a)))</f>
        <v>-333.139010739913</v>
      </c>
      <c r="AH241" s="22" t="n">
        <f aca="false">ABS(AF241-AG241)</f>
        <v>0.107903641445034</v>
      </c>
    </row>
    <row r="242" customFormat="false" ht="15" hidden="false" customHeight="false" outlineLevel="0" collapsed="false">
      <c r="V242" s="17" t="n">
        <f aca="false">30+222*$W$5</f>
        <v>57.75</v>
      </c>
      <c r="W242" s="17" t="n">
        <f aca="false">-Delta_c*V242</f>
        <v>-5.84841364437097</v>
      </c>
      <c r="Y242" s="11" t="n">
        <f aca="false">(-W242/$W$5*Y241)/(Rho_a-W242/$W$5)</f>
        <v>-223.290516071122</v>
      </c>
      <c r="Z242" s="11" t="n">
        <f aca="false">IF(V242&lt;Floor_F,MAX((-(Cost_k*Ubar_c+Delay_D)*(1-EXP(-Rho_a*LN((Top_c-V242)/(Top_c-Floor_F))/Delta_c))/Rho_a+EXP(-Rho_a*LN((Top_c-V242)/(Top_c-Floor_F))/Delta_c)*(-Cost_k*Delta_c*Floor_F/Rho_a)),(-Delay_D/Rho_a)),(EXP(-Rho_a*LN(V242/Floor_F)/Delta_c)*(-Cost_k*Delta_c*Floor_F/Rho_a)))</f>
        <v>-223.268490271416</v>
      </c>
      <c r="AA242" s="22" t="n">
        <f aca="false">ABS(Y242-Z242)</f>
        <v>0.0220257997060287</v>
      </c>
      <c r="AC242" s="17" t="n">
        <f aca="false">30+222*$AD$5</f>
        <v>43.875</v>
      </c>
      <c r="AD242" s="17" t="n">
        <f aca="false">Ubar_c-Delta_c*AC242</f>
        <v>5.68384789247308</v>
      </c>
      <c r="AE242" s="11" t="n">
        <f aca="false">(-(Cost_k*Ubar_c+Delay_D)+AD242/$AD$5*AE243)/(Rho_a+AD242/$AD$5)</f>
        <v>-332.583326260445</v>
      </c>
      <c r="AF242" s="11" t="n">
        <f aca="false">MAX(AE242,-Delay_D/Rho_a)</f>
        <v>-332.583326260445</v>
      </c>
      <c r="AG242" s="11" t="n">
        <f aca="false">IF(AC242&lt;Floor_F,MAX((-(Cost_k*Ubar_c+Delay_D)*(1-EXP(-Rho_a*LN((Top_c-AC242)/(Top_c-Floor_F))/Delta_c))/Rho_a+EXP(-Rho_a*LN((Top_c-AC242)/(Top_c-Floor_F))/Delta_c)*(-Cost_k*Delta_c*Floor_F/Rho_a)),(-Delay_D/Rho_a)),(EXP(-Rho_a*LN(AC242/Floor_F)/Delta_c)*(-Cost_k*Delta_c*Floor_F/Rho_a)))</f>
        <v>-332.690859029075</v>
      </c>
      <c r="AH242" s="22" t="n">
        <f aca="false">ABS(AF242-AG242)</f>
        <v>0.10753276862954</v>
      </c>
    </row>
    <row r="243" customFormat="false" ht="15" hidden="false" customHeight="false" outlineLevel="0" collapsed="false">
      <c r="V243" s="17" t="n">
        <f aca="false">30+223*$W$5</f>
        <v>57.875</v>
      </c>
      <c r="W243" s="17" t="n">
        <f aca="false">-Delta_c*V243</f>
        <v>-5.86107254836311</v>
      </c>
      <c r="Y243" s="11" t="n">
        <f aca="false">(-W243/$W$5*Y242)/(Rho_a-W243/$W$5)</f>
        <v>-222.837555301406</v>
      </c>
      <c r="Z243" s="11" t="n">
        <f aca="false">IF(V243&lt;Floor_F,MAX((-(Cost_k*Ubar_c+Delay_D)*(1-EXP(-Rho_a*LN((Top_c-V243)/(Top_c-Floor_F))/Delta_c))/Rho_a+EXP(-Rho_a*LN((Top_c-V243)/(Top_c-Floor_F))/Delta_c)*(-Cost_k*Delta_c*Floor_F/Rho_a)),(-Delay_D/Rho_a)),(EXP(-Rho_a*LN(V243/Floor_F)/Delta_c)*(-Cost_k*Delta_c*Floor_F/Rho_a)))</f>
        <v>-222.814624671704</v>
      </c>
      <c r="AA243" s="22" t="n">
        <f aca="false">ABS(Y243-Z243)</f>
        <v>0.0229306297017899</v>
      </c>
      <c r="AC243" s="17" t="n">
        <f aca="false">30+223*$AD$5</f>
        <v>43.9375</v>
      </c>
      <c r="AD243" s="17" t="n">
        <f aca="false">Ubar_c-Delta_c*AC243</f>
        <v>5.67751844047701</v>
      </c>
      <c r="AE243" s="11" t="n">
        <f aca="false">(-(Cost_k*Ubar_c+Delay_D)+AD243/$AD$5*AE244)/(Rho_a+AD243/$AD$5)</f>
        <v>-332.134577488914</v>
      </c>
      <c r="AF243" s="11" t="n">
        <f aca="false">MAX(AE243,-Delay_D/Rho_a)</f>
        <v>-332.134577488914</v>
      </c>
      <c r="AG243" s="11" t="n">
        <f aca="false">IF(AC243&lt;Floor_F,MAX((-(Cost_k*Ubar_c+Delay_D)*(1-EXP(-Rho_a*LN((Top_c-AC243)/(Top_c-Floor_F))/Delta_c))/Rho_a+EXP(-Rho_a*LN((Top_c-AC243)/(Top_c-Floor_F))/Delta_c)*(-Cost_k*Delta_c*Floor_F/Rho_a)),(-Delay_D/Rho_a)),(EXP(-Rho_a*LN(AC243/Floor_F)/Delta_c)*(-Cost_k*Delta_c*Floor_F/Rho_a)))</f>
        <v>-332.24173753487</v>
      </c>
      <c r="AH243" s="22" t="n">
        <f aca="false">ABS(AF243-AG243)</f>
        <v>0.10716004595605</v>
      </c>
    </row>
    <row r="244" customFormat="false" ht="15" hidden="false" customHeight="false" outlineLevel="0" collapsed="false">
      <c r="V244" s="17" t="n">
        <f aca="false">30+224*$W$5</f>
        <v>58</v>
      </c>
      <c r="W244" s="17" t="n">
        <f aca="false">-Delta_c*V244</f>
        <v>-5.87373145235526</v>
      </c>
      <c r="Y244" s="11" t="n">
        <f aca="false">(-W244/$W$5*Y243)/(Rho_a-W244/$W$5)</f>
        <v>-222.386485651189</v>
      </c>
      <c r="Z244" s="11" t="n">
        <f aca="false">IF(V244&lt;Floor_F,MAX((-(Cost_k*Ubar_c+Delay_D)*(1-EXP(-Rho_a*LN((Top_c-V244)/(Top_c-Floor_F))/Delta_c))/Rho_a+EXP(-Rho_a*LN((Top_c-V244)/(Top_c-Floor_F))/Delta_c)*(-Cost_k*Delta_c*Floor_F/Rho_a)),(-Delay_D/Rho_a)),(EXP(-Rho_a*LN(V244/Floor_F)/Delta_c)*(-Cost_k*Delta_c*Floor_F/Rho_a)))</f>
        <v>-222.36265793319</v>
      </c>
      <c r="AA244" s="22" t="n">
        <f aca="false">ABS(Y244-Z244)</f>
        <v>0.0238277179984152</v>
      </c>
      <c r="AC244" s="17" t="n">
        <f aca="false">30+224*$AD$5</f>
        <v>44</v>
      </c>
      <c r="AD244" s="17" t="n">
        <f aca="false">Ubar_c-Delta_c*AC244</f>
        <v>5.67118898848094</v>
      </c>
      <c r="AE244" s="11" t="n">
        <f aca="false">(-(Cost_k*Ubar_c+Delay_D)+AD244/$AD$5*AE245)/(Rho_a+AD244/$AD$5)</f>
        <v>-331.684857610156</v>
      </c>
      <c r="AF244" s="11" t="n">
        <f aca="false">MAX(AE244,-Delay_D/Rho_a)</f>
        <v>-331.684857610156</v>
      </c>
      <c r="AG244" s="11" t="n">
        <f aca="false">IF(AC244&lt;Floor_F,MAX((-(Cost_k*Ubar_c+Delay_D)*(1-EXP(-Rho_a*LN((Top_c-AC244)/(Top_c-Floor_F))/Delta_c))/Rho_a+EXP(-Rho_a*LN((Top_c-AC244)/(Top_c-Floor_F))/Delta_c)*(-Cost_k*Delta_c*Floor_F/Rho_a)),(-Delay_D/Rho_a)),(EXP(-Rho_a*LN(AC244/Floor_F)/Delta_c)*(-Cost_k*Delta_c*Floor_F/Rho_a)))</f>
        <v>-331.791643074071</v>
      </c>
      <c r="AH244" s="22" t="n">
        <f aca="false">ABS(AF244-AG244)</f>
        <v>0.106785463915003</v>
      </c>
    </row>
    <row r="245" customFormat="false" ht="15" hidden="false" customHeight="false" outlineLevel="0" collapsed="false">
      <c r="V245" s="17" t="n">
        <f aca="false">30+225*$W$5</f>
        <v>58.125</v>
      </c>
      <c r="W245" s="17" t="n">
        <f aca="false">-Delta_c*V245</f>
        <v>-5.8863903563474</v>
      </c>
      <c r="Y245" s="11" t="n">
        <f aca="false">(-W245/$W$5*Y244)/(Rho_a-W245/$W$5)</f>
        <v>-221.937295183248</v>
      </c>
      <c r="Z245" s="11" t="n">
        <f aca="false">IF(V245&lt;Floor_F,MAX((-(Cost_k*Ubar_c+Delay_D)*(1-EXP(-Rho_a*LN((Top_c-V245)/(Top_c-Floor_F))/Delta_c))/Rho_a+EXP(-Rho_a*LN((Top_c-V245)/(Top_c-Floor_F))/Delta_c)*(-Cost_k*Delta_c*Floor_F/Rho_a)),(-Delay_D/Rho_a)),(EXP(-Rho_a*LN(V245/Floor_F)/Delta_c)*(-Cost_k*Delta_c*Floor_F/Rho_a)))</f>
        <v>-221.912578044764</v>
      </c>
      <c r="AA245" s="22" t="n">
        <f aca="false">ABS(Y245-Z245)</f>
        <v>0.0247171384840215</v>
      </c>
      <c r="AC245" s="17" t="n">
        <f aca="false">30+225*$AD$5</f>
        <v>44.0625</v>
      </c>
      <c r="AD245" s="17" t="n">
        <f aca="false">Ubar_c-Delta_c*AC245</f>
        <v>5.66485953648487</v>
      </c>
      <c r="AE245" s="11" t="n">
        <f aca="false">(-(Cost_k*Ubar_c+Delay_D)+AD245/$AD$5*AE246)/(Rho_a+AD245/$AD$5)</f>
        <v>-331.234163436492</v>
      </c>
      <c r="AF245" s="11" t="n">
        <f aca="false">MAX(AE245,-Delay_D/Rho_a)</f>
        <v>-331.234163436492</v>
      </c>
      <c r="AG245" s="11" t="n">
        <f aca="false">IF(AC245&lt;Floor_F,MAX((-(Cost_k*Ubar_c+Delay_D)*(1-EXP(-Rho_a*LN((Top_c-AC245)/(Top_c-Floor_F))/Delta_c))/Rho_a+EXP(-Rho_a*LN((Top_c-AC245)/(Top_c-Floor_F))/Delta_c)*(-Cost_k*Delta_c*Floor_F/Rho_a)),(-Delay_D/Rho_a)),(EXP(-Rho_a*LN(AC245/Floor_F)/Delta_c)*(-Cost_k*Delta_c*Floor_F/Rho_a)))</f>
        <v>-331.340572449432</v>
      </c>
      <c r="AH245" s="22" t="n">
        <f aca="false">ABS(AF245-AG245)</f>
        <v>0.10640901293948</v>
      </c>
    </row>
    <row r="246" customFormat="false" ht="15" hidden="false" customHeight="false" outlineLevel="0" collapsed="false">
      <c r="V246" s="17" t="n">
        <f aca="false">30+226*$W$5</f>
        <v>58.25</v>
      </c>
      <c r="W246" s="17" t="n">
        <f aca="false">-Delta_c*V246</f>
        <v>-5.89904926033955</v>
      </c>
      <c r="Y246" s="11" t="n">
        <f aca="false">(-W246/$W$5*Y245)/(Rho_a-W246/$W$5)</f>
        <v>-221.489972061115</v>
      </c>
      <c r="Z246" s="11" t="n">
        <f aca="false">IF(V246&lt;Floor_F,MAX((-(Cost_k*Ubar_c+Delay_D)*(1-EXP(-Rho_a*LN((Top_c-V246)/(Top_c-Floor_F))/Delta_c))/Rho_a+EXP(-Rho_a*LN((Top_c-V246)/(Top_c-Floor_F))/Delta_c)*(-Cost_k*Delta_c*Floor_F/Rho_a)),(-Delay_D/Rho_a)),(EXP(-Rho_a*LN(V246/Floor_F)/Delta_c)*(-Cost_k*Delta_c*Floor_F/Rho_a)))</f>
        <v>-221.464373096903</v>
      </c>
      <c r="AA246" s="22" t="n">
        <f aca="false">ABS(Y246-Z246)</f>
        <v>0.0255989642118379</v>
      </c>
      <c r="AC246" s="17" t="n">
        <f aca="false">30+226*$AD$5</f>
        <v>44.125</v>
      </c>
      <c r="AD246" s="17" t="n">
        <f aca="false">Ubar_c-Delta_c*AC246</f>
        <v>5.65853008448879</v>
      </c>
      <c r="AE246" s="11" t="n">
        <f aca="false">(-(Cost_k*Ubar_c+Delay_D)+AD246/$AD$5*AE247)/(Rho_a+AD246/$AD$5)</f>
        <v>-330.782491766207</v>
      </c>
      <c r="AF246" s="11" t="n">
        <f aca="false">MAX(AE246,-Delay_D/Rho_a)</f>
        <v>-330.782491766207</v>
      </c>
      <c r="AG246" s="11" t="n">
        <f aca="false">IF(AC246&lt;Floor_F,MAX((-(Cost_k*Ubar_c+Delay_D)*(1-EXP(-Rho_a*LN((Top_c-AC246)/(Top_c-Floor_F))/Delta_c))/Rho_a+EXP(-Rho_a*LN((Top_c-AC246)/(Top_c-Floor_F))/Delta_c)*(-Cost_k*Delta_c*Floor_F/Rho_a)),(-Delay_D/Rho_a)),(EXP(-Rho_a*LN(AC246/Floor_F)/Delta_c)*(-Cost_k*Delta_c*Floor_F/Rho_a)))</f>
        <v>-330.888522449612</v>
      </c>
      <c r="AH246" s="22" t="n">
        <f aca="false">ABS(AF246-AG246)</f>
        <v>0.106030683405208</v>
      </c>
    </row>
    <row r="247" customFormat="false" ht="15" hidden="false" customHeight="false" outlineLevel="0" collapsed="false">
      <c r="V247" s="17" t="n">
        <f aca="false">30+227*$W$5</f>
        <v>58.375</v>
      </c>
      <c r="W247" s="17" t="n">
        <f aca="false">-Delta_c*V247</f>
        <v>-5.91170816433169</v>
      </c>
      <c r="Y247" s="11" t="n">
        <f aca="false">(-W247/$W$5*Y246)/(Rho_a-W247/$W$5)</f>
        <v>-221.044504548013</v>
      </c>
      <c r="Z247" s="11" t="n">
        <f aca="false">IF(V247&lt;Floor_F,MAX((-(Cost_k*Ubar_c+Delay_D)*(1-EXP(-Rho_a*LN((Top_c-V247)/(Top_c-Floor_F))/Delta_c))/Rho_a+EXP(-Rho_a*LN((Top_c-V247)/(Top_c-Floor_F))/Delta_c)*(-Cost_k*Delta_c*Floor_F/Rho_a)),(-Delay_D/Rho_a)),(EXP(-Rho_a*LN(V247/Floor_F)/Delta_c)*(-Cost_k*Delta_c*Floor_F/Rho_a)))</f>
        <v>-221.018031280601</v>
      </c>
      <c r="AA247" s="22" t="n">
        <f aca="false">ABS(Y247-Z247)</f>
        <v>0.0264732674114896</v>
      </c>
      <c r="AC247" s="17" t="n">
        <f aca="false">30+227*$AD$5</f>
        <v>44.1875</v>
      </c>
      <c r="AD247" s="17" t="n">
        <f aca="false">Ubar_c-Delta_c*AC247</f>
        <v>5.65220063249272</v>
      </c>
      <c r="AE247" s="11" t="n">
        <f aca="false">(-(Cost_k*Ubar_c+Delay_D)+AD247/$AD$5*AE248)/(Rho_a+AD247/$AD$5)</f>
        <v>-330.32983938347</v>
      </c>
      <c r="AF247" s="11" t="n">
        <f aca="false">MAX(AE247,-Delay_D/Rho_a)</f>
        <v>-330.32983938347</v>
      </c>
      <c r="AG247" s="11" t="n">
        <f aca="false">IF(AC247&lt;Floor_F,MAX((-(Cost_k*Ubar_c+Delay_D)*(1-EXP(-Rho_a*LN((Top_c-AC247)/(Top_c-Floor_F))/Delta_c))/Rho_a+EXP(-Rho_a*LN((Top_c-AC247)/(Top_c-Floor_F))/Delta_c)*(-Cost_k*Delta_c*Floor_F/Rho_a)),(-Delay_D/Rho_a)),(EXP(-Rho_a*LN(AC247/Floor_F)/Delta_c)*(-Cost_k*Delta_c*Floor_F/Rho_a)))</f>
        <v>-330.435489849101</v>
      </c>
      <c r="AH247" s="22" t="n">
        <f aca="false">ABS(AF247-AG247)</f>
        <v>0.105650465630106</v>
      </c>
    </row>
    <row r="248" customFormat="false" ht="15" hidden="false" customHeight="false" outlineLevel="0" collapsed="false">
      <c r="V248" s="17" t="n">
        <f aca="false">30+228*$W$5</f>
        <v>58.5</v>
      </c>
      <c r="W248" s="17" t="n">
        <f aca="false">-Delta_c*V248</f>
        <v>-5.92436706832384</v>
      </c>
      <c r="Y248" s="11" t="n">
        <f aca="false">(-W248/$W$5*Y247)/(Rho_a-W248/$W$5)</f>
        <v>-220.600881005802</v>
      </c>
      <c r="Z248" s="11" t="n">
        <f aca="false">IF(V248&lt;Floor_F,MAX((-(Cost_k*Ubar_c+Delay_D)*(1-EXP(-Rho_a*LN((Top_c-V248)/(Top_c-Floor_F))/Delta_c))/Rho_a+EXP(-Rho_a*LN((Top_c-V248)/(Top_c-Floor_F))/Delta_c)*(-Cost_k*Delta_c*Floor_F/Rho_a)),(-Delay_D/Rho_a)),(EXP(-Rho_a*LN(V248/Floor_F)/Delta_c)*(-Cost_k*Delta_c*Floor_F/Rho_a)))</f>
        <v>-220.573540886302</v>
      </c>
      <c r="AA248" s="22" t="n">
        <f aca="false">ABS(Y248-Z248)</f>
        <v>0.0273401194996552</v>
      </c>
      <c r="AC248" s="17" t="n">
        <f aca="false">30+228*$AD$5</f>
        <v>44.25</v>
      </c>
      <c r="AD248" s="17" t="n">
        <f aca="false">Ubar_c-Delta_c*AC248</f>
        <v>5.64587118049665</v>
      </c>
      <c r="AE248" s="11" t="n">
        <f aca="false">(-(Cost_k*Ubar_c+Delay_D)+AD248/$AD$5*AE249)/(Rho_a+AD248/$AD$5)</f>
        <v>-329.876203058259</v>
      </c>
      <c r="AF248" s="11" t="n">
        <f aca="false">MAX(AE248,-Delay_D/Rho_a)</f>
        <v>-329.876203058259</v>
      </c>
      <c r="AG248" s="11" t="n">
        <f aca="false">IF(AC248&lt;Floor_F,MAX((-(Cost_k*Ubar_c+Delay_D)*(1-EXP(-Rho_a*LN((Top_c-AC248)/(Top_c-Floor_F))/Delta_c))/Rho_a+EXP(-Rho_a*LN((Top_c-AC248)/(Top_c-Floor_F))/Delta_c)*(-Cost_k*Delta_c*Floor_F/Rho_a)),(-Delay_D/Rho_a)),(EXP(-Rho_a*LN(AC248/Floor_F)/Delta_c)*(-Cost_k*Delta_c*Floor_F/Rho_a)))</f>
        <v>-329.981471408133</v>
      </c>
      <c r="AH248" s="22" t="n">
        <f aca="false">ABS(AF248-AG248)</f>
        <v>0.105268349873938</v>
      </c>
    </row>
    <row r="249" customFormat="false" ht="15" hidden="false" customHeight="false" outlineLevel="0" collapsed="false">
      <c r="V249" s="17" t="n">
        <f aca="false">30+229*$W$5</f>
        <v>58.625</v>
      </c>
      <c r="W249" s="17" t="n">
        <f aca="false">-Delta_c*V249</f>
        <v>-5.93702597231598</v>
      </c>
      <c r="Y249" s="11" t="n">
        <f aca="false">(-W249/$W$5*Y248)/(Rho_a-W249/$W$5)</f>
        <v>-220.159089893947</v>
      </c>
      <c r="Z249" s="11" t="n">
        <f aca="false">IF(V249&lt;Floor_F,MAX((-(Cost_k*Ubar_c+Delay_D)*(1-EXP(-Rho_a*LN((Top_c-V249)/(Top_c-Floor_F))/Delta_c))/Rho_a+EXP(-Rho_a*LN((Top_c-V249)/(Top_c-Floor_F))/Delta_c)*(-Cost_k*Delta_c*Floor_F/Rho_a)),(-Delay_D/Rho_a)),(EXP(-Rho_a*LN(V249/Floor_F)/Delta_c)*(-Cost_k*Delta_c*Floor_F/Rho_a)))</f>
        <v>-220.130890302856</v>
      </c>
      <c r="AA249" s="22" t="n">
        <f aca="false">ABS(Y249-Z249)</f>
        <v>0.0281995910906971</v>
      </c>
      <c r="AC249" s="17" t="n">
        <f aca="false">30+229*$AD$5</f>
        <v>44.3125</v>
      </c>
      <c r="AD249" s="17" t="n">
        <f aca="false">Ubar_c-Delta_c*AC249</f>
        <v>5.63954172850058</v>
      </c>
      <c r="AE249" s="11" t="n">
        <f aca="false">(-(Cost_k*Ubar_c+Delay_D)+AD249/$AD$5*AE250)/(Rho_a+AD249/$AD$5)</f>
        <v>-329.421579546279</v>
      </c>
      <c r="AF249" s="11" t="n">
        <f aca="false">MAX(AE249,-Delay_D/Rho_a)</f>
        <v>-329.421579546279</v>
      </c>
      <c r="AG249" s="11" t="n">
        <f aca="false">IF(AC249&lt;Floor_F,MAX((-(Cost_k*Ubar_c+Delay_D)*(1-EXP(-Rho_a*LN((Top_c-AC249)/(Top_c-Floor_F))/Delta_c))/Rho_a+EXP(-Rho_a*LN((Top_c-AC249)/(Top_c-Floor_F))/Delta_c)*(-Cost_k*Delta_c*Floor_F/Rho_a)),(-Delay_D/Rho_a)),(EXP(-Rho_a*LN(AC249/Floor_F)/Delta_c)*(-Cost_k*Delta_c*Floor_F/Rho_a)))</f>
        <v>-329.526463872617</v>
      </c>
      <c r="AH249" s="22" t="n">
        <f aca="false">ABS(AF249-AG249)</f>
        <v>0.104884326337981</v>
      </c>
    </row>
    <row r="250" customFormat="false" ht="15" hidden="false" customHeight="false" outlineLevel="0" collapsed="false">
      <c r="V250" s="17" t="n">
        <f aca="false">30+230*$W$5</f>
        <v>58.75</v>
      </c>
      <c r="W250" s="17" t="n">
        <f aca="false">-Delta_c*V250</f>
        <v>-5.94968487630813</v>
      </c>
      <c r="Y250" s="11" t="n">
        <f aca="false">(-W250/$W$5*Y249)/(Rho_a-W250/$W$5)</f>
        <v>-219.719119768492</v>
      </c>
      <c r="Z250" s="11" t="n">
        <f aca="false">IF(V250&lt;Floor_F,MAX((-(Cost_k*Ubar_c+Delay_D)*(1-EXP(-Rho_a*LN((Top_c-V250)/(Top_c-Floor_F))/Delta_c))/Rho_a+EXP(-Rho_a*LN((Top_c-V250)/(Top_c-Floor_F))/Delta_c)*(-Cost_k*Delta_c*Floor_F/Rho_a)),(-Delay_D/Rho_a)),(EXP(-Rho_a*LN(V250/Floor_F)/Delta_c)*(-Cost_k*Delta_c*Floor_F/Rho_a)))</f>
        <v>-219.690068016484</v>
      </c>
      <c r="AA250" s="22" t="n">
        <f aca="false">ABS(Y250-Z250)</f>
        <v>0.0290517520075753</v>
      </c>
      <c r="AC250" s="17" t="n">
        <f aca="false">30+230*$AD$5</f>
        <v>44.375</v>
      </c>
      <c r="AD250" s="17" t="n">
        <f aca="false">Ubar_c-Delta_c*AC250</f>
        <v>5.6332122765045</v>
      </c>
      <c r="AE250" s="11" t="n">
        <f aca="false">(-(Cost_k*Ubar_c+Delay_D)+AD250/$AD$5*AE251)/(Rho_a+AD250/$AD$5)</f>
        <v>-328.965965588886</v>
      </c>
      <c r="AF250" s="11" t="n">
        <f aca="false">MAX(AE250,-Delay_D/Rho_a)</f>
        <v>-328.965965588886</v>
      </c>
      <c r="AG250" s="11" t="n">
        <f aca="false">IF(AC250&lt;Floor_F,MAX((-(Cost_k*Ubar_c+Delay_D)*(1-EXP(-Rho_a*LN((Top_c-AC250)/(Top_c-Floor_F))/Delta_c))/Rho_a+EXP(-Rho_a*LN((Top_c-AC250)/(Top_c-Floor_F))/Delta_c)*(-Cost_k*Delta_c*Floor_F/Rho_a)),(-Delay_D/Rho_a)),(EXP(-Rho_a*LN(AC250/Floor_F)/Delta_c)*(-Cost_k*Delta_c*Floor_F/Rho_a)))</f>
        <v>-329.07046397405</v>
      </c>
      <c r="AH250" s="22" t="n">
        <f aca="false">ABS(AF250-AG250)</f>
        <v>0.10449838516405</v>
      </c>
    </row>
    <row r="251" customFormat="false" ht="15" hidden="false" customHeight="false" outlineLevel="0" collapsed="false">
      <c r="V251" s="17" t="n">
        <f aca="false">30+231*$W$5</f>
        <v>58.875</v>
      </c>
      <c r="W251" s="17" t="n">
        <f aca="false">-Delta_c*V251</f>
        <v>-5.96234378030027</v>
      </c>
      <c r="Y251" s="11" t="n">
        <f aca="false">(-W251/$W$5*Y250)/(Rho_a-W251/$W$5)</f>
        <v>-219.280959281047</v>
      </c>
      <c r="Z251" s="11" t="n">
        <f aca="false">IF(V251&lt;Floor_F,MAX((-(Cost_k*Ubar_c+Delay_D)*(1-EXP(-Rho_a*LN((Top_c-V251)/(Top_c-Floor_F))/Delta_c))/Rho_a+EXP(-Rho_a*LN((Top_c-V251)/(Top_c-Floor_F))/Delta_c)*(-Cost_k*Delta_c*Floor_F/Rho_a)),(-Delay_D/Rho_a)),(EXP(-Rho_a*LN(V251/Floor_F)/Delta_c)*(-Cost_k*Delta_c*Floor_F/Rho_a)))</f>
        <v>-219.251062609755</v>
      </c>
      <c r="AA251" s="22" t="n">
        <f aca="false">ABS(Y251-Z251)</f>
        <v>0.0298966712918798</v>
      </c>
      <c r="AC251" s="17" t="n">
        <f aca="false">30+231*$AD$5</f>
        <v>44.4375</v>
      </c>
      <c r="AD251" s="17" t="n">
        <f aca="false">Ubar_c-Delta_c*AC251</f>
        <v>5.62688282450843</v>
      </c>
      <c r="AE251" s="11" t="n">
        <f aca="false">(-(Cost_k*Ubar_c+Delay_D)+AD251/$AD$5*AE252)/(Rho_a+AD251/$AD$5)</f>
        <v>-328.509357913006</v>
      </c>
      <c r="AF251" s="11" t="n">
        <f aca="false">MAX(AE251,-Delay_D/Rho_a)</f>
        <v>-328.509357913006</v>
      </c>
      <c r="AG251" s="11" t="n">
        <f aca="false">IF(AC251&lt;Floor_F,MAX((-(Cost_k*Ubar_c+Delay_D)*(1-EXP(-Rho_a*LN((Top_c-AC251)/(Top_c-Floor_F))/Delta_c))/Rho_a+EXP(-Rho_a*LN((Top_c-AC251)/(Top_c-Floor_F))/Delta_c)*(-Cost_k*Delta_c*Floor_F/Rho_a)),(-Delay_D/Rho_a)),(EXP(-Rho_a*LN(AC251/Floor_F)/Delta_c)*(-Cost_k*Delta_c*Floor_F/Rho_a)))</f>
        <v>-328.61346842944</v>
      </c>
      <c r="AH251" s="22" t="n">
        <f aca="false">ABS(AF251-AG251)</f>
        <v>0.104110516434901</v>
      </c>
    </row>
    <row r="252" customFormat="false" ht="15" hidden="false" customHeight="false" outlineLevel="0" collapsed="false">
      <c r="V252" s="17" t="n">
        <f aca="false">30+232*$W$5</f>
        <v>59</v>
      </c>
      <c r="W252" s="17" t="n">
        <f aca="false">-Delta_c*V252</f>
        <v>-5.97500268429242</v>
      </c>
      <c r="Y252" s="11" t="n">
        <f aca="false">(-W252/$W$5*Y251)/(Rho_a-W252/$W$5)</f>
        <v>-218.844597177791</v>
      </c>
      <c r="Z252" s="11" t="n">
        <f aca="false">IF(V252&lt;Floor_F,MAX((-(Cost_k*Ubar_c+Delay_D)*(1-EXP(-Rho_a*LN((Top_c-V252)/(Top_c-Floor_F))/Delta_c))/Rho_a+EXP(-Rho_a*LN((Top_c-V252)/(Top_c-Floor_F))/Delta_c)*(-Cost_k*Delta_c*Floor_F/Rho_a)),(-Delay_D/Rho_a)),(EXP(-Rho_a*LN(V252/Floor_F)/Delta_c)*(-Cost_k*Delta_c*Floor_F/Rho_a)))</f>
        <v>-218.813862760577</v>
      </c>
      <c r="AA252" s="22" t="n">
        <f aca="false">ABS(Y252-Z252)</f>
        <v>0.03073441721412</v>
      </c>
      <c r="AC252" s="17" t="n">
        <f aca="false">30+232*$AD$5</f>
        <v>44.5</v>
      </c>
      <c r="AD252" s="17" t="n">
        <f aca="false">Ubar_c-Delta_c*AC252</f>
        <v>5.62055337251236</v>
      </c>
      <c r="AE252" s="11" t="n">
        <f aca="false">(-(Cost_k*Ubar_c+Delay_D)+AD252/$AD$5*AE253)/(Rho_a+AD252/$AD$5)</f>
        <v>-328.051753231052</v>
      </c>
      <c r="AF252" s="11" t="n">
        <f aca="false">MAX(AE252,-Delay_D/Rho_a)</f>
        <v>-328.051753231052</v>
      </c>
      <c r="AG252" s="11" t="n">
        <f aca="false">IF(AC252&lt;Floor_F,MAX((-(Cost_k*Ubar_c+Delay_D)*(1-EXP(-Rho_a*LN((Top_c-AC252)/(Top_c-Floor_F))/Delta_c))/Rho_a+EXP(-Rho_a*LN((Top_c-AC252)/(Top_c-Floor_F))/Delta_c)*(-Cost_k*Delta_c*Floor_F/Rho_a)),(-Delay_D/Rho_a)),(EXP(-Rho_a*LN(AC252/Floor_F)/Delta_c)*(-Cost_k*Delta_c*Floor_F/Rho_a)))</f>
        <v>-328.155473941225</v>
      </c>
      <c r="AH252" s="22" t="n">
        <f aca="false">ABS(AF252-AG252)</f>
        <v>0.103720710173207</v>
      </c>
    </row>
    <row r="253" customFormat="false" ht="15" hidden="false" customHeight="false" outlineLevel="0" collapsed="false">
      <c r="V253" s="17" t="n">
        <f aca="false">30+233*$W$5</f>
        <v>59.125</v>
      </c>
      <c r="W253" s="17" t="n">
        <f aca="false">-Delta_c*V253</f>
        <v>-5.98766158828456</v>
      </c>
      <c r="Y253" s="11" t="n">
        <f aca="false">(-W253/$W$5*Y252)/(Rho_a-W253/$W$5)</f>
        <v>-218.410022298487</v>
      </c>
      <c r="Z253" s="11" t="n">
        <f aca="false">IF(V253&lt;Floor_F,MAX((-(Cost_k*Ubar_c+Delay_D)*(1-EXP(-Rho_a*LN((Top_c-V253)/(Top_c-Floor_F))/Delta_c))/Rho_a+EXP(-Rho_a*LN((Top_c-V253)/(Top_c-Floor_F))/Delta_c)*(-Cost_k*Delta_c*Floor_F/Rho_a)),(-Delay_D/Rho_a)),(EXP(-Rho_a*LN(V253/Floor_F)/Delta_c)*(-Cost_k*Delta_c*Floor_F/Rho_a)))</f>
        <v>-218.378457241203</v>
      </c>
      <c r="AA253" s="22" t="n">
        <f aca="false">ABS(Y253-Z253)</f>
        <v>0.0315650572840127</v>
      </c>
      <c r="AC253" s="17" t="n">
        <f aca="false">30+233*$AD$5</f>
        <v>44.5625</v>
      </c>
      <c r="AD253" s="17" t="n">
        <f aca="false">Ubar_c-Delta_c*AC253</f>
        <v>5.61422392051629</v>
      </c>
      <c r="AE253" s="11" t="n">
        <f aca="false">(-(Cost_k*Ubar_c+Delay_D)+AD253/$AD$5*AE254)/(Rho_a+AD253/$AD$5)</f>
        <v>-327.59314824085</v>
      </c>
      <c r="AF253" s="11" t="n">
        <f aca="false">MAX(AE253,-Delay_D/Rho_a)</f>
        <v>-327.59314824085</v>
      </c>
      <c r="AG253" s="11" t="n">
        <f aca="false">IF(AC253&lt;Floor_F,MAX((-(Cost_k*Ubar_c+Delay_D)*(1-EXP(-Rho_a*LN((Top_c-AC253)/(Top_c-Floor_F))/Delta_c))/Rho_a+EXP(-Rho_a*LN((Top_c-AC253)/(Top_c-Floor_F))/Delta_c)*(-Cost_k*Delta_c*Floor_F/Rho_a)),(-Delay_D/Rho_a)),(EXP(-Rho_a*LN(AC253/Floor_F)/Delta_c)*(-Cost_k*Delta_c*Floor_F/Rho_a)))</f>
        <v>-327.696477197192</v>
      </c>
      <c r="AH253" s="22" t="n">
        <f aca="false">ABS(AF253-AG253)</f>
        <v>0.103328956341386</v>
      </c>
    </row>
    <row r="254" customFormat="false" ht="15" hidden="false" customHeight="false" outlineLevel="0" collapsed="false">
      <c r="V254" s="17" t="n">
        <f aca="false">30+234*$W$5</f>
        <v>59.25</v>
      </c>
      <c r="W254" s="17" t="n">
        <f aca="false">-Delta_c*V254</f>
        <v>-6.00032049227671</v>
      </c>
      <c r="Y254" s="11" t="n">
        <f aca="false">(-W254/$W$5*Y253)/(Rho_a-W254/$W$5)</f>
        <v>-217.977223575507</v>
      </c>
      <c r="Z254" s="11" t="n">
        <f aca="false">IF(V254&lt;Floor_F,MAX((-(Cost_k*Ubar_c+Delay_D)*(1-EXP(-Rho_a*LN((Top_c-V254)/(Top_c-Floor_F))/Delta_c))/Rho_a+EXP(-Rho_a*LN((Top_c-V254)/(Top_c-Floor_F))/Delta_c)*(-Cost_k*Delta_c*Floor_F/Rho_a)),(-Delay_D/Rho_a)),(EXP(-Rho_a*LN(V254/Floor_F)/Delta_c)*(-Cost_k*Delta_c*Floor_F/Rho_a)))</f>
        <v>-217.944834917247</v>
      </c>
      <c r="AA254" s="22" t="n">
        <f aca="false">ABS(Y254-Z254)</f>
        <v>0.0323886582602881</v>
      </c>
      <c r="AC254" s="17" t="n">
        <f aca="false">30+234*$AD$5</f>
        <v>44.625</v>
      </c>
      <c r="AD254" s="17" t="n">
        <f aca="false">Ubar_c-Delta_c*AC254</f>
        <v>5.60789446852021</v>
      </c>
      <c r="AE254" s="11" t="n">
        <f aca="false">(-(Cost_k*Ubar_c+Delay_D)+AD254/$AD$5*AE255)/(Rho_a+AD254/$AD$5)</f>
        <v>-327.133539625552</v>
      </c>
      <c r="AF254" s="11" t="n">
        <f aca="false">MAX(AE254,-Delay_D/Rho_a)</f>
        <v>-327.133539625552</v>
      </c>
      <c r="AG254" s="11" t="n">
        <f aca="false">IF(AC254&lt;Floor_F,MAX((-(Cost_k*Ubar_c+Delay_D)*(1-EXP(-Rho_a*LN((Top_c-AC254)/(Top_c-Floor_F))/Delta_c))/Rho_a+EXP(-Rho_a*LN((Top_c-AC254)/(Top_c-Floor_F))/Delta_c)*(-Cost_k*Delta_c*Floor_F/Rho_a)),(-Delay_D/Rho_a)),(EXP(-Rho_a*LN(AC254/Floor_F)/Delta_c)*(-Cost_k*Delta_c*Floor_F/Rho_a)))</f>
        <v>-327.236474870393</v>
      </c>
      <c r="AH254" s="22" t="n">
        <f aca="false">ABS(AF254-AG254)</f>
        <v>0.102935244841262</v>
      </c>
    </row>
    <row r="255" customFormat="false" ht="15" hidden="false" customHeight="false" outlineLevel="0" collapsed="false">
      <c r="V255" s="17" t="n">
        <f aca="false">30+235*$W$5</f>
        <v>59.375</v>
      </c>
      <c r="W255" s="17" t="n">
        <f aca="false">-Delta_c*V255</f>
        <v>-6.01297939626885</v>
      </c>
      <c r="Y255" s="11" t="n">
        <f aca="false">(-W255/$W$5*Y254)/(Rho_a-W255/$W$5)</f>
        <v>-217.546190032871</v>
      </c>
      <c r="Z255" s="11" t="n">
        <f aca="false">IF(V255&lt;Floor_F,MAX((-(Cost_k*Ubar_c+Delay_D)*(1-EXP(-Rho_a*LN((Top_c-V255)/(Top_c-Floor_F))/Delta_c))/Rho_a+EXP(-Rho_a*LN((Top_c-V255)/(Top_c-Floor_F))/Delta_c)*(-Cost_k*Delta_c*Floor_F/Rho_a)),(-Delay_D/Rho_a)),(EXP(-Rho_a*LN(V255/Floor_F)/Delta_c)*(-Cost_k*Delta_c*Floor_F/Rho_a)))</f>
        <v>-217.51298474671</v>
      </c>
      <c r="AA255" s="22" t="n">
        <f aca="false">ABS(Y255-Z255)</f>
        <v>0.0332052861602108</v>
      </c>
      <c r="AC255" s="17" t="n">
        <f aca="false">30+235*$AD$5</f>
        <v>44.6875</v>
      </c>
      <c r="AD255" s="17" t="n">
        <f aca="false">Ubar_c-Delta_c*AC255</f>
        <v>5.60156501652414</v>
      </c>
      <c r="AE255" s="11" t="n">
        <f aca="false">(-(Cost_k*Ubar_c+Delay_D)+AD255/$AD$5*AE256)/(Rho_a+AD255/$AD$5)</f>
        <v>-326.672924053554</v>
      </c>
      <c r="AF255" s="11" t="n">
        <f aca="false">MAX(AE255,-Delay_D/Rho_a)</f>
        <v>-326.672924053554</v>
      </c>
      <c r="AG255" s="11" t="n">
        <f aca="false">IF(AC255&lt;Floor_F,MAX((-(Cost_k*Ubar_c+Delay_D)*(1-EXP(-Rho_a*LN((Top_c-AC255)/(Top_c-Floor_F))/Delta_c))/Rho_a+EXP(-Rho_a*LN((Top_c-AC255)/(Top_c-Floor_F))/Delta_c)*(-Cost_k*Delta_c*Floor_F/Rho_a)),(-Delay_D/Rho_a)),(EXP(-Rho_a*LN(AC255/Floor_F)/Delta_c)*(-Cost_k*Delta_c*Floor_F/Rho_a)))</f>
        <v>-326.775463619067</v>
      </c>
      <c r="AH255" s="22" t="n">
        <f aca="false">ABS(AF255-AG255)</f>
        <v>0.102539565513268</v>
      </c>
    </row>
    <row r="256" customFormat="false" ht="15" hidden="false" customHeight="false" outlineLevel="0" collapsed="false">
      <c r="V256" s="17" t="n">
        <f aca="false">30+236*$W$5</f>
        <v>59.5</v>
      </c>
      <c r="W256" s="17" t="n">
        <f aca="false">-Delta_c*V256</f>
        <v>-6.025638300261</v>
      </c>
      <c r="Y256" s="11" t="n">
        <f aca="false">(-W256/$W$5*Y255)/(Rho_a-W256/$W$5)</f>
        <v>-217.116910785297</v>
      </c>
      <c r="Z256" s="11" t="n">
        <f aca="false">IF(V256&lt;Floor_F,MAX((-(Cost_k*Ubar_c+Delay_D)*(1-EXP(-Rho_a*LN((Top_c-V256)/(Top_c-Floor_F))/Delta_c))/Rho_a+EXP(-Rho_a*LN((Top_c-V256)/(Top_c-Floor_F))/Delta_c)*(-Cost_k*Delta_c*Floor_F/Rho_a)),(-Delay_D/Rho_a)),(EXP(-Rho_a*LN(V256/Floor_F)/Delta_c)*(-Cost_k*Delta_c*Floor_F/Rho_a)))</f>
        <v>-217.082895779027</v>
      </c>
      <c r="AA256" s="22" t="n">
        <f aca="false">ABS(Y256-Z256)</f>
        <v>0.0340150062697546</v>
      </c>
      <c r="AC256" s="17" t="n">
        <f aca="false">30+236*$AD$5</f>
        <v>44.75</v>
      </c>
      <c r="AD256" s="17" t="n">
        <f aca="false">Ubar_c-Delta_c*AC256</f>
        <v>5.59523556452807</v>
      </c>
      <c r="AE256" s="11" t="n">
        <f aca="false">(-(Cost_k*Ubar_c+Delay_D)+AD256/$AD$5*AE257)/(Rho_a+AD256/$AD$5)</f>
        <v>-326.211298178418</v>
      </c>
      <c r="AF256" s="11" t="n">
        <f aca="false">MAX(AE256,-Delay_D/Rho_a)</f>
        <v>-326.211298178418</v>
      </c>
      <c r="AG256" s="11" t="n">
        <f aca="false">IF(AC256&lt;Floor_F,MAX((-(Cost_k*Ubar_c+Delay_D)*(1-EXP(-Rho_a*LN((Top_c-AC256)/(Top_c-Floor_F))/Delta_c))/Rho_a+EXP(-Rho_a*LN((Top_c-AC256)/(Top_c-Floor_F))/Delta_c)*(-Cost_k*Delta_c*Floor_F/Rho_a)),(-Delay_D/Rho_a)),(EXP(-Rho_a*LN(AC256/Floor_F)/Delta_c)*(-Cost_k*Delta_c*Floor_F/Rho_a)))</f>
        <v>-326.313440086555</v>
      </c>
      <c r="AH256" s="22" t="n">
        <f aca="false">ABS(AF256-AG256)</f>
        <v>0.102141908136502</v>
      </c>
    </row>
    <row r="257" customFormat="false" ht="15" hidden="false" customHeight="false" outlineLevel="0" collapsed="false">
      <c r="V257" s="17" t="n">
        <f aca="false">30+237*$W$5</f>
        <v>59.625</v>
      </c>
      <c r="W257" s="17" t="n">
        <f aca="false">-Delta_c*V257</f>
        <v>-6.03829720425314</v>
      </c>
      <c r="Y257" s="11" t="n">
        <f aca="false">(-W257/$W$5*Y256)/(Rho_a-W257/$W$5)</f>
        <v>-216.689375037265</v>
      </c>
      <c r="Z257" s="11" t="n">
        <f aca="false">IF(V257&lt;Floor_F,MAX((-(Cost_k*Ubar_c+Delay_D)*(1-EXP(-Rho_a*LN((Top_c-V257)/(Top_c-Floor_F))/Delta_c))/Rho_a+EXP(-Rho_a*LN((Top_c-V257)/(Top_c-Floor_F))/Delta_c)*(-Cost_k*Delta_c*Floor_F/Rho_a)),(-Delay_D/Rho_a)),(EXP(-Rho_a*LN(V257/Floor_F)/Delta_c)*(-Cost_k*Delta_c*Floor_F/Rho_a)))</f>
        <v>-216.654557154112</v>
      </c>
      <c r="AA257" s="22" t="n">
        <f aca="false">ABS(Y257-Z257)</f>
        <v>0.0348178831526411</v>
      </c>
      <c r="AC257" s="17" t="n">
        <f aca="false">30+237*$AD$5</f>
        <v>44.8125</v>
      </c>
      <c r="AD257" s="17" t="n">
        <f aca="false">Ubar_c-Delta_c*AC257</f>
        <v>5.588906112532</v>
      </c>
      <c r="AE257" s="11" t="n">
        <f aca="false">(-(Cost_k*Ubar_c+Delay_D)+AD257/$AD$5*AE258)/(Rho_a+AD257/$AD$5)</f>
        <v>-325.748658638786</v>
      </c>
      <c r="AF257" s="11" t="n">
        <f aca="false">MAX(AE257,-Delay_D/Rho_a)</f>
        <v>-325.748658638786</v>
      </c>
      <c r="AG257" s="11" t="n">
        <f aca="false">IF(AC257&lt;Floor_F,MAX((-(Cost_k*Ubar_c+Delay_D)*(1-EXP(-Rho_a*LN((Top_c-AC257)/(Top_c-Floor_F))/Delta_c))/Rho_a+EXP(-Rho_a*LN((Top_c-AC257)/(Top_c-Floor_F))/Delta_c)*(-Cost_k*Delta_c*Floor_F/Rho_a)),(-Delay_D/Rho_a)),(EXP(-Rho_a*LN(AC257/Floor_F)/Delta_c)*(-Cost_k*Delta_c*Floor_F/Rho_a)))</f>
        <v>-325.850400901214</v>
      </c>
      <c r="AH257" s="22" t="n">
        <f aca="false">ABS(AF257-AG257)</f>
        <v>0.101742262427877</v>
      </c>
    </row>
    <row r="258" customFormat="false" ht="15" hidden="false" customHeight="false" outlineLevel="0" collapsed="false">
      <c r="V258" s="17" t="n">
        <f aca="false">30+238*$W$5</f>
        <v>59.75</v>
      </c>
      <c r="W258" s="17" t="n">
        <f aca="false">-Delta_c*V258</f>
        <v>-6.05095610824529</v>
      </c>
      <c r="Y258" s="11" t="n">
        <f aca="false">(-W258/$W$5*Y257)/(Rho_a-W258/$W$5)</f>
        <v>-216.263572082088</v>
      </c>
      <c r="Z258" s="11" t="n">
        <f aca="false">IF(V258&lt;Floor_F,MAX((-(Cost_k*Ubar_c+Delay_D)*(1-EXP(-Rho_a*LN((Top_c-V258)/(Top_c-Floor_F))/Delta_c))/Rho_a+EXP(-Rho_a*LN((Top_c-V258)/(Top_c-Floor_F))/Delta_c)*(-Cost_k*Delta_c*Floor_F/Rho_a)),(-Delay_D/Rho_a)),(EXP(-Rho_a*LN(V258/Floor_F)/Delta_c)*(-Cost_k*Delta_c*Floor_F/Rho_a)))</f>
        <v>-216.227958101428</v>
      </c>
      <c r="AA258" s="22" t="n">
        <f aca="false">ABS(Y258-Z258)</f>
        <v>0.0356139806598321</v>
      </c>
      <c r="AC258" s="17" t="n">
        <f aca="false">30+238*$AD$5</f>
        <v>44.875</v>
      </c>
      <c r="AD258" s="17" t="n">
        <f aca="false">Ubar_c-Delta_c*AC258</f>
        <v>5.58257666053592</v>
      </c>
      <c r="AE258" s="11" t="n">
        <f aca="false">(-(Cost_k*Ubar_c+Delay_D)+AD258/$AD$5*AE259)/(Rho_a+AD258/$AD$5)</f>
        <v>-325.285002058297</v>
      </c>
      <c r="AF258" s="11" t="n">
        <f aca="false">MAX(AE258,-Delay_D/Rho_a)</f>
        <v>-325.285002058297</v>
      </c>
      <c r="AG258" s="11" t="n">
        <f aca="false">IF(AC258&lt;Floor_F,MAX((-(Cost_k*Ubar_c+Delay_D)*(1-EXP(-Rho_a*LN((Top_c-AC258)/(Top_c-Floor_F))/Delta_c))/Rho_a+EXP(-Rho_a*LN((Top_c-AC258)/(Top_c-Floor_F))/Delta_c)*(-Cost_k*Delta_c*Floor_F/Rho_a)),(-Delay_D/Rho_a)),(EXP(-Rho_a*LN(AC258/Floor_F)/Delta_c)*(-Cost_k*Delta_c*Floor_F/Rho_a)))</f>
        <v>-325.386342676339</v>
      </c>
      <c r="AH258" s="22" t="n">
        <f aca="false">ABS(AF258-AG258)</f>
        <v>0.101340618041945</v>
      </c>
    </row>
    <row r="259" customFormat="false" ht="15" hidden="false" customHeight="false" outlineLevel="0" collapsed="false">
      <c r="V259" s="17" t="n">
        <f aca="false">30+239*$W$5</f>
        <v>59.875</v>
      </c>
      <c r="W259" s="17" t="n">
        <f aca="false">-Delta_c*V259</f>
        <v>-6.06361501223743</v>
      </c>
      <c r="Y259" s="11" t="n">
        <f aca="false">(-W259/$W$5*Y258)/(Rho_a-W259/$W$5)</f>
        <v>-215.839491301002</v>
      </c>
      <c r="Z259" s="11" t="n">
        <f aca="false">IF(V259&lt;Floor_F,MAX((-(Cost_k*Ubar_c+Delay_D)*(1-EXP(-Rho_a*LN((Top_c-V259)/(Top_c-Floor_F))/Delta_c))/Rho_a+EXP(-Rho_a*LN((Top_c-V259)/(Top_c-Floor_F))/Delta_c)*(-Cost_k*Delta_c*Floor_F/Rho_a)),(-Delay_D/Rho_a)),(EXP(-Rho_a*LN(V259/Floor_F)/Delta_c)*(-Cost_k*Delta_c*Floor_F/Rho_a)))</f>
        <v>-215.803087939063</v>
      </c>
      <c r="AA259" s="22" t="n">
        <f aca="false">ABS(Y259-Z259)</f>
        <v>0.0364033619387101</v>
      </c>
      <c r="AC259" s="17" t="n">
        <f aca="false">30+239*$AD$5</f>
        <v>44.9375</v>
      </c>
      <c r="AD259" s="17" t="n">
        <f aca="false">Ubar_c-Delta_c*AC259</f>
        <v>5.57624720853985</v>
      </c>
      <c r="AE259" s="11" t="n">
        <f aca="false">(-(Cost_k*Ubar_c+Delay_D)+AD259/$AD$5*AE260)/(Rho_a+AD259/$AD$5)</f>
        <v>-324.820325045503</v>
      </c>
      <c r="AF259" s="11" t="n">
        <f aca="false">MAX(AE259,-Delay_D/Rho_a)</f>
        <v>-324.820325045503</v>
      </c>
      <c r="AG259" s="11" t="n">
        <f aca="false">IF(AC259&lt;Floor_F,MAX((-(Cost_k*Ubar_c+Delay_D)*(1-EXP(-Rho_a*LN((Top_c-AC259)/(Top_c-Floor_F))/Delta_c))/Rho_a+EXP(-Rho_a*LN((Top_c-AC259)/(Top_c-Floor_F))/Delta_c)*(-Cost_k*Delta_c*Floor_F/Rho_a)),(-Delay_D/Rho_a)),(EXP(-Rho_a*LN(AC259/Floor_F)/Delta_c)*(-Cost_k*Delta_c*Floor_F/Rho_a)))</f>
        <v>-324.921262010073</v>
      </c>
      <c r="AH259" s="22" t="n">
        <f aca="false">ABS(AF259-AG259)</f>
        <v>0.10093696457028</v>
      </c>
    </row>
    <row r="260" customFormat="false" ht="15" hidden="false" customHeight="false" outlineLevel="0" collapsed="false">
      <c r="V260" s="17" t="n">
        <f aca="false">30+240*$W$5</f>
        <v>60</v>
      </c>
      <c r="W260" s="17" t="n">
        <f aca="false">-Delta_c*V260</f>
        <v>-6.07627391622958</v>
      </c>
      <c r="Y260" s="11" t="n">
        <f aca="false">(-W260/$W$5*Y259)/(Rho_a-W260/$W$5)</f>
        <v>-215.417122162257</v>
      </c>
      <c r="Z260" s="11" t="n">
        <f aca="false">IF(V260&lt;Floor_F,MAX((-(Cost_k*Ubar_c+Delay_D)*(1-EXP(-Rho_a*LN((Top_c-V260)/(Top_c-Floor_F))/Delta_c))/Rho_a+EXP(-Rho_a*LN((Top_c-V260)/(Top_c-Floor_F))/Delta_c)*(-Cost_k*Delta_c*Floor_F/Rho_a)),(-Delay_D/Rho_a)),(EXP(-Rho_a*LN(V260/Floor_F)/Delta_c)*(-Cost_k*Delta_c*Floor_F/Rho_a)))</f>
        <v>-215.379936072815</v>
      </c>
      <c r="AA260" s="22" t="n">
        <f aca="false">ABS(Y260-Z260)</f>
        <v>0.0371860894422582</v>
      </c>
      <c r="AC260" s="17" t="n">
        <f aca="false">30+240*$AD$5</f>
        <v>45</v>
      </c>
      <c r="AD260" s="17" t="n">
        <f aca="false">Ubar_c-Delta_c*AC260</f>
        <v>5.56991775654378</v>
      </c>
      <c r="AE260" s="11" t="n">
        <f aca="false">(-(Cost_k*Ubar_c+Delay_D)+AD260/$AD$5*AE261)/(Rho_a+AD260/$AD$5)</f>
        <v>-324.354624193783</v>
      </c>
      <c r="AF260" s="11" t="n">
        <f aca="false">MAX(AE260,-Delay_D/Rho_a)</f>
        <v>-324.354624193783</v>
      </c>
      <c r="AG260" s="11" t="n">
        <f aca="false">IF(AC260&lt;Floor_F,MAX((-(Cost_k*Ubar_c+Delay_D)*(1-EXP(-Rho_a*LN((Top_c-AC260)/(Top_c-Floor_F))/Delta_c))/Rho_a+EXP(-Rho_a*LN((Top_c-AC260)/(Top_c-Floor_F))/Delta_c)*(-Cost_k*Delta_c*Floor_F/Rho_a)),(-Delay_D/Rho_a)),(EXP(-Rho_a*LN(AC260/Floor_F)/Delta_c)*(-Cost_k*Delta_c*Floor_F/Rho_a)))</f>
        <v>-324.455155485324</v>
      </c>
      <c r="AH260" s="22" t="n">
        <f aca="false">ABS(AF260-AG260)</f>
        <v>0.100531291541188</v>
      </c>
    </row>
    <row r="261" customFormat="false" ht="15" hidden="false" customHeight="false" outlineLevel="0" collapsed="false">
      <c r="V261" s="17" t="n">
        <f aca="false">30+241*$W$5</f>
        <v>60.125</v>
      </c>
      <c r="W261" s="17" t="n">
        <f aca="false">-Delta_c*V261</f>
        <v>-6.08893282022172</v>
      </c>
      <c r="Y261" s="11" t="n">
        <f aca="false">(-W261/$W$5*Y260)/(Rho_a-W261/$W$5)</f>
        <v>-214.996454220229</v>
      </c>
      <c r="Z261" s="11" t="n">
        <f aca="false">IF(V261&lt;Floor_F,MAX((-(Cost_k*Ubar_c+Delay_D)*(1-EXP(-Rho_a*LN((Top_c-V261)/(Top_c-Floor_F))/Delta_c))/Rho_a+EXP(-Rho_a*LN((Top_c-V261)/(Top_c-Floor_F))/Delta_c)*(-Cost_k*Delta_c*Floor_F/Rho_a)),(-Delay_D/Rho_a)),(EXP(-Rho_a*LN(V261/Floor_F)/Delta_c)*(-Cost_k*Delta_c*Floor_F/Rho_a)))</f>
        <v>-214.958491995291</v>
      </c>
      <c r="AA261" s="22" t="n">
        <f aca="false">ABS(Y261-Z261)</f>
        <v>0.0379622249378429</v>
      </c>
      <c r="AC261" s="17" t="n">
        <f aca="false">30+241*$AD$5</f>
        <v>45.0625</v>
      </c>
      <c r="AD261" s="17" t="n">
        <f aca="false">Ubar_c-Delta_c*AC261</f>
        <v>5.56358830454771</v>
      </c>
      <c r="AE261" s="11" t="n">
        <f aca="false">(-(Cost_k*Ubar_c+Delay_D)+AD261/$AD$5*AE262)/(Rho_a+AD261/$AD$5)</f>
        <v>-323.887896081261</v>
      </c>
      <c r="AF261" s="11" t="n">
        <f aca="false">MAX(AE261,-Delay_D/Rho_a)</f>
        <v>-323.887896081261</v>
      </c>
      <c r="AG261" s="11" t="n">
        <f aca="false">IF(AC261&lt;Floor_F,MAX((-(Cost_k*Ubar_c+Delay_D)*(1-EXP(-Rho_a*LN((Top_c-AC261)/(Top_c-Floor_F))/Delta_c))/Rho_a+EXP(-Rho_a*LN((Top_c-AC261)/(Top_c-Floor_F))/Delta_c)*(-Cost_k*Delta_c*Floor_F/Rho_a)),(-Delay_D/Rho_a)),(EXP(-Rho_a*LN(AC261/Floor_F)/Delta_c)*(-Cost_k*Delta_c*Floor_F/Rho_a)))</f>
        <v>-323.98801966968</v>
      </c>
      <c r="AH261" s="22" t="n">
        <f aca="false">ABS(AF261-AG261)</f>
        <v>0.100123588419137</v>
      </c>
    </row>
    <row r="262" customFormat="false" ht="15" hidden="false" customHeight="false" outlineLevel="0" collapsed="false">
      <c r="V262" s="17" t="n">
        <f aca="false">30+242*$W$5</f>
        <v>60.25</v>
      </c>
      <c r="W262" s="17" t="n">
        <f aca="false">-Delta_c*V262</f>
        <v>-6.10159172421387</v>
      </c>
      <c r="Y262" s="11" t="n">
        <f aca="false">(-W262/$W$5*Y261)/(Rho_a-W262/$W$5)</f>
        <v>-214.577477114538</v>
      </c>
      <c r="Z262" s="11" t="n">
        <f aca="false">IF(V262&lt;Floor_F,MAX((-(Cost_k*Ubar_c+Delay_D)*(1-EXP(-Rho_a*LN((Top_c-V262)/(Top_c-Floor_F))/Delta_c))/Rho_a+EXP(-Rho_a*LN((Top_c-V262)/(Top_c-Floor_F))/Delta_c)*(-Cost_k*Delta_c*Floor_F/Rho_a)),(-Delay_D/Rho_a)),(EXP(-Rho_a*LN(V262/Floor_F)/Delta_c)*(-Cost_k*Delta_c*Floor_F/Rho_a)))</f>
        <v>-214.538745285022</v>
      </c>
      <c r="AA262" s="22" t="n">
        <f aca="false">ABS(Y262-Z262)</f>
        <v>0.0387318295161094</v>
      </c>
      <c r="AC262" s="17" t="n">
        <f aca="false">30+242*$AD$5</f>
        <v>45.125</v>
      </c>
      <c r="AD262" s="17" t="n">
        <f aca="false">Ubar_c-Delta_c*AC262</f>
        <v>5.55725885255163</v>
      </c>
      <c r="AE262" s="11" t="n">
        <f aca="false">(-(Cost_k*Ubar_c+Delay_D)+AD262/$AD$5*AE263)/(Rho_a+AD262/$AD$5)</f>
        <v>-323.420137270719</v>
      </c>
      <c r="AF262" s="11" t="n">
        <f aca="false">MAX(AE262,-Delay_D/Rho_a)</f>
        <v>-323.420137270719</v>
      </c>
      <c r="AG262" s="11" t="n">
        <f aca="false">IF(AC262&lt;Floor_F,MAX((-(Cost_k*Ubar_c+Delay_D)*(1-EXP(-Rho_a*LN((Top_c-AC262)/(Top_c-Floor_F))/Delta_c))/Rho_a+EXP(-Rho_a*LN((Top_c-AC262)/(Top_c-Floor_F))/Delta_c)*(-Cost_k*Delta_c*Floor_F/Rho_a)),(-Delay_D/Rho_a)),(EXP(-Rho_a*LN(AC262/Floor_F)/Delta_c)*(-Cost_k*Delta_c*Floor_F/Rho_a)))</f>
        <v>-323.519851115323</v>
      </c>
      <c r="AH262" s="22" t="n">
        <f aca="false">ABS(AF262-AG262)</f>
        <v>0.0997138446042527</v>
      </c>
    </row>
    <row r="263" customFormat="false" ht="15" hidden="false" customHeight="false" outlineLevel="0" collapsed="false">
      <c r="V263" s="17" t="n">
        <f aca="false">30+243*$W$5</f>
        <v>60.375</v>
      </c>
      <c r="W263" s="17" t="n">
        <f aca="false">-Delta_c*V263</f>
        <v>-6.11425062820601</v>
      </c>
      <c r="Y263" s="11" t="n">
        <f aca="false">(-W263/$W$5*Y262)/(Rho_a-W263/$W$5)</f>
        <v>-214.160180569177</v>
      </c>
      <c r="Z263" s="11" t="n">
        <f aca="false">IF(V263&lt;Floor_F,MAX((-(Cost_k*Ubar_c+Delay_D)*(1-EXP(-Rho_a*LN((Top_c-V263)/(Top_c-Floor_F))/Delta_c))/Rho_a+EXP(-Rho_a*LN((Top_c-V263)/(Top_c-Floor_F))/Delta_c)*(-Cost_k*Delta_c*Floor_F/Rho_a)),(-Delay_D/Rho_a)),(EXP(-Rho_a*LN(V263/Floor_F)/Delta_c)*(-Cost_k*Delta_c*Floor_F/Rho_a)))</f>
        <v>-214.120685605578</v>
      </c>
      <c r="AA263" s="22" t="n">
        <f aca="false">ABS(Y263-Z263)</f>
        <v>0.0394949635995374</v>
      </c>
      <c r="AC263" s="17" t="n">
        <f aca="false">30+243*$AD$5</f>
        <v>45.1875</v>
      </c>
      <c r="AD263" s="17" t="n">
        <f aca="false">Ubar_c-Delta_c*AC263</f>
        <v>5.55092940055556</v>
      </c>
      <c r="AE263" s="11" t="n">
        <f aca="false">(-(Cost_k*Ubar_c+Delay_D)+AD263/$AD$5*AE264)/(Rho_a+AD263/$AD$5)</f>
        <v>-322.951344309508</v>
      </c>
      <c r="AF263" s="11" t="n">
        <f aca="false">MAX(AE263,-Delay_D/Rho_a)</f>
        <v>-322.951344309508</v>
      </c>
      <c r="AG263" s="11" t="n">
        <f aca="false">IF(AC263&lt;Floor_F,MAX((-(Cost_k*Ubar_c+Delay_D)*(1-EXP(-Rho_a*LN((Top_c-AC263)/(Top_c-Floor_F))/Delta_c))/Rho_a+EXP(-Rho_a*LN((Top_c-AC263)/(Top_c-Floor_F))/Delta_c)*(-Cost_k*Delta_c*Floor_F/Rho_a)),(-Delay_D/Rho_a)),(EXP(-Rho_a*LN(AC263/Floor_F)/Delta_c)*(-Cost_k*Delta_c*Floor_F/Rho_a)))</f>
        <v>-323.05064635894</v>
      </c>
      <c r="AH263" s="22" t="n">
        <f aca="false">ABS(AF263-AG263)</f>
        <v>0.0993020494321399</v>
      </c>
    </row>
    <row r="264" customFormat="false" ht="15" hidden="false" customHeight="false" outlineLevel="0" collapsed="false">
      <c r="V264" s="17" t="n">
        <f aca="false">30+244*$W$5</f>
        <v>60.5</v>
      </c>
      <c r="W264" s="17" t="n">
        <f aca="false">-Delta_c*V264</f>
        <v>-6.12690953219816</v>
      </c>
      <c r="Y264" s="11" t="n">
        <f aca="false">(-W264/$W$5*Y263)/(Rho_a-W264/$W$5)</f>
        <v>-213.744554391652</v>
      </c>
      <c r="Z264" s="11" t="n">
        <f aca="false">IF(V264&lt;Floor_F,MAX((-(Cost_k*Ubar_c+Delay_D)*(1-EXP(-Rho_a*LN((Top_c-V264)/(Top_c-Floor_F))/Delta_c))/Rho_a+EXP(-Rho_a*LN((Top_c-V264)/(Top_c-Floor_F))/Delta_c)*(-Cost_k*Delta_c*Floor_F/Rho_a)),(-Delay_D/Rho_a)),(EXP(-Rho_a*LN(V264/Floor_F)/Delta_c)*(-Cost_k*Delta_c*Floor_F/Rho_a)))</f>
        <v>-213.704302704701</v>
      </c>
      <c r="AA264" s="22" t="n">
        <f aca="false">ABS(Y264-Z264)</f>
        <v>0.040251686951251</v>
      </c>
      <c r="AC264" s="17" t="n">
        <f aca="false">30+244*$AD$5</f>
        <v>45.25</v>
      </c>
      <c r="AD264" s="17" t="n">
        <f aca="false">Ubar_c-Delta_c*AC264</f>
        <v>5.54459994855949</v>
      </c>
      <c r="AE264" s="11" t="n">
        <f aca="false">(-(Cost_k*Ubar_c+Delay_D)+AD264/$AD$5*AE265)/(Rho_a+AD264/$AD$5)</f>
        <v>-322.481513729465</v>
      </c>
      <c r="AF264" s="11" t="n">
        <f aca="false">MAX(AE264,-Delay_D/Rho_a)</f>
        <v>-322.481513729465</v>
      </c>
      <c r="AG264" s="11" t="n">
        <f aca="false">IF(AC264&lt;Floor_F,MAX((-(Cost_k*Ubar_c+Delay_D)*(1-EXP(-Rho_a*LN((Top_c-AC264)/(Top_c-Floor_F))/Delta_c))/Rho_a+EXP(-Rho_a*LN((Top_c-AC264)/(Top_c-Floor_F))/Delta_c)*(-Cost_k*Delta_c*Floor_F/Rho_a)),(-Delay_D/Rho_a)),(EXP(-Rho_a*LN(AC264/Floor_F)/Delta_c)*(-Cost_k*Delta_c*Floor_F/Rho_a)))</f>
        <v>-322.580401921638</v>
      </c>
      <c r="AH264" s="22" t="n">
        <f aca="false">ABS(AF264-AG264)</f>
        <v>0.098888192173149</v>
      </c>
    </row>
    <row r="265" customFormat="false" ht="15" hidden="false" customHeight="false" outlineLevel="0" collapsed="false">
      <c r="V265" s="17" t="n">
        <f aca="false">30+245*$W$5</f>
        <v>60.625</v>
      </c>
      <c r="W265" s="17" t="n">
        <f aca="false">-Delta_c*V265</f>
        <v>-6.1395684361903</v>
      </c>
      <c r="Y265" s="11" t="n">
        <f aca="false">(-W265/$W$5*Y264)/(Rho_a-W265/$W$5)</f>
        <v>-213.330588472135</v>
      </c>
      <c r="Z265" s="11" t="n">
        <f aca="false">IF(V265&lt;Floor_F,MAX((-(Cost_k*Ubar_c+Delay_D)*(1-EXP(-Rho_a*LN((Top_c-V265)/(Top_c-Floor_F))/Delta_c))/Rho_a+EXP(-Rho_a*LN((Top_c-V265)/(Top_c-Floor_F))/Delta_c)*(-Cost_k*Delta_c*Floor_F/Rho_a)),(-Delay_D/Rho_a)),(EXP(-Rho_a*LN(V265/Floor_F)/Delta_c)*(-Cost_k*Delta_c*Floor_F/Rho_a)))</f>
        <v>-213.289586413452</v>
      </c>
      <c r="AA265" s="22" t="n">
        <f aca="false">ABS(Y265-Z265)</f>
        <v>0.0410020586830626</v>
      </c>
      <c r="AC265" s="17" t="n">
        <f aca="false">30+245*$AD$5</f>
        <v>45.3125</v>
      </c>
      <c r="AD265" s="17" t="n">
        <f aca="false">Ubar_c-Delta_c*AC265</f>
        <v>5.53827049656342</v>
      </c>
      <c r="AE265" s="11" t="n">
        <f aca="false">(-(Cost_k*Ubar_c+Delay_D)+AD265/$AD$5*AE266)/(Rho_a+AD265/$AD$5)</f>
        <v>-322.010642046822</v>
      </c>
      <c r="AF265" s="11" t="n">
        <f aca="false">MAX(AE265,-Delay_D/Rho_a)</f>
        <v>-322.010642046822</v>
      </c>
      <c r="AG265" s="11" t="n">
        <f aca="false">IF(AC265&lt;Floor_F,MAX((-(Cost_k*Ubar_c+Delay_D)*(1-EXP(-Rho_a*LN((Top_c-AC265)/(Top_c-Floor_F))/Delta_c))/Rho_a+EXP(-Rho_a*LN((Top_c-AC265)/(Top_c-Floor_F))/Delta_c)*(-Cost_k*Delta_c*Floor_F/Rho_a)),(-Delay_D/Rho_a)),(EXP(-Rho_a*LN(AC265/Floor_F)/Delta_c)*(-Cost_k*Delta_c*Floor_F/Rho_a)))</f>
        <v>-322.109114308854</v>
      </c>
      <c r="AH265" s="22" t="n">
        <f aca="false">ABS(AF265-AG265)</f>
        <v>0.0984722620320895</v>
      </c>
    </row>
    <row r="266" customFormat="false" ht="15" hidden="false" customHeight="false" outlineLevel="0" collapsed="false">
      <c r="V266" s="17" t="n">
        <f aca="false">30+246*$W$5</f>
        <v>60.75</v>
      </c>
      <c r="W266" s="17" t="n">
        <f aca="false">-Delta_c*V266</f>
        <v>-6.15222734018245</v>
      </c>
      <c r="Y266" s="11" t="n">
        <f aca="false">(-W266/$W$5*Y265)/(Rho_a-W266/$W$5)</f>
        <v>-212.91827278262</v>
      </c>
      <c r="Z266" s="11" t="n">
        <f aca="false">IF(V266&lt;Floor_F,MAX((-(Cost_k*Ubar_c+Delay_D)*(1-EXP(-Rho_a*LN((Top_c-V266)/(Top_c-Floor_F))/Delta_c))/Rho_a+EXP(-Rho_a*LN((Top_c-V266)/(Top_c-Floor_F))/Delta_c)*(-Cost_k*Delta_c*Floor_F/Rho_a)),(-Delay_D/Rho_a)),(EXP(-Rho_a*LN(V266/Floor_F)/Delta_c)*(-Cost_k*Delta_c*Floor_F/Rho_a)))</f>
        <v>-212.876526645356</v>
      </c>
      <c r="AA266" s="22" t="n">
        <f aca="false">ABS(Y266-Z266)</f>
        <v>0.0417461372640844</v>
      </c>
      <c r="AC266" s="17" t="n">
        <f aca="false">30+246*$AD$5</f>
        <v>45.375</v>
      </c>
      <c r="AD266" s="17" t="n">
        <f aca="false">Ubar_c-Delta_c*AC266</f>
        <v>5.53194104456734</v>
      </c>
      <c r="AE266" s="11" t="n">
        <f aca="false">(-(Cost_k*Ubar_c+Delay_D)+AD266/$AD$5*AE267)/(Rho_a+AD266/$AD$5)</f>
        <v>-321.538725762122</v>
      </c>
      <c r="AF266" s="11" t="n">
        <f aca="false">MAX(AE266,-Delay_D/Rho_a)</f>
        <v>-321.538725762122</v>
      </c>
      <c r="AG266" s="11" t="n">
        <f aca="false">IF(AC266&lt;Floor_F,MAX((-(Cost_k*Ubar_c+Delay_D)*(1-EXP(-Rho_a*LN((Top_c-AC266)/(Top_c-Floor_F))/Delta_c))/Rho_a+EXP(-Rho_a*LN((Top_c-AC266)/(Top_c-Floor_F))/Delta_c)*(-Cost_k*Delta_c*Floor_F/Rho_a)),(-Delay_D/Rho_a)),(EXP(-Rho_a*LN(AC266/Floor_F)/Delta_c)*(-Cost_k*Delta_c*Floor_F/Rho_a)))</f>
        <v>-321.636780010269</v>
      </c>
      <c r="AH266" s="22" t="n">
        <f aca="false">ABS(AF266-AG266)</f>
        <v>0.0980542481473776</v>
      </c>
    </row>
    <row r="267" customFormat="false" ht="15" hidden="false" customHeight="false" outlineLevel="0" collapsed="false">
      <c r="V267" s="17" t="n">
        <f aca="false">30+247*$W$5</f>
        <v>60.875</v>
      </c>
      <c r="W267" s="17" t="n">
        <f aca="false">-Delta_c*V267</f>
        <v>-6.16488624417459</v>
      </c>
      <c r="Y267" s="11" t="n">
        <f aca="false">(-W267/$W$5*Y266)/(Rho_a-W267/$W$5)</f>
        <v>-212.507597376102</v>
      </c>
      <c r="Z267" s="11" t="n">
        <f aca="false">IF(V267&lt;Floor_F,MAX((-(Cost_k*Ubar_c+Delay_D)*(1-EXP(-Rho_a*LN((Top_c-V267)/(Top_c-Floor_F))/Delta_c))/Rho_a+EXP(-Rho_a*LN((Top_c-V267)/(Top_c-Floor_F))/Delta_c)*(-Cost_k*Delta_c*Floor_F/Rho_a)),(-Delay_D/Rho_a)),(EXP(-Rho_a*LN(V267/Floor_F)/Delta_c)*(-Cost_k*Delta_c*Floor_F/Rho_a)))</f>
        <v>-212.465113395573</v>
      </c>
      <c r="AA267" s="22" t="n">
        <f aca="false">ABS(Y267-Z267)</f>
        <v>0.0424839805288855</v>
      </c>
      <c r="AC267" s="17" t="n">
        <f aca="false">30+247*$AD$5</f>
        <v>45.4375</v>
      </c>
      <c r="AD267" s="17" t="n">
        <f aca="false">Ubar_c-Delta_c*AC267</f>
        <v>5.52561159257127</v>
      </c>
      <c r="AE267" s="11" t="n">
        <f aca="false">(-(Cost_k*Ubar_c+Delay_D)+AD267/$AD$5*AE268)/(Rho_a+AD267/$AD$5)</f>
        <v>-321.065761360125</v>
      </c>
      <c r="AF267" s="11" t="n">
        <f aca="false">MAX(AE267,-Delay_D/Rho_a)</f>
        <v>-321.065761360125</v>
      </c>
      <c r="AG267" s="11" t="n">
        <f aca="false">IF(AC267&lt;Floor_F,MAX((-(Cost_k*Ubar_c+Delay_D)*(1-EXP(-Rho_a*LN((Top_c-AC267)/(Top_c-Floor_F))/Delta_c))/Rho_a+EXP(-Rho_a*LN((Top_c-AC267)/(Top_c-Floor_F))/Delta_c)*(-Cost_k*Delta_c*Floor_F/Rho_a)),(-Delay_D/Rho_a)),(EXP(-Rho_a*LN(AC267/Floor_F)/Delta_c)*(-Cost_k*Delta_c*Floor_F/Rho_a)))</f>
        <v>-321.163395499716</v>
      </c>
      <c r="AH267" s="22" t="n">
        <f aca="false">ABS(AF267-AG267)</f>
        <v>0.0976341395911504</v>
      </c>
    </row>
    <row r="268" customFormat="false" ht="15" hidden="false" customHeight="false" outlineLevel="0" collapsed="false">
      <c r="V268" s="17" t="n">
        <f aca="false">30+248*$W$5</f>
        <v>61</v>
      </c>
      <c r="W268" s="17" t="n">
        <f aca="false">-Delta_c*V268</f>
        <v>-6.17754514816674</v>
      </c>
      <c r="Y268" s="11" t="n">
        <f aca="false">(-W268/$W$5*Y267)/(Rho_a-W268/$W$5)</f>
        <v>-212.098552385753</v>
      </c>
      <c r="Z268" s="11" t="n">
        <f aca="false">IF(V268&lt;Floor_F,MAX((-(Cost_k*Ubar_c+Delay_D)*(1-EXP(-Rho_a*LN((Top_c-V268)/(Top_c-Floor_F))/Delta_c))/Rho_a+EXP(-Rho_a*LN((Top_c-V268)/(Top_c-Floor_F))/Delta_c)*(-Cost_k*Delta_c*Floor_F/Rho_a)),(-Delay_D/Rho_a)),(EXP(-Rho_a*LN(V268/Floor_F)/Delta_c)*(-Cost_k*Delta_c*Floor_F/Rho_a)))</f>
        <v>-212.055336740068</v>
      </c>
      <c r="AA268" s="22" t="n">
        <f aca="false">ABS(Y268-Z268)</f>
        <v>0.0432156456851942</v>
      </c>
      <c r="AC268" s="17" t="n">
        <f aca="false">30+248*$AD$5</f>
        <v>45.5</v>
      </c>
      <c r="AD268" s="17" t="n">
        <f aca="false">Ubar_c-Delta_c*AC268</f>
        <v>5.5192821405752</v>
      </c>
      <c r="AE268" s="11" t="n">
        <f aca="false">(-(Cost_k*Ubar_c+Delay_D)+AD268/$AD$5*AE269)/(Rho_a+AD268/$AD$5)</f>
        <v>-320.591745309723</v>
      </c>
      <c r="AF268" s="11" t="n">
        <f aca="false">MAX(AE268,-Delay_D/Rho_a)</f>
        <v>-320.591745309723</v>
      </c>
      <c r="AG268" s="11" t="n">
        <f aca="false">IF(AC268&lt;Floor_F,MAX((-(Cost_k*Ubar_c+Delay_D)*(1-EXP(-Rho_a*LN((Top_c-AC268)/(Top_c-Floor_F))/Delta_c))/Rho_a+EXP(-Rho_a*LN((Top_c-AC268)/(Top_c-Floor_F))/Delta_c)*(-Cost_k*Delta_c*Floor_F/Rho_a)),(-Delay_D/Rho_a)),(EXP(-Rho_a*LN(AC268/Floor_F)/Delta_c)*(-Cost_k*Delta_c*Floor_F/Rho_a)))</f>
        <v>-320.688957235092</v>
      </c>
      <c r="AH268" s="22" t="n">
        <f aca="false">ABS(AF268-AG268)</f>
        <v>0.0972119253684127</v>
      </c>
    </row>
    <row r="269" customFormat="false" ht="15" hidden="false" customHeight="false" outlineLevel="0" collapsed="false">
      <c r="V269" s="17" t="n">
        <f aca="false">30+249*$W$5</f>
        <v>61.125</v>
      </c>
      <c r="W269" s="17" t="n">
        <f aca="false">-Delta_c*V269</f>
        <v>-6.19020405215888</v>
      </c>
      <c r="Y269" s="11" t="n">
        <f aca="false">(-W269/$W$5*Y268)/(Rho_a-W269/$W$5)</f>
        <v>-211.691128024113</v>
      </c>
      <c r="Z269" s="11" t="n">
        <f aca="false">IF(V269&lt;Floor_F,MAX((-(Cost_k*Ubar_c+Delay_D)*(1-EXP(-Rho_a*LN((Top_c-V269)/(Top_c-Floor_F))/Delta_c))/Rho_a+EXP(-Rho_a*LN((Top_c-V269)/(Top_c-Floor_F))/Delta_c)*(-Cost_k*Delta_c*Floor_F/Rho_a)),(-Delay_D/Rho_a)),(EXP(-Rho_a*LN(V269/Floor_F)/Delta_c)*(-Cost_k*Delta_c*Floor_F/Rho_a)))</f>
        <v>-211.647186834791</v>
      </c>
      <c r="AA269" s="22" t="n">
        <f aca="false">ABS(Y269-Z269)</f>
        <v>0.0439411893222825</v>
      </c>
      <c r="AC269" s="17" t="n">
        <f aca="false">30+249*$AD$5</f>
        <v>45.5625</v>
      </c>
      <c r="AD269" s="17" t="n">
        <f aca="false">Ubar_c-Delta_c*AC269</f>
        <v>5.51295268857913</v>
      </c>
      <c r="AE269" s="11" t="n">
        <f aca="false">(-(Cost_k*Ubar_c+Delay_D)+AD269/$AD$5*AE270)/(Rho_a+AD269/$AD$5)</f>
        <v>-320.11667406385</v>
      </c>
      <c r="AF269" s="11" t="n">
        <f aca="false">MAX(AE269,-Delay_D/Rho_a)</f>
        <v>-320.11667406385</v>
      </c>
      <c r="AG269" s="11" t="n">
        <f aca="false">IF(AC269&lt;Floor_F,MAX((-(Cost_k*Ubar_c+Delay_D)*(1-EXP(-Rho_a*LN((Top_c-AC269)/(Top_c-Floor_F))/Delta_c))/Rho_a+EXP(-Rho_a*LN((Top_c-AC269)/(Top_c-Floor_F))/Delta_c)*(-Cost_k*Delta_c*Floor_F/Rho_a)),(-Delay_D/Rho_a)),(EXP(-Rho_a*LN(AC269/Floor_F)/Delta_c)*(-Cost_k*Delta_c*Floor_F/Rho_a)))</f>
        <v>-320.213461658266</v>
      </c>
      <c r="AH269" s="22" t="n">
        <f aca="false">ABS(AF269-AG269)</f>
        <v>0.0967875944165826</v>
      </c>
    </row>
    <row r="270" customFormat="false" ht="15" hidden="false" customHeight="false" outlineLevel="0" collapsed="false">
      <c r="V270" s="17" t="n">
        <f aca="false">30+250*$W$5</f>
        <v>61.25</v>
      </c>
      <c r="W270" s="17" t="n">
        <f aca="false">-Delta_c*V270</f>
        <v>-6.20286295615103</v>
      </c>
      <c r="Y270" s="11" t="n">
        <f aca="false">(-W270/$W$5*Y269)/(Rho_a-W270/$W$5)</f>
        <v>-211.285314582296</v>
      </c>
      <c r="Z270" s="11" t="n">
        <f aca="false">IF(V270&lt;Floor_F,MAX((-(Cost_k*Ubar_c+Delay_D)*(1-EXP(-Rho_a*LN((Top_c-V270)/(Top_c-Floor_F))/Delta_c))/Rho_a+EXP(-Rho_a*LN((Top_c-V270)/(Top_c-Floor_F))/Delta_c)*(-Cost_k*Delta_c*Floor_F/Rho_a)),(-Delay_D/Rho_a)),(EXP(-Rho_a*LN(V270/Floor_F)/Delta_c)*(-Cost_k*Delta_c*Floor_F/Rho_a)))</f>
        <v>-211.240653914877</v>
      </c>
      <c r="AA270" s="22" t="n">
        <f aca="false">ABS(Y270-Z270)</f>
        <v>0.0446606674185261</v>
      </c>
      <c r="AC270" s="17" t="n">
        <f aca="false">30+250*$AD$5</f>
        <v>45.625</v>
      </c>
      <c r="AD270" s="17" t="n">
        <f aca="false">Ubar_c-Delta_c*AC270</f>
        <v>5.50662323658305</v>
      </c>
      <c r="AE270" s="11" t="n">
        <f aca="false">(-(Cost_k*Ubar_c+Delay_D)+AD270/$AD$5*AE271)/(Rho_a+AD270/$AD$5)</f>
        <v>-319.640544059387</v>
      </c>
      <c r="AF270" s="11" t="n">
        <f aca="false">MAX(AE270,-Delay_D/Rho_a)</f>
        <v>-319.640544059387</v>
      </c>
      <c r="AG270" s="11" t="n">
        <f aca="false">IF(AC270&lt;Floor_F,MAX((-(Cost_k*Ubar_c+Delay_D)*(1-EXP(-Rho_a*LN((Top_c-AC270)/(Top_c-Floor_F))/Delta_c))/Rho_a+EXP(-Rho_a*LN((Top_c-AC270)/(Top_c-Floor_F))/Delta_c)*(-Cost_k*Delta_c*Floor_F/Rho_a)),(-Delay_D/Rho_a)),(EXP(-Rho_a*LN(AC270/Floor_F)/Delta_c)*(-Cost_k*Delta_c*Floor_F/Rho_a)))</f>
        <v>-319.736905194992</v>
      </c>
      <c r="AH270" s="22" t="n">
        <f aca="false">ABS(AF270-AG270)</f>
        <v>0.0963611356049796</v>
      </c>
    </row>
    <row r="271" customFormat="false" ht="15" hidden="false" customHeight="false" outlineLevel="0" collapsed="false">
      <c r="V271" s="17" t="n">
        <f aca="false">30+251*$W$5</f>
        <v>61.375</v>
      </c>
      <c r="W271" s="17" t="n">
        <f aca="false">-Delta_c*V271</f>
        <v>-6.21552186014317</v>
      </c>
      <c r="Y271" s="11" t="n">
        <f aca="false">(-W271/$W$5*Y270)/(Rho_a-W271/$W$5)</f>
        <v>-210.881102429195</v>
      </c>
      <c r="Z271" s="11" t="n">
        <f aca="false">IF(V271&lt;Floor_F,MAX((-(Cost_k*Ubar_c+Delay_D)*(1-EXP(-Rho_a*LN((Top_c-V271)/(Top_c-Floor_F))/Delta_c))/Rho_a+EXP(-Rho_a*LN((Top_c-V271)/(Top_c-Floor_F))/Delta_c)*(-Cost_k*Delta_c*Floor_F/Rho_a)),(-Delay_D/Rho_a)),(EXP(-Rho_a*LN(V271/Floor_F)/Delta_c)*(-Cost_k*Delta_c*Floor_F/Rho_a)))</f>
        <v>-210.835728293846</v>
      </c>
      <c r="AA271" s="22" t="n">
        <f aca="false">ABS(Y271-Z271)</f>
        <v>0.0453741353492774</v>
      </c>
      <c r="AC271" s="17" t="n">
        <f aca="false">30+251*$AD$5</f>
        <v>45.6875</v>
      </c>
      <c r="AD271" s="17" t="n">
        <f aca="false">Ubar_c-Delta_c*AC271</f>
        <v>5.50029378458698</v>
      </c>
      <c r="AE271" s="11" t="n">
        <f aca="false">(-(Cost_k*Ubar_c+Delay_D)+AD271/$AD$5*AE272)/(Rho_a+AD271/$AD$5)</f>
        <v>-319.163351717076</v>
      </c>
      <c r="AF271" s="11" t="n">
        <f aca="false">MAX(AE271,-Delay_D/Rho_a)</f>
        <v>-319.163351717076</v>
      </c>
      <c r="AG271" s="11" t="n">
        <f aca="false">IF(AC271&lt;Floor_F,MAX((-(Cost_k*Ubar_c+Delay_D)*(1-EXP(-Rho_a*LN((Top_c-AC271)/(Top_c-Floor_F))/Delta_c))/Rho_a+EXP(-Rho_a*LN((Top_c-AC271)/(Top_c-Floor_F))/Delta_c)*(-Cost_k*Delta_c*Floor_F/Rho_a)),(-Delay_D/Rho_a)),(EXP(-Rho_a*LN(AC271/Floor_F)/Delta_c)*(-Cost_k*Delta_c*Floor_F/Rho_a)))</f>
        <v>-319.259284254811</v>
      </c>
      <c r="AH271" s="22" t="n">
        <f aca="false">ABS(AF271-AG271)</f>
        <v>0.0959325377347113</v>
      </c>
    </row>
    <row r="272" customFormat="false" ht="15" hidden="false" customHeight="false" outlineLevel="0" collapsed="false">
      <c r="V272" s="17" t="n">
        <f aca="false">30+252*$W$5</f>
        <v>61.5</v>
      </c>
      <c r="W272" s="17" t="n">
        <f aca="false">-Delta_c*V272</f>
        <v>-6.22818076413532</v>
      </c>
      <c r="Y272" s="11" t="n">
        <f aca="false">(-W272/$W$5*Y271)/(Rho_a-W272/$W$5)</f>
        <v>-210.478482010708</v>
      </c>
      <c r="Z272" s="11" t="n">
        <f aca="false">IF(V272&lt;Floor_F,MAX((-(Cost_k*Ubar_c+Delay_D)*(1-EXP(-Rho_a*LN((Top_c-V272)/(Top_c-Floor_F))/Delta_c))/Rho_a+EXP(-Rho_a*LN((Top_c-V272)/(Top_c-Floor_F))/Delta_c)*(-Cost_k*Delta_c*Floor_F/Rho_a)),(-Delay_D/Rho_a)),(EXP(-Rho_a*LN(V272/Floor_F)/Delta_c)*(-Cost_k*Delta_c*Floor_F/Rho_a)))</f>
        <v>-210.432400362814</v>
      </c>
      <c r="AA272" s="22" t="n">
        <f aca="false">ABS(Y272-Z272)</f>
        <v>0.0460816478941126</v>
      </c>
      <c r="AC272" s="17" t="n">
        <f aca="false">30+252*$AD$5</f>
        <v>45.75</v>
      </c>
      <c r="AD272" s="17" t="n">
        <f aca="false">Ubar_c-Delta_c*AC272</f>
        <v>5.49396433259091</v>
      </c>
      <c r="AE272" s="11" t="n">
        <f aca="false">(-(Cost_k*Ubar_c+Delay_D)+AD272/$AD$5*AE273)/(Rho_a+AD272/$AD$5)</f>
        <v>-318.685093441426</v>
      </c>
      <c r="AF272" s="11" t="n">
        <f aca="false">MAX(AE272,-Delay_D/Rho_a)</f>
        <v>-318.685093441426</v>
      </c>
      <c r="AG272" s="11" t="n">
        <f aca="false">IF(AC272&lt;Floor_F,MAX((-(Cost_k*Ubar_c+Delay_D)*(1-EXP(-Rho_a*LN((Top_c-AC272)/(Top_c-Floor_F))/Delta_c))/Rho_a+EXP(-Rho_a*LN((Top_c-AC272)/(Top_c-Floor_F))/Delta_c)*(-Cost_k*Delta_c*Floor_F/Rho_a)),(-Delay_D/Rho_a)),(EXP(-Rho_a*LN(AC272/Floor_F)/Delta_c)*(-Cost_k*Delta_c*Floor_F/Rho_a)))</f>
        <v>-318.780595230963</v>
      </c>
      <c r="AH272" s="22" t="n">
        <f aca="false">ABS(AF272-AG272)</f>
        <v>0.0955017895375931</v>
      </c>
    </row>
    <row r="273" customFormat="false" ht="15" hidden="false" customHeight="false" outlineLevel="0" collapsed="false">
      <c r="V273" s="17" t="n">
        <f aca="false">30+253*$W$5</f>
        <v>61.625</v>
      </c>
      <c r="W273" s="17" t="n">
        <f aca="false">-Delta_c*V273</f>
        <v>-6.24083966812746</v>
      </c>
      <c r="Y273" s="11" t="n">
        <f aca="false">(-W273/$W$5*Y272)/(Rho_a-W273/$W$5)</f>
        <v>-210.077443848961</v>
      </c>
      <c r="Z273" s="11" t="n">
        <f aca="false">IF(V273&lt;Floor_F,MAX((-(Cost_k*Ubar_c+Delay_D)*(1-EXP(-Rho_a*LN((Top_c-V273)/(Top_c-Floor_F))/Delta_c))/Rho_a+EXP(-Rho_a*LN((Top_c-V273)/(Top_c-Floor_F))/Delta_c)*(-Cost_k*Delta_c*Floor_F/Rho_a)),(-Delay_D/Rho_a)),(EXP(-Rho_a*LN(V273/Floor_F)/Delta_c)*(-Cost_k*Delta_c*Floor_F/Rho_a)))</f>
        <v>-210.030660589717</v>
      </c>
      <c r="AA273" s="22" t="n">
        <f aca="false">ABS(Y273-Z273)</f>
        <v>0.046783259244819</v>
      </c>
      <c r="AC273" s="17" t="n">
        <f aca="false">30+253*$AD$5</f>
        <v>45.8125</v>
      </c>
      <c r="AD273" s="17" t="n">
        <f aca="false">Ubar_c-Delta_c*AC273</f>
        <v>5.48763488059484</v>
      </c>
      <c r="AE273" s="11" t="n">
        <f aca="false">(-(Cost_k*Ubar_c+Delay_D)+AD273/$AD$5*AE274)/(Rho_a+AD273/$AD$5)</f>
        <v>-318.20576562062</v>
      </c>
      <c r="AF273" s="11" t="n">
        <f aca="false">MAX(AE273,-Delay_D/Rho_a)</f>
        <v>-318.20576562062</v>
      </c>
      <c r="AG273" s="11" t="n">
        <f aca="false">IF(AC273&lt;Floor_F,MAX((-(Cost_k*Ubar_c+Delay_D)*(1-EXP(-Rho_a*LN((Top_c-AC273)/(Top_c-Floor_F))/Delta_c))/Rho_a+EXP(-Rho_a*LN((Top_c-AC273)/(Top_c-Floor_F))/Delta_c)*(-Cost_k*Delta_c*Floor_F/Rho_a)),(-Delay_D/Rho_a)),(EXP(-Rho_a*LN(AC273/Floor_F)/Delta_c)*(-Cost_k*Delta_c*Floor_F/Rho_a)))</f>
        <v>-318.300834500296</v>
      </c>
      <c r="AH273" s="22" t="n">
        <f aca="false">ABS(AF273-AG273)</f>
        <v>0.0950688796760915</v>
      </c>
    </row>
    <row r="274" customFormat="false" ht="15" hidden="false" customHeight="false" outlineLevel="0" collapsed="false">
      <c r="V274" s="17" t="n">
        <f aca="false">30+254*$W$5</f>
        <v>61.75</v>
      </c>
      <c r="W274" s="17" t="n">
        <f aca="false">-Delta_c*V274</f>
        <v>-6.25349857211961</v>
      </c>
      <c r="Y274" s="11" t="n">
        <f aca="false">(-W274/$W$5*Y273)/(Rho_a-W274/$W$5)</f>
        <v>-209.677978541555</v>
      </c>
      <c r="Z274" s="11" t="n">
        <f aca="false">IF(V274&lt;Floor_F,MAX((-(Cost_k*Ubar_c+Delay_D)*(1-EXP(-Rho_a*LN((Top_c-V274)/(Top_c-Floor_F))/Delta_c))/Rho_a+EXP(-Rho_a*LN((Top_c-V274)/(Top_c-Floor_F))/Delta_c)*(-Cost_k*Delta_c*Floor_F/Rho_a)),(-Delay_D/Rho_a)),(EXP(-Rho_a*LN(V274/Floor_F)/Delta_c)*(-Cost_k*Delta_c*Floor_F/Rho_a)))</f>
        <v>-209.630499518543</v>
      </c>
      <c r="AA274" s="22" t="n">
        <f aca="false">ABS(Y274-Z274)</f>
        <v>0.0474790230124427</v>
      </c>
      <c r="AC274" s="17" t="n">
        <f aca="false">30+254*$AD$5</f>
        <v>45.875</v>
      </c>
      <c r="AD274" s="17" t="n">
        <f aca="false">Ubar_c-Delta_c*AC274</f>
        <v>5.48130542859876</v>
      </c>
      <c r="AE274" s="11" t="n">
        <f aca="false">(-(Cost_k*Ubar_c+Delay_D)+AD274/$AD$5*AE275)/(Rho_a+AD274/$AD$5)</f>
        <v>-317.725364626424</v>
      </c>
      <c r="AF274" s="11" t="n">
        <f aca="false">MAX(AE274,-Delay_D/Rho_a)</f>
        <v>-317.725364626424</v>
      </c>
      <c r="AG274" s="11" t="n">
        <f aca="false">IF(AC274&lt;Floor_F,MAX((-(Cost_k*Ubar_c+Delay_D)*(1-EXP(-Rho_a*LN((Top_c-AC274)/(Top_c-Floor_F))/Delta_c))/Rho_a+EXP(-Rho_a*LN((Top_c-AC274)/(Top_c-Floor_F))/Delta_c)*(-Cost_k*Delta_c*Floor_F/Rho_a)),(-Delay_D/Rho_a)),(EXP(-Rho_a*LN(AC274/Floor_F)/Delta_c)*(-Cost_k*Delta_c*Floor_F/Rho_a)))</f>
        <v>-317.819998423166</v>
      </c>
      <c r="AH274" s="22" t="n">
        <f aca="false">ABS(AF274-AG274)</f>
        <v>0.0946337967426985</v>
      </c>
    </row>
    <row r="275" customFormat="false" ht="15" hidden="false" customHeight="false" outlineLevel="0" collapsed="false">
      <c r="V275" s="17" t="n">
        <f aca="false">30+255*$W$5</f>
        <v>61.875</v>
      </c>
      <c r="W275" s="17" t="n">
        <f aca="false">-Delta_c*V275</f>
        <v>-6.26615747611175</v>
      </c>
      <c r="Y275" s="11" t="n">
        <f aca="false">(-W275/$W$5*Y274)/(Rho_a-W275/$W$5)</f>
        <v>-209.280076760807</v>
      </c>
      <c r="Z275" s="11" t="n">
        <f aca="false">IF(V275&lt;Floor_F,MAX((-(Cost_k*Ubar_c+Delay_D)*(1-EXP(-Rho_a*LN((Top_c-V275)/(Top_c-Floor_F))/Delta_c))/Rho_a+EXP(-Rho_a*LN((Top_c-V275)/(Top_c-Floor_F))/Delta_c)*(-Cost_k*Delta_c*Floor_F/Rho_a)),(-Delay_D/Rho_a)),(EXP(-Rho_a*LN(V275/Floor_F)/Delta_c)*(-Cost_k*Delta_c*Floor_F/Rho_a)))</f>
        <v>-209.231907768573</v>
      </c>
      <c r="AA275" s="22" t="n">
        <f aca="false">ABS(Y275-Z275)</f>
        <v>0.0481689922345652</v>
      </c>
      <c r="AC275" s="17" t="n">
        <f aca="false">30+255*$AD$5</f>
        <v>45.9375</v>
      </c>
      <c r="AD275" s="17" t="n">
        <f aca="false">Ubar_c-Delta_c*AC275</f>
        <v>5.47497597660269</v>
      </c>
      <c r="AE275" s="11" t="n">
        <f aca="false">(-(Cost_k*Ubar_c+Delay_D)+AD275/$AD$5*AE276)/(Rho_a+AD275/$AD$5)</f>
        <v>-317.24388681409</v>
      </c>
      <c r="AF275" s="11" t="n">
        <f aca="false">MAX(AE275,-Delay_D/Rho_a)</f>
        <v>-317.24388681409</v>
      </c>
      <c r="AG275" s="11" t="n">
        <f aca="false">IF(AC275&lt;Floor_F,MAX((-(Cost_k*Ubar_c+Delay_D)*(1-EXP(-Rho_a*LN((Top_c-AC275)/(Top_c-Floor_F))/Delta_c))/Rho_a+EXP(-Rho_a*LN((Top_c-AC275)/(Top_c-Floor_F))/Delta_c)*(-Cost_k*Delta_c*Floor_F/Rho_a)),(-Delay_D/Rho_a)),(EXP(-Rho_a*LN(AC275/Floor_F)/Delta_c)*(-Cost_k*Delta_c*Floor_F/Rho_a)))</f>
        <v>-317.338083343349</v>
      </c>
      <c r="AH275" s="22" t="n">
        <f aca="false">ABS(AF275-AG275)</f>
        <v>0.0941965292591931</v>
      </c>
    </row>
    <row r="276" customFormat="false" ht="15" hidden="false" customHeight="false" outlineLevel="0" collapsed="false">
      <c r="V276" s="17" t="n">
        <f aca="false">30+256*$W$5</f>
        <v>62</v>
      </c>
      <c r="W276" s="17" t="n">
        <f aca="false">-Delta_c*V276</f>
        <v>-6.27881638010389</v>
      </c>
      <c r="Y276" s="11" t="n">
        <f aca="false">(-W276/$W$5*Y275)/(Rho_a-W276/$W$5)</f>
        <v>-208.883729253011</v>
      </c>
      <c r="Z276" s="11" t="n">
        <f aca="false">IF(V276&lt;Floor_F,MAX((-(Cost_k*Ubar_c+Delay_D)*(1-EXP(-Rho_a*LN((Top_c-V276)/(Top_c-Floor_F))/Delta_c))/Rho_a+EXP(-Rho_a*LN((Top_c-V276)/(Top_c-Floor_F))/Delta_c)*(-Cost_k*Delta_c*Floor_F/Rho_a)),(-Delay_D/Rho_a)),(EXP(-Rho_a*LN(V276/Floor_F)/Delta_c)*(-Cost_k*Delta_c*Floor_F/Rho_a)))</f>
        <v>-208.834876033629</v>
      </c>
      <c r="AA276" s="22" t="n">
        <f aca="false">ABS(Y276-Z276)</f>
        <v>0.0488532193826643</v>
      </c>
      <c r="AC276" s="17" t="n">
        <f aca="false">30+256*$AD$5</f>
        <v>46</v>
      </c>
      <c r="AD276" s="17" t="n">
        <f aca="false">Ubar_c-Delta_c*AC276</f>
        <v>5.46864652460662</v>
      </c>
      <c r="AE276" s="11" t="n">
        <f aca="false">(-(Cost_k*Ubar_c+Delay_D)+AD276/$AD$5*AE277)/(Rho_a+AD276/$AD$5)</f>
        <v>-316.761328522265</v>
      </c>
      <c r="AF276" s="11" t="n">
        <f aca="false">MAX(AE276,-Delay_D/Rho_a)</f>
        <v>-316.761328522265</v>
      </c>
      <c r="AG276" s="11" t="n">
        <f aca="false">IF(AC276&lt;Floor_F,MAX((-(Cost_k*Ubar_c+Delay_D)*(1-EXP(-Rho_a*LN((Top_c-AC276)/(Top_c-Floor_F))/Delta_c))/Rho_a+EXP(-Rho_a*LN((Top_c-AC276)/(Top_c-Floor_F))/Delta_c)*(-Cost_k*Delta_c*Floor_F/Rho_a)),(-Delay_D/Rho_a)),(EXP(-Rho_a*LN(AC276/Floor_F)/Delta_c)*(-Cost_k*Delta_c*Floor_F/Rho_a)))</f>
        <v>-316.855085587942</v>
      </c>
      <c r="AH276" s="22" t="n">
        <f aca="false">ABS(AF276-AG276)</f>
        <v>0.0937570656767548</v>
      </c>
    </row>
    <row r="277" customFormat="false" ht="15" hidden="false" customHeight="false" outlineLevel="0" collapsed="false">
      <c r="V277" s="17" t="n">
        <f aca="false">30+257*$W$5</f>
        <v>62.125</v>
      </c>
      <c r="W277" s="17" t="n">
        <f aca="false">-Delta_c*V277</f>
        <v>-6.29147528409604</v>
      </c>
      <c r="Y277" s="11" t="n">
        <f aca="false">(-W277/$W$5*Y276)/(Rho_a-W277/$W$5)</f>
        <v>-208.488926837703</v>
      </c>
      <c r="Z277" s="11" t="n">
        <f aca="false">IF(V277&lt;Floor_F,MAX((-(Cost_k*Ubar_c+Delay_D)*(1-EXP(-Rho_a*LN((Top_c-V277)/(Top_c-Floor_F))/Delta_c))/Rho_a+EXP(-Rho_a*LN((Top_c-V277)/(Top_c-Floor_F))/Delta_c)*(-Cost_k*Delta_c*Floor_F/Rho_a)),(-Delay_D/Rho_a)),(EXP(-Rho_a*LN(V277/Floor_F)/Delta_c)*(-Cost_k*Delta_c*Floor_F/Rho_a)))</f>
        <v>-208.439395081334</v>
      </c>
      <c r="AA277" s="22" t="n">
        <f aca="false">ABS(Y277-Z277)</f>
        <v>0.0495317563689923</v>
      </c>
      <c r="AC277" s="17" t="n">
        <f aca="false">30+257*$AD$5</f>
        <v>46.0625</v>
      </c>
      <c r="AD277" s="17" t="n">
        <f aca="false">Ubar_c-Delta_c*AC277</f>
        <v>5.46231707261055</v>
      </c>
      <c r="AE277" s="11" t="n">
        <f aca="false">(-(Cost_k*Ubar_c+Delay_D)+AD277/$AD$5*AE278)/(Rho_a+AD277/$AD$5)</f>
        <v>-316.277686072896</v>
      </c>
      <c r="AF277" s="11" t="n">
        <f aca="false">MAX(AE277,-Delay_D/Rho_a)</f>
        <v>-316.277686072896</v>
      </c>
      <c r="AG277" s="11" t="n">
        <f aca="false">IF(AC277&lt;Floor_F,MAX((-(Cost_k*Ubar_c+Delay_D)*(1-EXP(-Rho_a*LN((Top_c-AC277)/(Top_c-Floor_F))/Delta_c))/Rho_a+EXP(-Rho_a*LN((Top_c-AC277)/(Top_c-Floor_F))/Delta_c)*(-Cost_k*Delta_c*Floor_F/Rho_a)),(-Delay_D/Rho_a)),(EXP(-Rho_a*LN(AC277/Floor_F)/Delta_c)*(-Cost_k*Delta_c*Floor_F/Rho_a)))</f>
        <v>-316.37100146727</v>
      </c>
      <c r="AH277" s="22" t="n">
        <f aca="false">ABS(AF277-AG277)</f>
        <v>0.0933153943744856</v>
      </c>
    </row>
    <row r="278" customFormat="false" ht="15" hidden="false" customHeight="false" outlineLevel="0" collapsed="false">
      <c r="V278" s="17" t="n">
        <f aca="false">30+258*$W$5</f>
        <v>62.25</v>
      </c>
      <c r="W278" s="17" t="n">
        <f aca="false">-Delta_c*V278</f>
        <v>-6.30413418808818</v>
      </c>
      <c r="Y278" s="11" t="n">
        <f aca="false">(-W278/$W$5*Y277)/(Rho_a-W278/$W$5)</f>
        <v>-208.095660406934</v>
      </c>
      <c r="Z278" s="11" t="n">
        <f aca="false">IF(V278&lt;Floor_F,MAX((-(Cost_k*Ubar_c+Delay_D)*(1-EXP(-Rho_a*LN((Top_c-V278)/(Top_c-Floor_F))/Delta_c))/Rho_a+EXP(-Rho_a*LN((Top_c-V278)/(Top_c-Floor_F))/Delta_c)*(-Cost_k*Delta_c*Floor_F/Rho_a)),(-Delay_D/Rho_a)),(EXP(-Rho_a*LN(V278/Floor_F)/Delta_c)*(-Cost_k*Delta_c*Floor_F/Rho_a)))</f>
        <v>-208.045455752381</v>
      </c>
      <c r="AA278" s="22" t="n">
        <f aca="false">ABS(Y278-Z278)</f>
        <v>0.0502046545536246</v>
      </c>
      <c r="AC278" s="17" t="n">
        <f aca="false">30+258*$AD$5</f>
        <v>46.125</v>
      </c>
      <c r="AD278" s="17" t="n">
        <f aca="false">Ubar_c-Delta_c*AC278</f>
        <v>5.45598762061447</v>
      </c>
      <c r="AE278" s="11" t="n">
        <f aca="false">(-(Cost_k*Ubar_c+Delay_D)+AD278/$AD$5*AE279)/(Rho_a+AD278/$AD$5)</f>
        <v>-315.79295577113</v>
      </c>
      <c r="AF278" s="11" t="n">
        <f aca="false">MAX(AE278,-Delay_D/Rho_a)</f>
        <v>-315.79295577113</v>
      </c>
      <c r="AG278" s="11" t="n">
        <f aca="false">IF(AC278&lt;Floor_F,MAX((-(Cost_k*Ubar_c+Delay_D)*(1-EXP(-Rho_a*LN((Top_c-AC278)/(Top_c-Floor_F))/Delta_c))/Rho_a+EXP(-Rho_a*LN((Top_c-AC278)/(Top_c-Floor_F))/Delta_c)*(-Cost_k*Delta_c*Floor_F/Rho_a)),(-Delay_D/Rho_a)),(EXP(-Rho_a*LN(AC278/Floor_F)/Delta_c)*(-Cost_k*Delta_c*Floor_F/Rho_a)))</f>
        <v>-315.88582727479</v>
      </c>
      <c r="AH278" s="22" t="n">
        <f aca="false">ABS(AF278-AG278)</f>
        <v>0.0928715036599215</v>
      </c>
    </row>
    <row r="279" customFormat="false" ht="15" hidden="false" customHeight="false" outlineLevel="0" collapsed="false">
      <c r="V279" s="17" t="n">
        <f aca="false">30+259*$W$5</f>
        <v>62.375</v>
      </c>
      <c r="W279" s="17" t="n">
        <f aca="false">-Delta_c*V279</f>
        <v>-6.31679309208033</v>
      </c>
      <c r="Y279" s="11" t="n">
        <f aca="false">(-W279/$W$5*Y278)/(Rho_a-W279/$W$5)</f>
        <v>-207.703920924558</v>
      </c>
      <c r="Z279" s="11" t="n">
        <f aca="false">IF(V279&lt;Floor_F,MAX((-(Cost_k*Ubar_c+Delay_D)*(1-EXP(-Rho_a*LN((Top_c-V279)/(Top_c-Floor_F))/Delta_c))/Rho_a+EXP(-Rho_a*LN((Top_c-V279)/(Top_c-Floor_F))/Delta_c)*(-Cost_k*Delta_c*Floor_F/Rho_a)),(-Delay_D/Rho_a)),(EXP(-Rho_a*LN(V279/Floor_F)/Delta_c)*(-Cost_k*Delta_c*Floor_F/Rho_a)))</f>
        <v>-207.653048959806</v>
      </c>
      <c r="AA279" s="22" t="n">
        <f aca="false">ABS(Y279-Z279)</f>
        <v>0.0508719647512237</v>
      </c>
      <c r="AC279" s="17" t="n">
        <f aca="false">30+259*$AD$5</f>
        <v>46.1875</v>
      </c>
      <c r="AD279" s="17" t="n">
        <f aca="false">Ubar_c-Delta_c*AC279</f>
        <v>5.4496581686184</v>
      </c>
      <c r="AE279" s="11" t="n">
        <f aca="false">(-(Cost_k*Ubar_c+Delay_D)+AD279/$AD$5*AE280)/(Rho_a+AD279/$AD$5)</f>
        <v>-315.307133905223</v>
      </c>
      <c r="AF279" s="11" t="n">
        <f aca="false">MAX(AE279,-Delay_D/Rho_a)</f>
        <v>-315.307133905223</v>
      </c>
      <c r="AG279" s="11" t="n">
        <f aca="false">IF(AC279&lt;Floor_F,MAX((-(Cost_k*Ubar_c+Delay_D)*(1-EXP(-Rho_a*LN((Top_c-AC279)/(Top_c-Floor_F))/Delta_c))/Rho_a+EXP(-Rho_a*LN((Top_c-AC279)/(Top_c-Floor_F))/Delta_c)*(-Cost_k*Delta_c*Floor_F/Rho_a)),(-Delay_D/Rho_a)),(EXP(-Rho_a*LN(AC279/Floor_F)/Delta_c)*(-Cost_k*Delta_c*Floor_F/Rho_a)))</f>
        <v>-315.399559286991</v>
      </c>
      <c r="AH279" s="22" t="n">
        <f aca="false">ABS(AF279-AG279)</f>
        <v>0.0924253817678391</v>
      </c>
    </row>
    <row r="280" customFormat="false" ht="15" hidden="false" customHeight="false" outlineLevel="0" collapsed="false">
      <c r="V280" s="17" t="n">
        <f aca="false">30+260*$W$5</f>
        <v>62.5</v>
      </c>
      <c r="W280" s="17" t="n">
        <f aca="false">-Delta_c*V280</f>
        <v>-6.32945199607247</v>
      </c>
      <c r="Y280" s="11" t="n">
        <f aca="false">(-W280/$W$5*Y279)/(Rho_a-W280/$W$5)</f>
        <v>-207.313699425516</v>
      </c>
      <c r="Z280" s="11" t="n">
        <f aca="false">IF(V280&lt;Floor_F,MAX((-(Cost_k*Ubar_c+Delay_D)*(1-EXP(-Rho_a*LN((Top_c-V280)/(Top_c-Floor_F))/Delta_c))/Rho_a+EXP(-Rho_a*LN((Top_c-V280)/(Top_c-Floor_F))/Delta_c)*(-Cost_k*Delta_c*Floor_F/Rho_a)),(-Delay_D/Rho_a)),(EXP(-Rho_a*LN(V280/Floor_F)/Delta_c)*(-Cost_k*Delta_c*Floor_F/Rho_a)))</f>
        <v>-207.262165688278</v>
      </c>
      <c r="AA280" s="22" t="n">
        <f aca="false">ABS(Y280-Z280)</f>
        <v>0.0515337372379747</v>
      </c>
      <c r="AC280" s="17" t="n">
        <f aca="false">30+260*$AD$5</f>
        <v>46.25</v>
      </c>
      <c r="AD280" s="17" t="n">
        <f aca="false">Ubar_c-Delta_c*AC280</f>
        <v>5.44332871662233</v>
      </c>
      <c r="AE280" s="11" t="n">
        <f aca="false">(-(Cost_k*Ubar_c+Delay_D)+AD280/$AD$5*AE281)/(Rho_a+AD280/$AD$5)</f>
        <v>-314.820216746441</v>
      </c>
      <c r="AF280" s="11" t="n">
        <f aca="false">MAX(AE280,-Delay_D/Rho_a)</f>
        <v>-314.820216746441</v>
      </c>
      <c r="AG280" s="11" t="n">
        <f aca="false">IF(AC280&lt;Floor_F,MAX((-(Cost_k*Ubar_c+Delay_D)*(1-EXP(-Rho_a*LN((Top_c-AC280)/(Top_c-Floor_F))/Delta_c))/Rho_a+EXP(-Rho_a*LN((Top_c-AC280)/(Top_c-Floor_F))/Delta_c)*(-Cost_k*Delta_c*Floor_F/Rho_a)),(-Delay_D/Rho_a)),(EXP(-Rho_a*LN(AC280/Floor_F)/Delta_c)*(-Cost_k*Delta_c*Floor_F/Rho_a)))</f>
        <v>-314.912193763301</v>
      </c>
      <c r="AH280" s="22" t="n">
        <f aca="false">ABS(AF280-AG280)</f>
        <v>0.0919770168599712</v>
      </c>
    </row>
    <row r="281" customFormat="false" ht="15" hidden="false" customHeight="false" outlineLevel="0" collapsed="false">
      <c r="V281" s="17" t="n">
        <f aca="false">30+261*$W$5</f>
        <v>62.625</v>
      </c>
      <c r="W281" s="17" t="n">
        <f aca="false">-Delta_c*V281</f>
        <v>-6.34211090006462</v>
      </c>
      <c r="Y281" s="11" t="n">
        <f aca="false">(-W281/$W$5*Y280)/(Rho_a-W281/$W$5)</f>
        <v>-206.924987015146</v>
      </c>
      <c r="Z281" s="11" t="n">
        <f aca="false">IF(V281&lt;Floor_F,MAX((-(Cost_k*Ubar_c+Delay_D)*(1-EXP(-Rho_a*LN((Top_c-V281)/(Top_c-Floor_F))/Delta_c))/Rho_a+EXP(-Rho_a*LN((Top_c-V281)/(Top_c-Floor_F))/Delta_c)*(-Cost_k*Delta_c*Floor_F/Rho_a)),(-Delay_D/Rho_a)),(EXP(-Rho_a*LN(V281/Floor_F)/Delta_c)*(-Cost_k*Delta_c*Floor_F/Rho_a)))</f>
        <v>-206.872796993387</v>
      </c>
      <c r="AA281" s="22" t="n">
        <f aca="false">ABS(Y281-Z281)</f>
        <v>0.0521900217580935</v>
      </c>
      <c r="AC281" s="17" t="n">
        <f aca="false">30+261*$AD$5</f>
        <v>46.3125</v>
      </c>
      <c r="AD281" s="17" t="n">
        <f aca="false">Ubar_c-Delta_c*AC281</f>
        <v>5.43699926462626</v>
      </c>
      <c r="AE281" s="11" t="n">
        <f aca="false">(-(Cost_k*Ubar_c+Delay_D)+AD281/$AD$5*AE282)/(Rho_a+AD281/$AD$5)</f>
        <v>-314.332200548961</v>
      </c>
      <c r="AF281" s="11" t="n">
        <f aca="false">MAX(AE281,-Delay_D/Rho_a)</f>
        <v>-314.332200548961</v>
      </c>
      <c r="AG281" s="11" t="n">
        <f aca="false">IF(AC281&lt;Floor_F,MAX((-(Cost_k*Ubar_c+Delay_D)*(1-EXP(-Rho_a*LN((Top_c-AC281)/(Top_c-Floor_F))/Delta_c))/Rho_a+EXP(-Rho_a*LN((Top_c-AC281)/(Top_c-Floor_F))/Delta_c)*(-Cost_k*Delta_c*Floor_F/Rho_a)),(-Delay_D/Rho_a)),(EXP(-Rho_a*LN(AC281/Floor_F)/Delta_c)*(-Cost_k*Delta_c*Floor_F/Rho_a)))</f>
        <v>-314.423726945985</v>
      </c>
      <c r="AH281" s="22" t="n">
        <f aca="false">ABS(AF281-AG281)</f>
        <v>0.0915263970244951</v>
      </c>
    </row>
    <row r="282" customFormat="false" ht="15" hidden="false" customHeight="false" outlineLevel="0" collapsed="false">
      <c r="V282" s="17" t="n">
        <f aca="false">30+262*$W$5</f>
        <v>62.75</v>
      </c>
      <c r="W282" s="17" t="n">
        <f aca="false">-Delta_c*V282</f>
        <v>-6.35476980405676</v>
      </c>
      <c r="Y282" s="11" t="n">
        <f aca="false">(-W282/$W$5*Y281)/(Rho_a-W282/$W$5)</f>
        <v>-206.537774868481</v>
      </c>
      <c r="Z282" s="11" t="n">
        <f aca="false">IF(V282&lt;Floor_F,MAX((-(Cost_k*Ubar_c+Delay_D)*(1-EXP(-Rho_a*LN((Top_c-V282)/(Top_c-Floor_F))/Delta_c))/Rho_a+EXP(-Rho_a*LN((Top_c-V282)/(Top_c-Floor_F))/Delta_c)*(-Cost_k*Delta_c*Floor_F/Rho_a)),(-Delay_D/Rho_a)),(EXP(-Rho_a*LN(V282/Floor_F)/Delta_c)*(-Cost_k*Delta_c*Floor_F/Rho_a)))</f>
        <v>-206.48493400095</v>
      </c>
      <c r="AA282" s="22" t="n">
        <f aca="false">ABS(Y282-Z282)</f>
        <v>0.0528408675305343</v>
      </c>
      <c r="AC282" s="17" t="n">
        <f aca="false">30+262*$AD$5</f>
        <v>46.375</v>
      </c>
      <c r="AD282" s="17" t="n">
        <f aca="false">Ubar_c-Delta_c*AC282</f>
        <v>5.43066981263018</v>
      </c>
      <c r="AE282" s="11" t="n">
        <f aca="false">(-(Cost_k*Ubar_c+Delay_D)+AD282/$AD$5*AE283)/(Rho_a+AD282/$AD$5)</f>
        <v>-313.843081549775</v>
      </c>
      <c r="AF282" s="11" t="n">
        <f aca="false">MAX(AE282,-Delay_D/Rho_a)</f>
        <v>-313.843081549775</v>
      </c>
      <c r="AG282" s="11" t="n">
        <f aca="false">IF(AC282&lt;Floor_F,MAX((-(Cost_k*Ubar_c+Delay_D)*(1-EXP(-Rho_a*LN((Top_c-AC282)/(Top_c-Floor_F))/Delta_c))/Rho_a+EXP(-Rho_a*LN((Top_c-AC282)/(Top_c-Floor_F))/Delta_c)*(-Cost_k*Delta_c*Floor_F/Rho_a)),(-Delay_D/Rho_a)),(EXP(-Rho_a*LN(AC282/Floor_F)/Delta_c)*(-Cost_k*Delta_c*Floor_F/Rho_a)))</f>
        <v>-313.93415506005</v>
      </c>
      <c r="AH282" s="22" t="n">
        <f aca="false">ABS(AF282-AG282)</f>
        <v>0.0910735102750664</v>
      </c>
    </row>
    <row r="283" customFormat="false" ht="15" hidden="false" customHeight="false" outlineLevel="0" collapsed="false">
      <c r="V283" s="17" t="n">
        <f aca="false">30+263*$W$5</f>
        <v>62.875</v>
      </c>
      <c r="W283" s="17" t="n">
        <f aca="false">-Delta_c*V283</f>
        <v>-6.36742870804891</v>
      </c>
      <c r="Y283" s="11" t="n">
        <f aca="false">(-W283/$W$5*Y282)/(Rho_a-W283/$W$5)</f>
        <v>-206.152054229575</v>
      </c>
      <c r="Z283" s="11" t="n">
        <f aca="false">IF(V283&lt;Floor_F,MAX((-(Cost_k*Ubar_c+Delay_D)*(1-EXP(-Rho_a*LN((Top_c-V283)/(Top_c-Floor_F))/Delta_c))/Rho_a+EXP(-Rho_a*LN((Top_c-V283)/(Top_c-Floor_F))/Delta_c)*(-Cost_k*Delta_c*Floor_F/Rho_a)),(-Delay_D/Rho_a)),(EXP(-Rho_a*LN(V283/Floor_F)/Delta_c)*(-Cost_k*Delta_c*Floor_F/Rho_a)))</f>
        <v>-206.09856790632</v>
      </c>
      <c r="AA283" s="22" t="n">
        <f aca="false">ABS(Y283-Z283)</f>
        <v>0.0534863232552709</v>
      </c>
      <c r="AC283" s="17" t="n">
        <f aca="false">30+263*$AD$5</f>
        <v>46.4375</v>
      </c>
      <c r="AD283" s="17" t="n">
        <f aca="false">Ubar_c-Delta_c*AC283</f>
        <v>5.42434036063411</v>
      </c>
      <c r="AE283" s="11" t="n">
        <f aca="false">(-(Cost_k*Ubar_c+Delay_D)+AD283/$AD$5*AE284)/(Rho_a+AD283/$AD$5)</f>
        <v>-313.352855968589</v>
      </c>
      <c r="AF283" s="11" t="n">
        <f aca="false">MAX(AE283,-Delay_D/Rho_a)</f>
        <v>-313.352855968589</v>
      </c>
      <c r="AG283" s="11" t="n">
        <f aca="false">IF(AC283&lt;Floor_F,MAX((-(Cost_k*Ubar_c+Delay_D)*(1-EXP(-Rho_a*LN((Top_c-AC283)/(Top_c-Floor_F))/Delta_c))/Rho_a+EXP(-Rho_a*LN((Top_c-AC283)/(Top_c-Floor_F))/Delta_c)*(-Cost_k*Delta_c*Floor_F/Rho_a)),(-Delay_D/Rho_a)),(EXP(-Rho_a*LN(AC283/Floor_F)/Delta_c)*(-Cost_k*Delta_c*Floor_F/Rho_a)))</f>
        <v>-313.44347431314</v>
      </c>
      <c r="AH283" s="22" t="n">
        <f aca="false">ABS(AF283-AG283)</f>
        <v>0.0906183445511601</v>
      </c>
    </row>
    <row r="284" customFormat="false" ht="15" hidden="false" customHeight="false" outlineLevel="0" collapsed="false">
      <c r="V284" s="17" t="n">
        <f aca="false">30+264*$W$5</f>
        <v>63</v>
      </c>
      <c r="W284" s="17" t="n">
        <f aca="false">-Delta_c*V284</f>
        <v>-6.38008761204105</v>
      </c>
      <c r="Y284" s="11" t="n">
        <f aca="false">(-W284/$W$5*Y283)/(Rho_a-W284/$W$5)</f>
        <v>-205.767816410822</v>
      </c>
      <c r="Z284" s="11" t="n">
        <f aca="false">IF(V284&lt;Floor_F,MAX((-(Cost_k*Ubar_c+Delay_D)*(1-EXP(-Rho_a*LN((Top_c-V284)/(Top_c-Floor_F))/Delta_c))/Rho_a+EXP(-Rho_a*LN((Top_c-V284)/(Top_c-Floor_F))/Delta_c)*(-Cost_k*Delta_c*Floor_F/Rho_a)),(-Delay_D/Rho_a)),(EXP(-Rho_a*LN(V284/Floor_F)/Delta_c)*(-Cost_k*Delta_c*Floor_F/Rho_a)))</f>
        <v>-205.713689973701</v>
      </c>
      <c r="AA284" s="22" t="n">
        <f aca="false">ABS(Y284-Z284)</f>
        <v>0.0541264371200327</v>
      </c>
      <c r="AC284" s="17" t="n">
        <f aca="false">30+264*$AD$5</f>
        <v>46.5</v>
      </c>
      <c r="AD284" s="17" t="n">
        <f aca="false">Ubar_c-Delta_c*AC284</f>
        <v>5.41801090863804</v>
      </c>
      <c r="AE284" s="11" t="n">
        <f aca="false">(-(Cost_k*Ubar_c+Delay_D)+AD284/$AD$5*AE285)/(Rho_a+AD284/$AD$5)</f>
        <v>-312.861520007725</v>
      </c>
      <c r="AF284" s="11" t="n">
        <f aca="false">MAX(AE284,-Delay_D/Rho_a)</f>
        <v>-312.861520007725</v>
      </c>
      <c r="AG284" s="11" t="n">
        <f aca="false">IF(AC284&lt;Floor_F,MAX((-(Cost_k*Ubar_c+Delay_D)*(1-EXP(-Rho_a*LN((Top_c-AC284)/(Top_c-Floor_F))/Delta_c))/Rho_a+EXP(-Rho_a*LN((Top_c-AC284)/(Top_c-Floor_F))/Delta_c)*(-Cost_k*Delta_c*Floor_F/Rho_a)),(-Delay_D/Rho_a)),(EXP(-Rho_a*LN(AC284/Floor_F)/Delta_c)*(-Cost_k*Delta_c*Floor_F/Rho_a)))</f>
        <v>-312.951680895442</v>
      </c>
      <c r="AH284" s="22" t="n">
        <f aca="false">ABS(AF284-AG284)</f>
        <v>0.0901608877167632</v>
      </c>
    </row>
    <row r="285" customFormat="false" ht="15" hidden="false" customHeight="false" outlineLevel="0" collapsed="false">
      <c r="V285" s="17" t="n">
        <f aca="false">30+265*$W$5</f>
        <v>63.125</v>
      </c>
      <c r="W285" s="17" t="n">
        <f aca="false">-Delta_c*V285</f>
        <v>-6.3927465160332</v>
      </c>
      <c r="Y285" s="11" t="n">
        <f aca="false">(-W285/$W$5*Y284)/(Rho_a-W285/$W$5)</f>
        <v>-205.385052792288</v>
      </c>
      <c r="Z285" s="11" t="n">
        <f aca="false">IF(V285&lt;Floor_F,MAX((-(Cost_k*Ubar_c+Delay_D)*(1-EXP(-Rho_a*LN((Top_c-V285)/(Top_c-Floor_F))/Delta_c))/Rho_a+EXP(-Rho_a*LN((Top_c-V285)/(Top_c-Floor_F))/Delta_c)*(-Cost_k*Delta_c*Floor_F/Rho_a)),(-Delay_D/Rho_a)),(EXP(-Rho_a*LN(V285/Floor_F)/Delta_c)*(-Cost_k*Delta_c*Floor_F/Rho_a)))</f>
        <v>-205.330291535482</v>
      </c>
      <c r="AA285" s="22" t="n">
        <f aca="false">ABS(Y285-Z285)</f>
        <v>0.0547612568061027</v>
      </c>
      <c r="AC285" s="17" t="n">
        <f aca="false">30+265*$AD$5</f>
        <v>46.5625</v>
      </c>
      <c r="AD285" s="17" t="n">
        <f aca="false">Ubar_c-Delta_c*AC285</f>
        <v>5.41168145664197</v>
      </c>
      <c r="AE285" s="11" t="n">
        <f aca="false">(-(Cost_k*Ubar_c+Delay_D)+AD285/$AD$5*AE286)/(Rho_a+AD285/$AD$5)</f>
        <v>-312.369069852021</v>
      </c>
      <c r="AF285" s="11" t="n">
        <f aca="false">MAX(AE285,-Delay_D/Rho_a)</f>
        <v>-312.369069852021</v>
      </c>
      <c r="AG285" s="11" t="n">
        <f aca="false">IF(AC285&lt;Floor_F,MAX((-(Cost_k*Ubar_c+Delay_D)*(1-EXP(-Rho_a*LN((Top_c-AC285)/(Top_c-Floor_F))/Delta_c))/Rho_a+EXP(-Rho_a*LN((Top_c-AC285)/(Top_c-Floor_F))/Delta_c)*(-Cost_k*Delta_c*Floor_F/Rho_a)),(-Delay_D/Rho_a)),(EXP(-Rho_a*LN(AC285/Floor_F)/Delta_c)*(-Cost_k*Delta_c*Floor_F/Rho_a)))</f>
        <v>-312.45877097958</v>
      </c>
      <c r="AH285" s="22" t="n">
        <f aca="false">ABS(AF285-AG285)</f>
        <v>0.0897011275599198</v>
      </c>
    </row>
    <row r="286" customFormat="false" ht="15" hidden="false" customHeight="false" outlineLevel="0" collapsed="false">
      <c r="V286" s="17" t="n">
        <f aca="false">30+266*$W$5</f>
        <v>63.25</v>
      </c>
      <c r="W286" s="17" t="n">
        <f aca="false">-Delta_c*V286</f>
        <v>-6.40540542002534</v>
      </c>
      <c r="Y286" s="11" t="n">
        <f aca="false">(-W286/$W$5*Y285)/(Rho_a-W286/$W$5)</f>
        <v>-205.003754821057</v>
      </c>
      <c r="Z286" s="11" t="n">
        <f aca="false">IF(V286&lt;Floor_F,MAX((-(Cost_k*Ubar_c+Delay_D)*(1-EXP(-Rho_a*LN((Top_c-V286)/(Top_c-Floor_F))/Delta_c))/Rho_a+EXP(-Rho_a*LN((Top_c-V286)/(Top_c-Floor_F))/Delta_c)*(-Cost_k*Delta_c*Floor_F/Rho_a)),(-Delay_D/Rho_a)),(EXP(-Rho_a*LN(V286/Floor_F)/Delta_c)*(-Cost_k*Delta_c*Floor_F/Rho_a)))</f>
        <v>-204.948363991562</v>
      </c>
      <c r="AA286" s="22" t="n">
        <f aca="false">ABS(Y286-Z286)</f>
        <v>0.0553908294950247</v>
      </c>
      <c r="AC286" s="17" t="n">
        <f aca="false">30+266*$AD$5</f>
        <v>46.625</v>
      </c>
      <c r="AD286" s="17" t="n">
        <f aca="false">Ubar_c-Delta_c*AC286</f>
        <v>5.40535200464589</v>
      </c>
      <c r="AE286" s="11" t="n">
        <f aca="false">(-(Cost_k*Ubar_c+Delay_D)+AD286/$AD$5*AE287)/(Rho_a+AD286/$AD$5)</f>
        <v>-311.875501668726</v>
      </c>
      <c r="AF286" s="11" t="n">
        <f aca="false">MAX(AE286,-Delay_D/Rho_a)</f>
        <v>-311.875501668726</v>
      </c>
      <c r="AG286" s="11" t="n">
        <f aca="false">IF(AC286&lt;Floor_F,MAX((-(Cost_k*Ubar_c+Delay_D)*(1-EXP(-Rho_a*LN((Top_c-AC286)/(Top_c-Floor_F))/Delta_c))/Rho_a+EXP(-Rho_a*LN((Top_c-AC286)/(Top_c-Floor_F))/Delta_c)*(-Cost_k*Delta_c*Floor_F/Rho_a)),(-Delay_D/Rho_a)),(EXP(-Rho_a*LN(AC286/Floor_F)/Delta_c)*(-Cost_k*Delta_c*Floor_F/Rho_a)))</f>
        <v>-311.964740720519</v>
      </c>
      <c r="AH286" s="22" t="n">
        <f aca="false">ABS(AF286-AG286)</f>
        <v>0.0892390517926174</v>
      </c>
    </row>
    <row r="287" customFormat="false" ht="15" hidden="false" customHeight="false" outlineLevel="0" collapsed="false">
      <c r="V287" s="17" t="n">
        <f aca="false">30+267*$W$5</f>
        <v>63.375</v>
      </c>
      <c r="W287" s="17" t="n">
        <f aca="false">-Delta_c*V287</f>
        <v>-6.41806432401749</v>
      </c>
      <c r="Y287" s="11" t="n">
        <f aca="false">(-W287/$W$5*Y286)/(Rho_a-W287/$W$5)</f>
        <v>-204.623914010572</v>
      </c>
      <c r="Z287" s="11" t="n">
        <f aca="false">IF(V287&lt;Floor_F,MAX((-(Cost_k*Ubar_c+Delay_D)*(1-EXP(-Rho_a*LN((Top_c-V287)/(Top_c-Floor_F))/Delta_c))/Rho_a+EXP(-Rho_a*LN((Top_c-V287)/(Top_c-Floor_F))/Delta_c)*(-Cost_k*Delta_c*Floor_F/Rho_a)),(-Delay_D/Rho_a)),(EXP(-Rho_a*LN(V287/Floor_F)/Delta_c)*(-Cost_k*Delta_c*Floor_F/Rho_a)))</f>
        <v>-204.567898808698</v>
      </c>
      <c r="AA287" s="22" t="n">
        <f aca="false">ABS(Y287-Z287)</f>
        <v>0.0560152018744589</v>
      </c>
      <c r="AC287" s="17" t="n">
        <f aca="false">30+267*$AD$5</f>
        <v>46.6875</v>
      </c>
      <c r="AD287" s="17" t="n">
        <f aca="false">Ubar_c-Delta_c*AC287</f>
        <v>5.39902255264982</v>
      </c>
      <c r="AE287" s="11" t="n">
        <f aca="false">(-(Cost_k*Ubar_c+Delay_D)+AD287/$AD$5*AE288)/(Rho_a+AD287/$AD$5)</f>
        <v>-311.380811607405</v>
      </c>
      <c r="AF287" s="11" t="n">
        <f aca="false">MAX(AE287,-Delay_D/Rho_a)</f>
        <v>-311.380811607405</v>
      </c>
      <c r="AG287" s="11" t="n">
        <f aca="false">IF(AC287&lt;Floor_F,MAX((-(Cost_k*Ubar_c+Delay_D)*(1-EXP(-Rho_a*LN((Top_c-AC287)/(Top_c-Floor_F))/Delta_c))/Rho_a+EXP(-Rho_a*LN((Top_c-AC287)/(Top_c-Floor_F))/Delta_c)*(-Cost_k*Delta_c*Floor_F/Rho_a)),(-Delay_D/Rho_a)),(EXP(-Rho_a*LN(AC287/Floor_F)/Delta_c)*(-Cost_k*Delta_c*Floor_F/Rho_a)))</f>
        <v>-311.469586255455</v>
      </c>
      <c r="AH287" s="22" t="n">
        <f aca="false">ABS(AF287-AG287)</f>
        <v>0.088774648049764</v>
      </c>
    </row>
    <row r="288" customFormat="false" ht="15" hidden="false" customHeight="false" outlineLevel="0" collapsed="false">
      <c r="V288" s="17" t="n">
        <f aca="false">30+268*$W$5</f>
        <v>63.5</v>
      </c>
      <c r="W288" s="17" t="n">
        <f aca="false">-Delta_c*V288</f>
        <v>-6.43072322800963</v>
      </c>
      <c r="Y288" s="11" t="n">
        <f aca="false">(-W288/$W$5*Y287)/(Rho_a-W288/$W$5)</f>
        <v>-204.245521939997</v>
      </c>
      <c r="Z288" s="11" t="n">
        <f aca="false">IF(V288&lt;Floor_F,MAX((-(Cost_k*Ubar_c+Delay_D)*(1-EXP(-Rho_a*LN((Top_c-V288)/(Top_c-Floor_F))/Delta_c))/Rho_a+EXP(-Rho_a*LN((Top_c-V288)/(Top_c-Floor_F))/Delta_c)*(-Cost_k*Delta_c*Floor_F/Rho_a)),(-Delay_D/Rho_a)),(EXP(-Rho_a*LN(V288/Floor_F)/Delta_c)*(-Cost_k*Delta_c*Floor_F/Rho_a)))</f>
        <v>-204.188887519853</v>
      </c>
      <c r="AA288" s="22" t="n">
        <f aca="false">ABS(Y288-Z288)</f>
        <v>0.0566344201442064</v>
      </c>
      <c r="AC288" s="17" t="n">
        <f aca="false">30+268*$AD$5</f>
        <v>46.75</v>
      </c>
      <c r="AD288" s="17" t="n">
        <f aca="false">Ubar_c-Delta_c*AC288</f>
        <v>5.39269310065375</v>
      </c>
      <c r="AE288" s="11" t="n">
        <f aca="false">(-(Cost_k*Ubar_c+Delay_D)+AD288/$AD$5*AE289)/(Rho_a+AD288/$AD$5)</f>
        <v>-310.88499579983</v>
      </c>
      <c r="AF288" s="11" t="n">
        <f aca="false">MAX(AE288,-Delay_D/Rho_a)</f>
        <v>-310.88499579983</v>
      </c>
      <c r="AG288" s="11" t="n">
        <f aca="false">IF(AC288&lt;Floor_F,MAX((-(Cost_k*Ubar_c+Delay_D)*(1-EXP(-Rho_a*LN((Top_c-AC288)/(Top_c-Floor_F))/Delta_c))/Rho_a+EXP(-Rho_a*LN((Top_c-AC288)/(Top_c-Floor_F))/Delta_c)*(-Cost_k*Delta_c*Floor_F/Rho_a)),(-Delay_D/Rho_a)),(EXP(-Rho_a*LN(AC288/Floor_F)/Delta_c)*(-Cost_k*Delta_c*Floor_F/Rho_a)))</f>
        <v>-310.973303703719</v>
      </c>
      <c r="AH288" s="22" t="n">
        <f aca="false">ABS(AF288-AG288)</f>
        <v>0.0883079038890173</v>
      </c>
    </row>
    <row r="289" customFormat="false" ht="15" hidden="false" customHeight="false" outlineLevel="0" collapsed="false">
      <c r="V289" s="17" t="n">
        <f aca="false">30+269*$W$5</f>
        <v>63.625</v>
      </c>
      <c r="W289" s="17" t="n">
        <f aca="false">-Delta_c*V289</f>
        <v>-6.44338213200178</v>
      </c>
      <c r="Y289" s="11" t="n">
        <f aca="false">(-W289/$W$5*Y288)/(Rho_a-W289/$W$5)</f>
        <v>-203.868570253576</v>
      </c>
      <c r="Z289" s="11" t="n">
        <f aca="false">IF(V289&lt;Floor_F,MAX((-(Cost_k*Ubar_c+Delay_D)*(1-EXP(-Rho_a*LN((Top_c-V289)/(Top_c-Floor_F))/Delta_c))/Rho_a+EXP(-Rho_a*LN((Top_c-V289)/(Top_c-Floor_F))/Delta_c)*(-Cost_k*Delta_c*Floor_F/Rho_a)),(-Delay_D/Rho_a)),(EXP(-Rho_a*LN(V289/Floor_F)/Delta_c)*(-Cost_k*Delta_c*Floor_F/Rho_a)))</f>
        <v>-203.811321723554</v>
      </c>
      <c r="AA289" s="22" t="n">
        <f aca="false">ABS(Y289-Z289)</f>
        <v>0.057248530022207</v>
      </c>
      <c r="AC289" s="17" t="n">
        <f aca="false">30+269*$AD$5</f>
        <v>46.8125</v>
      </c>
      <c r="AD289" s="17" t="n">
        <f aca="false">Ubar_c-Delta_c*AC289</f>
        <v>5.38636364865768</v>
      </c>
      <c r="AE289" s="11" t="n">
        <f aca="false">(-(Cost_k*Ubar_c+Delay_D)+AD289/$AD$5*AE290)/(Rho_a+AD289/$AD$5)</f>
        <v>-310.38805035988</v>
      </c>
      <c r="AF289" s="11" t="n">
        <f aca="false">MAX(AE289,-Delay_D/Rho_a)</f>
        <v>-310.38805035988</v>
      </c>
      <c r="AG289" s="11" t="n">
        <f aca="false">IF(AC289&lt;Floor_F,MAX((-(Cost_k*Ubar_c+Delay_D)*(1-EXP(-Rho_a*LN((Top_c-AC289)/(Top_c-Floor_F))/Delta_c))/Rho_a+EXP(-Rho_a*LN((Top_c-AC289)/(Top_c-Floor_F))/Delta_c)*(-Cost_k*Delta_c*Floor_F/Rho_a)),(-Delay_D/Rho_a)),(EXP(-Rho_a*LN(AC289/Floor_F)/Delta_c)*(-Cost_k*Delta_c*Floor_F/Rho_a)))</f>
        <v>-310.47588916667</v>
      </c>
      <c r="AH289" s="22" t="n">
        <f aca="false">ABS(AF289-AG289)</f>
        <v>0.0878388067898186</v>
      </c>
    </row>
    <row r="290" customFormat="false" ht="15" hidden="false" customHeight="false" outlineLevel="0" collapsed="false">
      <c r="V290" s="17" t="n">
        <f aca="false">30+270*$W$5</f>
        <v>63.75</v>
      </c>
      <c r="W290" s="17" t="n">
        <f aca="false">-Delta_c*V290</f>
        <v>-6.45604103599392</v>
      </c>
      <c r="Y290" s="11" t="n">
        <f aca="false">(-W290/$W$5*Y289)/(Rho_a-W290/$W$5)</f>
        <v>-203.493050660005</v>
      </c>
      <c r="Z290" s="11" t="n">
        <f aca="false">IF(V290&lt;Floor_F,MAX((-(Cost_k*Ubar_c+Delay_D)*(1-EXP(-Rho_a*LN((Top_c-V290)/(Top_c-Floor_F))/Delta_c))/Rho_a+EXP(-Rho_a*LN((Top_c-V290)/(Top_c-Floor_F))/Delta_c)*(-Cost_k*Delta_c*Floor_F/Rho_a)),(-Delay_D/Rho_a)),(EXP(-Rho_a*LN(V290/Floor_F)/Delta_c)*(-Cost_k*Delta_c*Floor_F/Rho_a)))</f>
        <v>-203.435193083254</v>
      </c>
      <c r="AA290" s="22" t="n">
        <f aca="false">ABS(Y290-Z290)</f>
        <v>0.0578575767504788</v>
      </c>
      <c r="AC290" s="17" t="n">
        <f aca="false">30+270*$AD$5</f>
        <v>46.875</v>
      </c>
      <c r="AD290" s="17" t="n">
        <f aca="false">Ubar_c-Delta_c*AC290</f>
        <v>5.3800341966616</v>
      </c>
      <c r="AE290" s="11" t="n">
        <f aca="false">(-(Cost_k*Ubar_c+Delay_D)+AD290/$AD$5*AE291)/(Rho_a+AD290/$AD$5)</f>
        <v>-309.889971383437</v>
      </c>
      <c r="AF290" s="11" t="n">
        <f aca="false">MAX(AE290,-Delay_D/Rho_a)</f>
        <v>-309.889971383437</v>
      </c>
      <c r="AG290" s="11" t="n">
        <f aca="false">IF(AC290&lt;Floor_F,MAX((-(Cost_k*Ubar_c+Delay_D)*(1-EXP(-Rho_a*LN((Top_c-AC290)/(Top_c-Floor_F))/Delta_c))/Rho_a+EXP(-Rho_a*LN((Top_c-AC290)/(Top_c-Floor_F))/Delta_c)*(-Cost_k*Delta_c*Floor_F/Rho_a)),(-Delay_D/Rho_a)),(EXP(-Rho_a*LN(AC290/Floor_F)/Delta_c)*(-Cost_k*Delta_c*Floor_F/Rho_a)))</f>
        <v>-309.97733872759</v>
      </c>
      <c r="AH290" s="22" t="n">
        <f aca="false">ABS(AF290-AG290)</f>
        <v>0.0873673441529945</v>
      </c>
    </row>
    <row r="291" customFormat="false" ht="15" hidden="false" customHeight="false" outlineLevel="0" collapsed="false">
      <c r="V291" s="17" t="n">
        <f aca="false">30+271*$W$5</f>
        <v>63.875</v>
      </c>
      <c r="W291" s="17" t="n">
        <f aca="false">-Delta_c*V291</f>
        <v>-6.46869993998607</v>
      </c>
      <c r="Y291" s="11" t="n">
        <f aca="false">(-W291/$W$5*Y290)/(Rho_a-W291/$W$5)</f>
        <v>-203.118954931809</v>
      </c>
      <c r="Z291" s="11" t="n">
        <f aca="false">IF(V291&lt;Floor_F,MAX((-(Cost_k*Ubar_c+Delay_D)*(1-EXP(-Rho_a*LN((Top_c-V291)/(Top_c-Floor_F))/Delta_c))/Rho_a+EXP(-Rho_a*LN((Top_c-V291)/(Top_c-Floor_F))/Delta_c)*(-Cost_k*Delta_c*Floor_F/Rho_a)),(-Delay_D/Rho_a)),(EXP(-Rho_a*LN(V291/Floor_F)/Delta_c)*(-Cost_k*Delta_c*Floor_F/Rho_a)))</f>
        <v>-203.060493326708</v>
      </c>
      <c r="AA291" s="22" t="n">
        <f aca="false">ABS(Y291-Z291)</f>
        <v>0.0584616051008311</v>
      </c>
      <c r="AC291" s="17" t="n">
        <f aca="false">30+271*$AD$5</f>
        <v>46.9375</v>
      </c>
      <c r="AD291" s="17" t="n">
        <f aca="false">Ubar_c-Delta_c*AC291</f>
        <v>5.37370474466553</v>
      </c>
      <c r="AE291" s="11" t="n">
        <f aca="false">(-(Cost_k*Ubar_c+Delay_D)+AD291/$AD$5*AE292)/(Rho_a+AD291/$AD$5)</f>
        <v>-309.390754948282</v>
      </c>
      <c r="AF291" s="11" t="n">
        <f aca="false">MAX(AE291,-Delay_D/Rho_a)</f>
        <v>-309.390754948282</v>
      </c>
      <c r="AG291" s="11" t="n">
        <f aca="false">IF(AC291&lt;Floor_F,MAX((-(Cost_k*Ubar_c+Delay_D)*(1-EXP(-Rho_a*LN((Top_c-AC291)/(Top_c-Floor_F))/Delta_c))/Rho_a+EXP(-Rho_a*LN((Top_c-AC291)/(Top_c-Floor_F))/Delta_c)*(-Cost_k*Delta_c*Floor_F/Rho_a)),(-Delay_D/Rho_a)),(EXP(-Rho_a*LN(AC291/Floor_F)/Delta_c)*(-Cost_k*Delta_c*Floor_F/Rho_a)))</f>
        <v>-309.477648451582</v>
      </c>
      <c r="AH291" s="22" t="n">
        <f aca="false">ABS(AF291-AG291)</f>
        <v>0.0868935033002458</v>
      </c>
    </row>
    <row r="292" customFormat="false" ht="15" hidden="false" customHeight="false" outlineLevel="0" collapsed="false">
      <c r="V292" s="17" t="n">
        <f aca="false">30+272*$W$5</f>
        <v>64</v>
      </c>
      <c r="W292" s="17" t="n">
        <f aca="false">-Delta_c*V292</f>
        <v>-6.48135884397821</v>
      </c>
      <c r="Y292" s="11" t="n">
        <f aca="false">(-W292/$W$5*Y291)/(Rho_a-W292/$W$5)</f>
        <v>-202.746274904731</v>
      </c>
      <c r="Z292" s="11" t="n">
        <f aca="false">IF(V292&lt;Floor_F,MAX((-(Cost_k*Ubar_c+Delay_D)*(1-EXP(-Rho_a*LN((Top_c-V292)/(Top_c-Floor_F))/Delta_c))/Rho_a+EXP(-Rho_a*LN((Top_c-V292)/(Top_c-Floor_F))/Delta_c)*(-Cost_k*Delta_c*Floor_F/Rho_a)),(-Delay_D/Rho_a)),(EXP(-Rho_a*LN(V292/Floor_F)/Delta_c)*(-Cost_k*Delta_c*Floor_F/Rho_a)))</f>
        <v>-202.68721424535</v>
      </c>
      <c r="AA292" s="22" t="n">
        <f aca="false">ABS(Y292-Z292)</f>
        <v>0.0590606593804353</v>
      </c>
      <c r="AC292" s="17" t="n">
        <f aca="false">30+272*$AD$5</f>
        <v>47</v>
      </c>
      <c r="AD292" s="17" t="n">
        <f aca="false">Ubar_c-Delta_c*AC292</f>
        <v>5.36737529266946</v>
      </c>
      <c r="AE292" s="11" t="n">
        <f aca="false">(-(Cost_k*Ubar_c+Delay_D)+AD292/$AD$5*AE293)/(Rho_a+AD292/$AD$5)</f>
        <v>-308.890397113986</v>
      </c>
      <c r="AF292" s="11" t="n">
        <f aca="false">MAX(AE292,-Delay_D/Rho_a)</f>
        <v>-308.890397113986</v>
      </c>
      <c r="AG292" s="11" t="n">
        <f aca="false">IF(AC292&lt;Floor_F,MAX((-(Cost_k*Ubar_c+Delay_D)*(1-EXP(-Rho_a*LN((Top_c-AC292)/(Top_c-Floor_F))/Delta_c))/Rho_a+EXP(-Rho_a*LN((Top_c-AC292)/(Top_c-Floor_F))/Delta_c)*(-Cost_k*Delta_c*Floor_F/Rho_a)),(-Delay_D/Rho_a)),(EXP(-Rho_a*LN(AC292/Floor_F)/Delta_c)*(-Cost_k*Delta_c*Floor_F/Rho_a)))</f>
        <v>-308.97681438546</v>
      </c>
      <c r="AH292" s="22" t="n">
        <f aca="false">ABS(AF292-AG292)</f>
        <v>0.0864172714735219</v>
      </c>
    </row>
    <row r="293" customFormat="false" ht="15" hidden="false" customHeight="false" outlineLevel="0" collapsed="false">
      <c r="V293" s="17" t="n">
        <f aca="false">30+273*$W$5</f>
        <v>64.125</v>
      </c>
      <c r="W293" s="17" t="n">
        <f aca="false">-Delta_c*V293</f>
        <v>-6.49401774797036</v>
      </c>
      <c r="Y293" s="11" t="n">
        <f aca="false">(-W293/$W$5*Y292)/(Rho_a-W293/$W$5)</f>
        <v>-202.375002477118</v>
      </c>
      <c r="Z293" s="11" t="n">
        <f aca="false">IF(V293&lt;Floor_F,MAX((-(Cost_k*Ubar_c+Delay_D)*(1-EXP(-Rho_a*LN((Top_c-V293)/(Top_c-Floor_F))/Delta_c))/Rho_a+EXP(-Rho_a*LN((Top_c-V293)/(Top_c-Floor_F))/Delta_c)*(-Cost_k*Delta_c*Floor_F/Rho_a)),(-Delay_D/Rho_a)),(EXP(-Rho_a*LN(V293/Floor_F)/Delta_c)*(-Cost_k*Delta_c*Floor_F/Rho_a)))</f>
        <v>-202.31534769368</v>
      </c>
      <c r="AA293" s="22" t="n">
        <f aca="false">ABS(Y293-Z293)</f>
        <v>0.0596547834378498</v>
      </c>
      <c r="AC293" s="17" t="n">
        <f aca="false">30+273*$AD$5</f>
        <v>47.0625</v>
      </c>
      <c r="AD293" s="17" t="n">
        <f aca="false">Ubar_c-Delta_c*AC293</f>
        <v>5.36104584067339</v>
      </c>
      <c r="AE293" s="11" t="n">
        <f aca="false">(-(Cost_k*Ubar_c+Delay_D)+AD293/$AD$5*AE294)/(Rho_a+AD293/$AD$5)</f>
        <v>-308.38889392181</v>
      </c>
      <c r="AF293" s="11" t="n">
        <f aca="false">MAX(AE293,-Delay_D/Rho_a)</f>
        <v>-308.38889392181</v>
      </c>
      <c r="AG293" s="11" t="n">
        <f aca="false">IF(AC293&lt;Floor_F,MAX((-(Cost_k*Ubar_c+Delay_D)*(1-EXP(-Rho_a*LN((Top_c-AC293)/(Top_c-Floor_F))/Delta_c))/Rho_a+EXP(-Rho_a*LN((Top_c-AC293)/(Top_c-Floor_F))/Delta_c)*(-Cost_k*Delta_c*Floor_F/Rho_a)),(-Delay_D/Rho_a)),(EXP(-Rho_a*LN(AC293/Floor_F)/Delta_c)*(-Cost_k*Delta_c*Floor_F/Rho_a)))</f>
        <v>-308.474832557644</v>
      </c>
      <c r="AH293" s="22" t="n">
        <f aca="false">ABS(AF293-AG293)</f>
        <v>0.0859386358344523</v>
      </c>
    </row>
    <row r="294" customFormat="false" ht="15" hidden="false" customHeight="false" outlineLevel="0" collapsed="false">
      <c r="V294" s="17" t="n">
        <f aca="false">30+274*$W$5</f>
        <v>64.25</v>
      </c>
      <c r="W294" s="17" t="n">
        <f aca="false">-Delta_c*V294</f>
        <v>-6.5066766519625</v>
      </c>
      <c r="Y294" s="11" t="n">
        <f aca="false">(-W294/$W$5*Y293)/(Rho_a-W294/$W$5)</f>
        <v>-202.005129609326</v>
      </c>
      <c r="Z294" s="11" t="n">
        <f aca="false">IF(V294&lt;Floor_F,MAX((-(Cost_k*Ubar_c+Delay_D)*(1-EXP(-Rho_a*LN((Top_c-V294)/(Top_c-Floor_F))/Delta_c))/Rho_a+EXP(-Rho_a*LN((Top_c-V294)/(Top_c-Floor_F))/Delta_c)*(-Cost_k*Delta_c*Floor_F/Rho_a)),(-Delay_D/Rho_a)),(EXP(-Rho_a*LN(V294/Floor_F)/Delta_c)*(-Cost_k*Delta_c*Floor_F/Rho_a)))</f>
        <v>-201.944885588658</v>
      </c>
      <c r="AA294" s="22" t="n">
        <f aca="false">ABS(Y294-Z294)</f>
        <v>0.0602440206680797</v>
      </c>
      <c r="AC294" s="17" t="n">
        <f aca="false">30+274*$AD$5</f>
        <v>47.125</v>
      </c>
      <c r="AD294" s="17" t="n">
        <f aca="false">Ubar_c-Delta_c*AC294</f>
        <v>5.35471638867731</v>
      </c>
      <c r="AE294" s="11" t="n">
        <f aca="false">(-(Cost_k*Ubar_c+Delay_D)+AD294/$AD$5*AE295)/(Rho_a+AD294/$AD$5)</f>
        <v>-307.886241394592</v>
      </c>
      <c r="AF294" s="11" t="n">
        <f aca="false">MAX(AE294,-Delay_D/Rho_a)</f>
        <v>-307.886241394592</v>
      </c>
      <c r="AG294" s="11" t="n">
        <f aca="false">IF(AC294&lt;Floor_F,MAX((-(Cost_k*Ubar_c+Delay_D)*(1-EXP(-Rho_a*LN((Top_c-AC294)/(Top_c-Floor_F))/Delta_c))/Rho_a+EXP(-Rho_a*LN((Top_c-AC294)/(Top_c-Floor_F))/Delta_c)*(-Cost_k*Delta_c*Floor_F/Rho_a)),(-Delay_D/Rho_a)),(EXP(-Rho_a*LN(AC294/Floor_F)/Delta_c)*(-Cost_k*Delta_c*Floor_F/Rho_a)))</f>
        <v>-307.971698978056</v>
      </c>
      <c r="AH294" s="22" t="n">
        <f aca="false">ABS(AF294-AG294)</f>
        <v>0.0854575834637217</v>
      </c>
    </row>
    <row r="295" customFormat="false" ht="15" hidden="false" customHeight="false" outlineLevel="0" collapsed="false">
      <c r="V295" s="17" t="n">
        <f aca="false">30+275*$W$5</f>
        <v>64.375</v>
      </c>
      <c r="W295" s="17" t="n">
        <f aca="false">-Delta_c*V295</f>
        <v>-6.51933555595465</v>
      </c>
      <c r="Y295" s="11" t="n">
        <f aca="false">(-W295/$W$5*Y294)/(Rho_a-W295/$W$5)</f>
        <v>-201.636648323122</v>
      </c>
      <c r="Z295" s="11" t="n">
        <f aca="false">IF(V295&lt;Floor_F,MAX((-(Cost_k*Ubar_c+Delay_D)*(1-EXP(-Rho_a*LN((Top_c-V295)/(Top_c-Floor_F))/Delta_c))/Rho_a+EXP(-Rho_a*LN((Top_c-V295)/(Top_c-Floor_F))/Delta_c)*(-Cost_k*Delta_c*Floor_F/Rho_a)),(-Delay_D/Rho_a)),(EXP(-Rho_a*LN(V295/Floor_F)/Delta_c)*(-Cost_k*Delta_c*Floor_F/Rho_a)))</f>
        <v>-201.575819909104</v>
      </c>
      <c r="AA295" s="22" t="n">
        <f aca="false">ABS(Y295-Z295)</f>
        <v>0.0608284140183173</v>
      </c>
      <c r="AC295" s="17" t="n">
        <f aca="false">30+275*$AD$5</f>
        <v>47.1875</v>
      </c>
      <c r="AD295" s="17" t="n">
        <f aca="false">Ubar_c-Delta_c*AC295</f>
        <v>5.34838693668124</v>
      </c>
      <c r="AE295" s="11" t="n">
        <f aca="false">(-(Cost_k*Ubar_c+Delay_D)+AD295/$AD$5*AE296)/(Rho_a+AD295/$AD$5)</f>
        <v>-307.382435536644</v>
      </c>
      <c r="AF295" s="11" t="n">
        <f aca="false">MAX(AE295,-Delay_D/Rho_a)</f>
        <v>-307.382435536644</v>
      </c>
      <c r="AG295" s="11" t="n">
        <f aca="false">IF(AC295&lt;Floor_F,MAX((-(Cost_k*Ubar_c+Delay_D)*(1-EXP(-Rho_a*LN((Top_c-AC295)/(Top_c-Floor_F))/Delta_c))/Rho_a+EXP(-Rho_a*LN((Top_c-AC295)/(Top_c-Floor_F))/Delta_c)*(-Cost_k*Delta_c*Floor_F/Rho_a)),(-Delay_D/Rho_a)),(EXP(-Rho_a*LN(AC295/Floor_F)/Delta_c)*(-Cost_k*Delta_c*Floor_F/Rho_a)))</f>
        <v>-307.467409638004</v>
      </c>
      <c r="AH295" s="22" t="n">
        <f aca="false">ABS(AF295-AG295)</f>
        <v>0.0849741013603875</v>
      </c>
    </row>
    <row r="296" customFormat="false" ht="15" hidden="false" customHeight="false" outlineLevel="0" collapsed="false">
      <c r="V296" s="17" t="n">
        <f aca="false">30+276*$W$5</f>
        <v>64.5</v>
      </c>
      <c r="W296" s="17" t="n">
        <f aca="false">-Delta_c*V296</f>
        <v>-6.53199445994679</v>
      </c>
      <c r="Y296" s="11" t="n">
        <f aca="false">(-W296/$W$5*Y295)/(Rho_a-W296/$W$5)</f>
        <v>-201.2695507011</v>
      </c>
      <c r="Z296" s="11" t="n">
        <f aca="false">IF(V296&lt;Floor_F,MAX((-(Cost_k*Ubar_c+Delay_D)*(1-EXP(-Rho_a*LN((Top_c-V296)/(Top_c-Floor_F))/Delta_c))/Rho_a+EXP(-Rho_a*LN((Top_c-V296)/(Top_c-Floor_F))/Delta_c)*(-Cost_k*Delta_c*Floor_F/Rho_a)),(-Delay_D/Rho_a)),(EXP(-Rho_a*LN(V296/Floor_F)/Delta_c)*(-Cost_k*Delta_c*Floor_F/Rho_a)))</f>
        <v>-201.208142695107</v>
      </c>
      <c r="AA296" s="22" t="n">
        <f aca="false">ABS(Y296-Z296)</f>
        <v>0.0614080059933713</v>
      </c>
      <c r="AC296" s="17" t="n">
        <f aca="false">30+276*$AD$5</f>
        <v>47.25</v>
      </c>
      <c r="AD296" s="17" t="n">
        <f aca="false">Ubar_c-Delta_c*AC296</f>
        <v>5.34205748468517</v>
      </c>
      <c r="AE296" s="11" t="n">
        <f aca="false">(-(Cost_k*Ubar_c+Delay_D)+AD296/$AD$5*AE297)/(Rho_a+AD296/$AD$5)</f>
        <v>-306.87747233364</v>
      </c>
      <c r="AF296" s="11" t="n">
        <f aca="false">MAX(AE296,-Delay_D/Rho_a)</f>
        <v>-306.87747233364</v>
      </c>
      <c r="AG296" s="11" t="n">
        <f aca="false">IF(AC296&lt;Floor_F,MAX((-(Cost_k*Ubar_c+Delay_D)*(1-EXP(-Rho_a*LN((Top_c-AC296)/(Top_c-Floor_F))/Delta_c))/Rho_a+EXP(-Rho_a*LN((Top_c-AC296)/(Top_c-Floor_F))/Delta_c)*(-Cost_k*Delta_c*Floor_F/Rho_a)),(-Delay_D/Rho_a)),(EXP(-Rho_a*LN(AC296/Floor_F)/Delta_c)*(-Cost_k*Delta_c*Floor_F/Rho_a)))</f>
        <v>-306.961960510082</v>
      </c>
      <c r="AH296" s="22" t="n">
        <f aca="false">ABS(AF296-AG296)</f>
        <v>0.0844881764414822</v>
      </c>
    </row>
    <row r="297" customFormat="false" ht="15" hidden="false" customHeight="false" outlineLevel="0" collapsed="false">
      <c r="V297" s="17" t="n">
        <f aca="false">30+277*$W$5</f>
        <v>64.625</v>
      </c>
      <c r="W297" s="17" t="n">
        <f aca="false">-Delta_c*V297</f>
        <v>-6.54465336393894</v>
      </c>
      <c r="Y297" s="11" t="n">
        <f aca="false">(-W297/$W$5*Y296)/(Rho_a-W297/$W$5)</f>
        <v>-200.903828886099</v>
      </c>
      <c r="Z297" s="11" t="n">
        <f aca="false">IF(V297&lt;Floor_F,MAX((-(Cost_k*Ubar_c+Delay_D)*(1-EXP(-Rho_a*LN((Top_c-V297)/(Top_c-Floor_F))/Delta_c))/Rho_a+EXP(-Rho_a*LN((Top_c-V297)/(Top_c-Floor_F))/Delta_c)*(-Cost_k*Delta_c*Floor_F/Rho_a)),(-Delay_D/Rho_a)),(EXP(-Rho_a*LN(V297/Floor_F)/Delta_c)*(-Cost_k*Delta_c*Floor_F/Rho_a)))</f>
        <v>-200.841846047438</v>
      </c>
      <c r="AA297" s="22" t="n">
        <f aca="false">ABS(Y297-Z297)</f>
        <v>0.0619828386609527</v>
      </c>
      <c r="AC297" s="17" t="n">
        <f aca="false">30+277*$AD$5</f>
        <v>47.3125</v>
      </c>
      <c r="AD297" s="17" t="n">
        <f aca="false">Ubar_c-Delta_c*AC297</f>
        <v>5.3357280326891</v>
      </c>
      <c r="AE297" s="11" t="n">
        <f aca="false">(-(Cost_k*Ubar_c+Delay_D)+AD297/$AD$5*AE298)/(Rho_a+AD297/$AD$5)</f>
        <v>-306.371347752512</v>
      </c>
      <c r="AF297" s="11" t="n">
        <f aca="false">MAX(AE297,-Delay_D/Rho_a)</f>
        <v>-306.371347752512</v>
      </c>
      <c r="AG297" s="11" t="n">
        <f aca="false">IF(AC297&lt;Floor_F,MAX((-(Cost_k*Ubar_c+Delay_D)*(1-EXP(-Rho_a*LN((Top_c-AC297)/(Top_c-Floor_F))/Delta_c))/Rho_a+EXP(-Rho_a*LN((Top_c-AC297)/(Top_c-Floor_F))/Delta_c)*(-Cost_k*Delta_c*Floor_F/Rho_a)),(-Delay_D/Rho_a)),(EXP(-Rho_a*LN(AC297/Floor_F)/Delta_c)*(-Cost_k*Delta_c*Floor_F/Rho_a)))</f>
        <v>-306.455347548053</v>
      </c>
      <c r="AH297" s="22" t="n">
        <f aca="false">ABS(AF297-AG297)</f>
        <v>0.0839997955411604</v>
      </c>
    </row>
    <row r="298" customFormat="false" ht="15" hidden="false" customHeight="false" outlineLevel="0" collapsed="false">
      <c r="V298" s="17" t="n">
        <f aca="false">30+278*$W$5</f>
        <v>64.75</v>
      </c>
      <c r="W298" s="17" t="n">
        <f aca="false">-Delta_c*V298</f>
        <v>-6.55731226793108</v>
      </c>
      <c r="Y298" s="11" t="n">
        <f aca="false">(-W298/$W$5*Y297)/(Rho_a-W298/$W$5)</f>
        <v>-200.539475080629</v>
      </c>
      <c r="Z298" s="11" t="n">
        <f aca="false">IF(V298&lt;Floor_F,MAX((-(Cost_k*Ubar_c+Delay_D)*(1-EXP(-Rho_a*LN((Top_c-V298)/(Top_c-Floor_F))/Delta_c))/Rho_a+EXP(-Rho_a*LN((Top_c-V298)/(Top_c-Floor_F))/Delta_c)*(-Cost_k*Delta_c*Floor_F/Rho_a)),(-Delay_D/Rho_a)),(EXP(-Rho_a*LN(V298/Floor_F)/Delta_c)*(-Cost_k*Delta_c*Floor_F/Rho_a)))</f>
        <v>-200.476922126972</v>
      </c>
      <c r="AA298" s="22" t="n">
        <f aca="false">ABS(Y298-Z298)</f>
        <v>0.0625529536566489</v>
      </c>
      <c r="AC298" s="17" t="n">
        <f aca="false">30+278*$AD$5</f>
        <v>47.375</v>
      </c>
      <c r="AD298" s="17" t="n">
        <f aca="false">Ubar_c-Delta_c*AC298</f>
        <v>5.32939858069303</v>
      </c>
      <c r="AE298" s="11" t="n">
        <f aca="false">(-(Cost_k*Ubar_c+Delay_D)+AD298/$AD$5*AE299)/(Rho_a+AD298/$AD$5)</f>
        <v>-305.864057741332</v>
      </c>
      <c r="AF298" s="11" t="n">
        <f aca="false">MAX(AE298,-Delay_D/Rho_a)</f>
        <v>-305.864057741332</v>
      </c>
      <c r="AG298" s="11" t="n">
        <f aca="false">IF(AC298&lt;Floor_F,MAX((-(Cost_k*Ubar_c+Delay_D)*(1-EXP(-Rho_a*LN((Top_c-AC298)/(Top_c-Floor_F))/Delta_c))/Rho_a+EXP(-Rho_a*LN((Top_c-AC298)/(Top_c-Floor_F))/Delta_c)*(-Cost_k*Delta_c*Floor_F/Rho_a)),(-Delay_D/Rho_a)),(EXP(-Rho_a*LN(AC298/Floor_F)/Delta_c)*(-Cost_k*Delta_c*Floor_F/Rho_a)))</f>
        <v>-305.947566686742</v>
      </c>
      <c r="AH298" s="22" t="n">
        <f aca="false">ABS(AF298-AG298)</f>
        <v>0.0835089454103581</v>
      </c>
    </row>
    <row r="299" customFormat="false" ht="15" hidden="false" customHeight="false" outlineLevel="0" collapsed="false">
      <c r="V299" s="17" t="n">
        <f aca="false">30+279*$W$5</f>
        <v>64.875</v>
      </c>
      <c r="W299" s="17" t="n">
        <f aca="false">-Delta_c*V299</f>
        <v>-6.56997117192323</v>
      </c>
      <c r="Y299" s="11" t="n">
        <f aca="false">(-W299/$W$5*Y298)/(Rho_a-W299/$W$5)</f>
        <v>-200.176481546306</v>
      </c>
      <c r="Z299" s="11" t="n">
        <f aca="false">IF(V299&lt;Floor_F,MAX((-(Cost_k*Ubar_c+Delay_D)*(1-EXP(-Rho_a*LN((Top_c-V299)/(Top_c-Floor_F))/Delta_c))/Rho_a+EXP(-Rho_a*LN((Top_c-V299)/(Top_c-Floor_F))/Delta_c)*(-Cost_k*Delta_c*Floor_F/Rho_a)),(-Delay_D/Rho_a)),(EXP(-Rho_a*LN(V299/Floor_F)/Delta_c)*(-Cost_k*Delta_c*Floor_F/Rho_a)))</f>
        <v>-200.113363154117</v>
      </c>
      <c r="AA299" s="22" t="n">
        <f aca="false">ABS(Y299-Z299)</f>
        <v>0.063118392189466</v>
      </c>
      <c r="AC299" s="17" t="n">
        <f aca="false">30+279*$AD$5</f>
        <v>47.4375</v>
      </c>
      <c r="AD299" s="17" t="n">
        <f aca="false">Ubar_c-Delta_c*AC299</f>
        <v>5.32306912869695</v>
      </c>
      <c r="AE299" s="11" t="n">
        <f aca="false">(-(Cost_k*Ubar_c+Delay_D)+AD299/$AD$5*AE300)/(Rho_a+AD299/$AD$5)</f>
        <v>-305.35559822921</v>
      </c>
      <c r="AF299" s="11" t="n">
        <f aca="false">MAX(AE299,-Delay_D/Rho_a)</f>
        <v>-305.35559822921</v>
      </c>
      <c r="AG299" s="11" t="n">
        <f aca="false">IF(AC299&lt;Floor_F,MAX((-(Cost_k*Ubar_c+Delay_D)*(1-EXP(-Rho_a*LN((Top_c-AC299)/(Top_c-Floor_F))/Delta_c))/Rho_a+EXP(-Rho_a*LN((Top_c-AC299)/(Top_c-Floor_F))/Delta_c)*(-Cost_k*Delta_c*Floor_F/Rho_a)),(-Delay_D/Rho_a)),(EXP(-Rho_a*LN(AC299/Floor_F)/Delta_c)*(-Cost_k*Delta_c*Floor_F/Rho_a)))</f>
        <v>-305.438613841926</v>
      </c>
      <c r="AH299" s="22" t="n">
        <f aca="false">ABS(AF299-AG299)</f>
        <v>0.0830156127160535</v>
      </c>
    </row>
    <row r="300" customFormat="false" ht="15" hidden="false" customHeight="false" outlineLevel="0" collapsed="false">
      <c r="V300" s="17" t="n">
        <f aca="false">30+280*$W$5</f>
        <v>65</v>
      </c>
      <c r="W300" s="17" t="n">
        <f aca="false">-Delta_c*V300</f>
        <v>-6.58263007591537</v>
      </c>
      <c r="Y300" s="11" t="n">
        <f aca="false">(-W300/$W$5*Y299)/(Rho_a-W300/$W$5)</f>
        <v>-199.814840603289</v>
      </c>
      <c r="Z300" s="11" t="n">
        <f aca="false">IF(V300&lt;Floor_F,MAX((-(Cost_k*Ubar_c+Delay_D)*(1-EXP(-Rho_a*LN((Top_c-V300)/(Top_c-Floor_F))/Delta_c))/Rho_a+EXP(-Rho_a*LN((Top_c-V300)/(Top_c-Floor_F))/Delta_c)*(-Cost_k*Delta_c*Floor_F/Rho_a)),(-Delay_D/Rho_a)),(EXP(-Rho_a*LN(V300/Floor_F)/Delta_c)*(-Cost_k*Delta_c*Floor_F/Rho_a)))</f>
        <v>-199.751161408243</v>
      </c>
      <c r="AA300" s="22" t="n">
        <f aca="false">ABS(Y300-Z300)</f>
        <v>0.0636791950467455</v>
      </c>
      <c r="AC300" s="17" t="n">
        <f aca="false">30+280*$AD$5</f>
        <v>47.5</v>
      </c>
      <c r="AD300" s="17" t="n">
        <f aca="false">Ubar_c-Delta_c*AC300</f>
        <v>5.31673967670088</v>
      </c>
      <c r="AE300" s="11" t="n">
        <f aca="false">(-(Cost_k*Ubar_c+Delay_D)+AD300/$AD$5*AE301)/(Rho_a+AD300/$AD$5)</f>
        <v>-304.845965126178</v>
      </c>
      <c r="AF300" s="11" t="n">
        <f aca="false">MAX(AE300,-Delay_D/Rho_a)</f>
        <v>-304.845965126178</v>
      </c>
      <c r="AG300" s="11" t="n">
        <f aca="false">IF(AC300&lt;Floor_F,MAX((-(Cost_k*Ubar_c+Delay_D)*(1-EXP(-Rho_a*LN((Top_c-AC300)/(Top_c-Floor_F))/Delta_c))/Rho_a+EXP(-Rho_a*LN((Top_c-AC300)/(Top_c-Floor_F))/Delta_c)*(-Cost_k*Delta_c*Floor_F/Rho_a)),(-Delay_D/Rho_a)),(EXP(-Rho_a*LN(AC300/Floor_F)/Delta_c)*(-Cost_k*Delta_c*Floor_F/Rho_a)))</f>
        <v>-304.928484910219</v>
      </c>
      <c r="AH300" s="22" t="n">
        <f aca="false">ABS(AF300-AG300)</f>
        <v>0.0825197840404144</v>
      </c>
    </row>
    <row r="301" customFormat="false" ht="15" hidden="false" customHeight="false" outlineLevel="0" collapsed="false">
      <c r="V301" s="17" t="n">
        <f aca="false">30+281*$W$5</f>
        <v>65.125</v>
      </c>
      <c r="W301" s="17" t="n">
        <f aca="false">-Delta_c*V301</f>
        <v>-6.59528897990752</v>
      </c>
      <c r="Y301" s="11" t="n">
        <f aca="false">(-W301/$W$5*Y300)/(Rho_a-W301/$W$5)</f>
        <v>-199.454544629728</v>
      </c>
      <c r="Z301" s="11" t="n">
        <f aca="false">IF(V301&lt;Floor_F,MAX((-(Cost_k*Ubar_c+Delay_D)*(1-EXP(-Rho_a*LN((Top_c-V301)/(Top_c-Floor_F))/Delta_c))/Rho_a+EXP(-Rho_a*LN((Top_c-V301)/(Top_c-Floor_F))/Delta_c)*(-Cost_k*Delta_c*Floor_F/Rho_a)),(-Delay_D/Rho_a)),(EXP(-Rho_a*LN(V301/Floor_F)/Delta_c)*(-Cost_k*Delta_c*Floor_F/Rho_a)))</f>
        <v>-199.390309227129</v>
      </c>
      <c r="AA301" s="22" t="n">
        <f aca="false">ABS(Y301-Z301)</f>
        <v>0.0642354025993086</v>
      </c>
      <c r="AC301" s="17" t="n">
        <f aca="false">30+281*$AD$5</f>
        <v>47.5625</v>
      </c>
      <c r="AD301" s="17" t="n">
        <f aca="false">Ubar_c-Delta_c*AC301</f>
        <v>5.31041022470481</v>
      </c>
      <c r="AE301" s="11" t="n">
        <f aca="false">(-(Cost_k*Ubar_c+Delay_D)+AD301/$AD$5*AE302)/(Rho_a+AD301/$AD$5)</f>
        <v>-304.335154323078</v>
      </c>
      <c r="AF301" s="11" t="n">
        <f aca="false">MAX(AE301,-Delay_D/Rho_a)</f>
        <v>-304.335154323078</v>
      </c>
      <c r="AG301" s="11" t="n">
        <f aca="false">IF(AC301&lt;Floor_F,MAX((-(Cost_k*Ubar_c+Delay_D)*(1-EXP(-Rho_a*LN((Top_c-AC301)/(Top_c-Floor_F))/Delta_c))/Rho_a+EXP(-Rho_a*LN((Top_c-AC301)/(Top_c-Floor_F))/Delta_c)*(-Cost_k*Delta_c*Floor_F/Rho_a)),(-Delay_D/Rho_a)),(EXP(-Rho_a*LN(AC301/Floor_F)/Delta_c)*(-Cost_k*Delta_c*Floor_F/Rho_a)))</f>
        <v>-304.417175768959</v>
      </c>
      <c r="AH301" s="22" t="n">
        <f aca="false">ABS(AF301-AG301)</f>
        <v>0.0820214458806845</v>
      </c>
    </row>
    <row r="302" customFormat="false" ht="15" hidden="false" customHeight="false" outlineLevel="0" collapsed="false">
      <c r="V302" s="17" t="n">
        <f aca="false">30+282*$W$5</f>
        <v>65.25</v>
      </c>
      <c r="W302" s="17" t="n">
        <f aca="false">-Delta_c*V302</f>
        <v>-6.60794788389966</v>
      </c>
      <c r="Y302" s="11" t="n">
        <f aca="false">(-W302/$W$5*Y301)/(Rho_a-W302/$W$5)</f>
        <v>-199.095586061215</v>
      </c>
      <c r="Z302" s="11" t="n">
        <f aca="false">IF(V302&lt;Floor_F,MAX((-(Cost_k*Ubar_c+Delay_D)*(1-EXP(-Rho_a*LN((Top_c-V302)/(Top_c-Floor_F))/Delta_c))/Rho_a+EXP(-Rho_a*LN((Top_c-V302)/(Top_c-Floor_F))/Delta_c)*(-Cost_k*Delta_c*Floor_F/Rho_a)),(-Delay_D/Rho_a)),(EXP(-Rho_a*LN(V302/Floor_F)/Delta_c)*(-Cost_k*Delta_c*Floor_F/Rho_a)))</f>
        <v>-199.030799006409</v>
      </c>
      <c r="AA302" s="22" t="n">
        <f aca="false">ABS(Y302-Z302)</f>
        <v>0.0647870548061746</v>
      </c>
      <c r="AC302" s="17" t="n">
        <f aca="false">30+282*$AD$5</f>
        <v>47.625</v>
      </c>
      <c r="AD302" s="17" t="n">
        <f aca="false">Ubar_c-Delta_c*AC302</f>
        <v>5.30408077270873</v>
      </c>
      <c r="AE302" s="11" t="n">
        <f aca="false">(-(Cost_k*Ubar_c+Delay_D)+AD302/$AD$5*AE303)/(Rho_a+AD302/$AD$5)</f>
        <v>-303.82316169145</v>
      </c>
      <c r="AF302" s="11" t="n">
        <f aca="false">MAX(AE302,-Delay_D/Rho_a)</f>
        <v>-303.82316169145</v>
      </c>
      <c r="AG302" s="11" t="n">
        <f aca="false">IF(AC302&lt;Floor_F,MAX((-(Cost_k*Ubar_c+Delay_D)*(1-EXP(-Rho_a*LN((Top_c-AC302)/(Top_c-Floor_F))/Delta_c))/Rho_a+EXP(-Rho_a*LN((Top_c-AC302)/(Top_c-Floor_F))/Delta_c)*(-Cost_k*Delta_c*Floor_F/Rho_a)),(-Delay_D/Rho_a)),(EXP(-Rho_a*LN(AC302/Floor_F)/Delta_c)*(-Cost_k*Delta_c*Floor_F/Rho_a)))</f>
        <v>-303.904682276098</v>
      </c>
      <c r="AH302" s="22" t="n">
        <f aca="false">ABS(AF302-AG302)</f>
        <v>0.0815205846480467</v>
      </c>
    </row>
    <row r="303" customFormat="false" ht="15" hidden="false" customHeight="false" outlineLevel="0" collapsed="false">
      <c r="V303" s="17" t="n">
        <f aca="false">30+283*$W$5</f>
        <v>65.375</v>
      </c>
      <c r="W303" s="17" t="n">
        <f aca="false">-Delta_c*V303</f>
        <v>-6.62060678789181</v>
      </c>
      <c r="Y303" s="11" t="n">
        <f aca="false">(-W303/$W$5*Y302)/(Rho_a-W303/$W$5)</f>
        <v>-198.73795739024</v>
      </c>
      <c r="Z303" s="11" t="n">
        <f aca="false">IF(V303&lt;Floor_F,MAX((-(Cost_k*Ubar_c+Delay_D)*(1-EXP(-Rho_a*LN((Top_c-V303)/(Top_c-Floor_F))/Delta_c))/Rho_a+EXP(-Rho_a*LN((Top_c-V303)/(Top_c-Floor_F))/Delta_c)*(-Cost_k*Delta_c*Floor_F/Rho_a)),(-Delay_D/Rho_a)),(EXP(-Rho_a*LN(V303/Floor_F)/Delta_c)*(-Cost_k*Delta_c*Floor_F/Rho_a)))</f>
        <v>-198.67262319902</v>
      </c>
      <c r="AA303" s="22" t="n">
        <f aca="false">ABS(Y303-Z303)</f>
        <v>0.0653341912198471</v>
      </c>
      <c r="AC303" s="17" t="n">
        <f aca="false">30+283*$AD$5</f>
        <v>47.6875</v>
      </c>
      <c r="AD303" s="17" t="n">
        <f aca="false">Ubar_c-Delta_c*AC303</f>
        <v>5.29775132071266</v>
      </c>
      <c r="AE303" s="11" t="n">
        <f aca="false">(-(Cost_k*Ubar_c+Delay_D)+AD303/$AD$5*AE304)/(Rho_a+AD303/$AD$5)</f>
        <v>-303.309983083417</v>
      </c>
      <c r="AF303" s="11" t="n">
        <f aca="false">MAX(AE303,-Delay_D/Rho_a)</f>
        <v>-303.309983083417</v>
      </c>
      <c r="AG303" s="11" t="n">
        <f aca="false">IF(AC303&lt;Floor_F,MAX((-(Cost_k*Ubar_c+Delay_D)*(1-EXP(-Rho_a*LN((Top_c-AC303)/(Top_c-Floor_F))/Delta_c))/Rho_a+EXP(-Rho_a*LN((Top_c-AC303)/(Top_c-Floor_F))/Delta_c)*(-Cost_k*Delta_c*Floor_F/Rho_a)),(-Delay_D/Rho_a)),(EXP(-Rho_a*LN(AC303/Floor_F)/Delta_c)*(-Cost_k*Delta_c*Floor_F/Rho_a)))</f>
        <v>-303.391000270084</v>
      </c>
      <c r="AH303" s="22" t="n">
        <f aca="false">ABS(AF303-AG303)</f>
        <v>0.0810171866672249</v>
      </c>
    </row>
    <row r="304" customFormat="false" ht="15" hidden="false" customHeight="false" outlineLevel="0" collapsed="false">
      <c r="V304" s="17" t="n">
        <f aca="false">30+284*$W$5</f>
        <v>65.5</v>
      </c>
      <c r="W304" s="17" t="n">
        <f aca="false">-Delta_c*V304</f>
        <v>-6.63326569188395</v>
      </c>
      <c r="Y304" s="11" t="n">
        <f aca="false">(-W304/$W$5*Y303)/(Rho_a-W304/$W$5)</f>
        <v>-198.38165116566</v>
      </c>
      <c r="Z304" s="11" t="n">
        <f aca="false">IF(V304&lt;Floor_F,MAX((-(Cost_k*Ubar_c+Delay_D)*(1-EXP(-Rho_a*LN((Top_c-V304)/(Top_c-Floor_F))/Delta_c))/Rho_a+EXP(-Rho_a*LN((Top_c-V304)/(Top_c-Floor_F))/Delta_c)*(-Cost_k*Delta_c*Floor_F/Rho_a)),(-Delay_D/Rho_a)),(EXP(-Rho_a*LN(V304/Floor_F)/Delta_c)*(-Cost_k*Delta_c*Floor_F/Rho_a)))</f>
        <v>-198.315774314669</v>
      </c>
      <c r="AA304" s="22" t="n">
        <f aca="false">ABS(Y304-Z304)</f>
        <v>0.0658768509906906</v>
      </c>
      <c r="AC304" s="17" t="n">
        <f aca="false">30+284*$AD$5</f>
        <v>47.75</v>
      </c>
      <c r="AD304" s="17" t="n">
        <f aca="false">Ubar_c-Delta_c*AC304</f>
        <v>5.29142186871659</v>
      </c>
      <c r="AE304" s="11" t="n">
        <f aca="false">(-(Cost_k*Ubar_c+Delay_D)+AD304/$AD$5*AE305)/(Rho_a+AD304/$AD$5)</f>
        <v>-302.795614331572</v>
      </c>
      <c r="AF304" s="11" t="n">
        <f aca="false">MAX(AE304,-Delay_D/Rho_a)</f>
        <v>-302.795614331572</v>
      </c>
      <c r="AG304" s="11" t="n">
        <f aca="false">IF(AC304&lt;Floor_F,MAX((-(Cost_k*Ubar_c+Delay_D)*(1-EXP(-Rho_a*LN((Top_c-AC304)/(Top_c-Floor_F))/Delta_c))/Rho_a+EXP(-Rho_a*LN((Top_c-AC304)/(Top_c-Floor_F))/Delta_c)*(-Cost_k*Delta_c*Floor_F/Rho_a)),(-Delay_D/Rho_a)),(EXP(-Rho_a*LN(AC304/Floor_F)/Delta_c)*(-Cost_k*Delta_c*Floor_F/Rho_a)))</f>
        <v>-302.876125569748</v>
      </c>
      <c r="AH304" s="22" t="n">
        <f aca="false">ABS(AF304-AG304)</f>
        <v>0.0805112381757454</v>
      </c>
    </row>
    <row r="305" customFormat="false" ht="15" hidden="false" customHeight="false" outlineLevel="0" collapsed="false">
      <c r="V305" s="17" t="n">
        <f aca="false">30+285*$W$5</f>
        <v>65.625</v>
      </c>
      <c r="W305" s="17" t="n">
        <f aca="false">-Delta_c*V305</f>
        <v>-6.6459245958761</v>
      </c>
      <c r="Y305" s="11" t="n">
        <f aca="false">(-W305/$W$5*Y304)/(Rho_a-W305/$W$5)</f>
        <v>-198.026659992167</v>
      </c>
      <c r="Z305" s="11" t="n">
        <f aca="false">IF(V305&lt;Floor_F,MAX((-(Cost_k*Ubar_c+Delay_D)*(1-EXP(-Rho_a*LN((Top_c-V305)/(Top_c-Floor_F))/Delta_c))/Rho_a+EXP(-Rho_a*LN((Top_c-V305)/(Top_c-Floor_F))/Delta_c)*(-Cost_k*Delta_c*Floor_F/Rho_a)),(-Delay_D/Rho_a)),(EXP(-Rho_a*LN(V305/Floor_F)/Delta_c)*(-Cost_k*Delta_c*Floor_F/Rho_a)))</f>
        <v>-197.960244919295</v>
      </c>
      <c r="AA305" s="22" t="n">
        <f aca="false">ABS(Y305-Z305)</f>
        <v>0.066415072872104</v>
      </c>
      <c r="AC305" s="17" t="n">
        <f aca="false">30+285*$AD$5</f>
        <v>47.8125</v>
      </c>
      <c r="AD305" s="17" t="n">
        <f aca="false">Ubar_c-Delta_c*AC305</f>
        <v>5.28509241672052</v>
      </c>
      <c r="AE305" s="11" t="n">
        <f aca="false">(-(Cost_k*Ubar_c+Delay_D)+AD305/$AD$5*AE306)/(Rho_a+AD305/$AD$5)</f>
        <v>-302.280051248861</v>
      </c>
      <c r="AF305" s="11" t="n">
        <f aca="false">MAX(AE305,-Delay_D/Rho_a)</f>
        <v>-302.280051248861</v>
      </c>
      <c r="AG305" s="11" t="n">
        <f aca="false">IF(AC305&lt;Floor_F,MAX((-(Cost_k*Ubar_c+Delay_D)*(1-EXP(-Rho_a*LN((Top_c-AC305)/(Top_c-Floor_F))/Delta_c))/Rho_a+EXP(-Rho_a*LN((Top_c-AC305)/(Top_c-Floor_F))/Delta_c)*(-Cost_k*Delta_c*Floor_F/Rho_a)),(-Delay_D/Rho_a)),(EXP(-Rho_a*LN(AC305/Floor_F)/Delta_c)*(-Cost_k*Delta_c*Floor_F/Rho_a)))</f>
        <v>-302.360053974184</v>
      </c>
      <c r="AH305" s="22" t="n">
        <f aca="false">ABS(AF305-AG305)</f>
        <v>0.0800027253234816</v>
      </c>
    </row>
    <row r="306" customFormat="false" ht="15" hidden="false" customHeight="false" outlineLevel="0" collapsed="false">
      <c r="V306" s="17" t="n">
        <f aca="false">30+286*$W$5</f>
        <v>65.75</v>
      </c>
      <c r="W306" s="17" t="n">
        <f aca="false">-Delta_c*V306</f>
        <v>-6.65858349986824</v>
      </c>
      <c r="Y306" s="11" t="n">
        <f aca="false">(-W306/$W$5*Y305)/(Rho_a-W306/$W$5)</f>
        <v>-197.672976529763</v>
      </c>
      <c r="Z306" s="11" t="n">
        <f aca="false">IF(V306&lt;Floor_F,MAX((-(Cost_k*Ubar_c+Delay_D)*(1-EXP(-Rho_a*LN((Top_c-V306)/(Top_c-Floor_F))/Delta_c))/Rho_a+EXP(-Rho_a*LN((Top_c-V306)/(Top_c-Floor_F))/Delta_c)*(-Cost_k*Delta_c*Floor_F/Rho_a)),(-Delay_D/Rho_a)),(EXP(-Rho_a*LN(V306/Floor_F)/Delta_c)*(-Cost_k*Delta_c*Floor_F/Rho_a)))</f>
        <v>-197.606027634538</v>
      </c>
      <c r="AA306" s="22" t="n">
        <f aca="false">ABS(Y306-Z306)</f>
        <v>0.0669488952249253</v>
      </c>
      <c r="AC306" s="17" t="n">
        <f aca="false">30+286*$AD$5</f>
        <v>47.875</v>
      </c>
      <c r="AD306" s="17" t="n">
        <f aca="false">Ubar_c-Delta_c*AC306</f>
        <v>5.27876296472445</v>
      </c>
      <c r="AE306" s="11" t="n">
        <f aca="false">(-(Cost_k*Ubar_c+Delay_D)+AD306/$AD$5*AE307)/(Rho_a+AD306/$AD$5)</f>
        <v>-301.763289628468</v>
      </c>
      <c r="AF306" s="11" t="n">
        <f aca="false">MAX(AE306,-Delay_D/Rho_a)</f>
        <v>-301.763289628468</v>
      </c>
      <c r="AG306" s="11" t="n">
        <f aca="false">IF(AC306&lt;Floor_F,MAX((-(Cost_k*Ubar_c+Delay_D)*(1-EXP(-Rho_a*LN((Top_c-AC306)/(Top_c-Floor_F))/Delta_c))/Rho_a+EXP(-Rho_a*LN((Top_c-AC306)/(Top_c-Floor_F))/Delta_c)*(-Cost_k*Delta_c*Floor_F/Rho_a)),(-Delay_D/Rho_a)),(EXP(-Rho_a*LN(AC306/Floor_F)/Delta_c)*(-Cost_k*Delta_c*Floor_F/Rho_a)))</f>
        <v>-301.84278126264</v>
      </c>
      <c r="AH306" s="22" t="n">
        <f aca="false">ABS(AF306-AG306)</f>
        <v>0.0794916341718022</v>
      </c>
    </row>
    <row r="307" customFormat="false" ht="15" hidden="false" customHeight="false" outlineLevel="0" collapsed="false">
      <c r="V307" s="17" t="n">
        <f aca="false">30+287*$W$5</f>
        <v>65.875</v>
      </c>
      <c r="W307" s="17" t="n">
        <f aca="false">-Delta_c*V307</f>
        <v>-6.67124240386039</v>
      </c>
      <c r="Y307" s="11" t="n">
        <f aca="false">(-W307/$W$5*Y306)/(Rho_a-W307/$W$5)</f>
        <v>-197.320593493246</v>
      </c>
      <c r="Z307" s="11" t="n">
        <f aca="false">IF(V307&lt;Floor_F,MAX((-(Cost_k*Ubar_c+Delay_D)*(1-EXP(-Rho_a*LN((Top_c-V307)/(Top_c-Floor_F))/Delta_c))/Rho_a+EXP(-Rho_a*LN((Top_c-V307)/(Top_c-Floor_F))/Delta_c)*(-Cost_k*Delta_c*Floor_F/Rho_a)),(-Delay_D/Rho_a)),(EXP(-Rho_a*LN(V307/Floor_F)/Delta_c)*(-Cost_k*Delta_c*Floor_F/Rho_a)))</f>
        <v>-197.253115137223</v>
      </c>
      <c r="AA307" s="22" t="n">
        <f aca="false">ABS(Y307-Z307)</f>
        <v>0.0674783560221783</v>
      </c>
      <c r="AC307" s="17" t="n">
        <f aca="false">30+287*$AD$5</f>
        <v>47.9375</v>
      </c>
      <c r="AD307" s="17" t="n">
        <f aca="false">Ubar_c-Delta_c*AC307</f>
        <v>5.27243351272837</v>
      </c>
      <c r="AE307" s="11" t="n">
        <f aca="false">(-(Cost_k*Ubar_c+Delay_D)+AD307/$AD$5*AE308)/(Rho_a+AD307/$AD$5)</f>
        <v>-301.245325243696</v>
      </c>
      <c r="AF307" s="11" t="n">
        <f aca="false">MAX(AE307,-Delay_D/Rho_a)</f>
        <v>-301.245325243696</v>
      </c>
      <c r="AG307" s="11" t="n">
        <f aca="false">IF(AC307&lt;Floor_F,MAX((-(Cost_k*Ubar_c+Delay_D)*(1-EXP(-Rho_a*LN((Top_c-AC307)/(Top_c-Floor_F))/Delta_c))/Rho_a+EXP(-Rho_a*LN((Top_c-AC307)/(Top_c-Floor_F))/Delta_c)*(-Cost_k*Delta_c*Floor_F/Rho_a)),(-Delay_D/Rho_a)),(EXP(-Rho_a*LN(AC307/Floor_F)/Delta_c)*(-Cost_k*Delta_c*Floor_F/Rho_a)))</f>
        <v>-301.324303194389</v>
      </c>
      <c r="AH307" s="22" t="n">
        <f aca="false">ABS(AF307-AG307)</f>
        <v>0.0789779506929449</v>
      </c>
    </row>
    <row r="308" customFormat="false" ht="15" hidden="false" customHeight="false" outlineLevel="0" collapsed="false">
      <c r="V308" s="17" t="n">
        <f aca="false">30+288*$W$5</f>
        <v>66</v>
      </c>
      <c r="W308" s="17" t="n">
        <f aca="false">-Delta_c*V308</f>
        <v>-6.68390130785253</v>
      </c>
      <c r="Y308" s="11" t="n">
        <f aca="false">(-W308/$W$5*Y307)/(Rho_a-W308/$W$5)</f>
        <v>-196.969503651693</v>
      </c>
      <c r="Z308" s="11" t="n">
        <f aca="false">IF(V308&lt;Floor_F,MAX((-(Cost_k*Ubar_c+Delay_D)*(1-EXP(-Rho_a*LN((Top_c-V308)/(Top_c-Floor_F))/Delta_c))/Rho_a+EXP(-Rho_a*LN((Top_c-V308)/(Top_c-Floor_F))/Delta_c)*(-Cost_k*Delta_c*Floor_F/Rho_a)),(-Delay_D/Rho_a)),(EXP(-Rho_a*LN(V308/Floor_F)/Delta_c)*(-Cost_k*Delta_c*Floor_F/Rho_a)))</f>
        <v>-196.901500158839</v>
      </c>
      <c r="AA308" s="22" t="n">
        <f aca="false">ABS(Y308-Z308)</f>
        <v>0.0680034928537623</v>
      </c>
      <c r="AC308" s="17" t="n">
        <f aca="false">30+288*$AD$5</f>
        <v>48</v>
      </c>
      <c r="AD308" s="17" t="n">
        <f aca="false">Ubar_c-Delta_c*AC308</f>
        <v>5.2661040607323</v>
      </c>
      <c r="AE308" s="11" t="n">
        <f aca="false">(-(Cost_k*Ubar_c+Delay_D)+AD308/$AD$5*AE309)/(Rho_a+AD308/$AD$5)</f>
        <v>-300.726153847854</v>
      </c>
      <c r="AF308" s="11" t="n">
        <f aca="false">MAX(AE308,-Delay_D/Rho_a)</f>
        <v>-300.726153847854</v>
      </c>
      <c r="AG308" s="11" t="n">
        <f aca="false">IF(AC308&lt;Floor_F,MAX((-(Cost_k*Ubar_c+Delay_D)*(1-EXP(-Rho_a*LN((Top_c-AC308)/(Top_c-Floor_F))/Delta_c))/Rho_a+EXP(-Rho_a*LN((Top_c-AC308)/(Top_c-Floor_F))/Delta_c)*(-Cost_k*Delta_c*Floor_F/Rho_a)),(-Delay_D/Rho_a)),(EXP(-Rho_a*LN(AC308/Floor_F)/Delta_c)*(-Cost_k*Delta_c*Floor_F/Rho_a)))</f>
        <v>-300.804615508623</v>
      </c>
      <c r="AH308" s="22" t="n">
        <f aca="false">ABS(AF308-AG308)</f>
        <v>0.0784616607692783</v>
      </c>
    </row>
    <row r="309" customFormat="false" ht="15" hidden="false" customHeight="false" outlineLevel="0" collapsed="false">
      <c r="V309" s="17" t="n">
        <f aca="false">30+289*$W$5</f>
        <v>66.125</v>
      </c>
      <c r="W309" s="17" t="n">
        <f aca="false">-Delta_c*V309</f>
        <v>-6.69656021184468</v>
      </c>
      <c r="Y309" s="11" t="n">
        <f aca="false">(-W309/$W$5*Y308)/(Rho_a-W309/$W$5)</f>
        <v>-196.61969982796</v>
      </c>
      <c r="Z309" s="11" t="n">
        <f aca="false">IF(V309&lt;Floor_F,MAX((-(Cost_k*Ubar_c+Delay_D)*(1-EXP(-Rho_a*LN((Top_c-V309)/(Top_c-Floor_F))/Delta_c))/Rho_a+EXP(-Rho_a*LN((Top_c-V309)/(Top_c-Floor_F))/Delta_c)*(-Cost_k*Delta_c*Floor_F/Rho_a)),(-Delay_D/Rho_a)),(EXP(-Rho_a*LN(V309/Floor_F)/Delta_c)*(-Cost_k*Delta_c*Floor_F/Rho_a)))</f>
        <v>-196.55117548503</v>
      </c>
      <c r="AA309" s="22" t="n">
        <f aca="false">ABS(Y309-Z309)</f>
        <v>0.0685243429306013</v>
      </c>
      <c r="AC309" s="17" t="n">
        <f aca="false">30+289*$AD$5</f>
        <v>48.0625</v>
      </c>
      <c r="AD309" s="17" t="n">
        <f aca="false">Ubar_c-Delta_c*AC309</f>
        <v>5.25977460873623</v>
      </c>
      <c r="AE309" s="11" t="n">
        <f aca="false">(-(Cost_k*Ubar_c+Delay_D)+AD309/$AD$5*AE310)/(Rho_a+AD309/$AD$5)</f>
        <v>-300.205771174129</v>
      </c>
      <c r="AF309" s="11" t="n">
        <f aca="false">MAX(AE309,-Delay_D/Rho_a)</f>
        <v>-300.205771174129</v>
      </c>
      <c r="AG309" s="11" t="n">
        <f aca="false">IF(AC309&lt;Floor_F,MAX((-(Cost_k*Ubar_c+Delay_D)*(1-EXP(-Rho_a*LN((Top_c-AC309)/(Top_c-Floor_F))/Delta_c))/Rho_a+EXP(-Rho_a*LN((Top_c-AC309)/(Top_c-Floor_F))/Delta_c)*(-Cost_k*Delta_c*Floor_F/Rho_a)),(-Delay_D/Rho_a)),(EXP(-Rho_a*LN(AC309/Floor_F)/Delta_c)*(-Cost_k*Delta_c*Floor_F/Rho_a)))</f>
        <v>-300.283713924322</v>
      </c>
      <c r="AH309" s="22" t="n">
        <f aca="false">ABS(AF309-AG309)</f>
        <v>0.0779427501928467</v>
      </c>
    </row>
    <row r="310" customFormat="false" ht="15" hidden="false" customHeight="false" outlineLevel="0" collapsed="false">
      <c r="V310" s="17" t="n">
        <f aca="false">30+290*$W$5</f>
        <v>66.25</v>
      </c>
      <c r="W310" s="17" t="n">
        <f aca="false">-Delta_c*V310</f>
        <v>-6.70921911583682</v>
      </c>
      <c r="Y310" s="11" t="n">
        <f aca="false">(-W310/$W$5*Y309)/(Rho_a-W310/$W$5)</f>
        <v>-196.271174898178</v>
      </c>
      <c r="Z310" s="11" t="n">
        <f aca="false">IF(V310&lt;Floor_F,MAX((-(Cost_k*Ubar_c+Delay_D)*(1-EXP(-Rho_a*LN((Top_c-V310)/(Top_c-Floor_F))/Delta_c))/Rho_a+EXP(-Rho_a*LN((Top_c-V310)/(Top_c-Floor_F))/Delta_c)*(-Cost_k*Delta_c*Floor_F/Rho_a)),(-Delay_D/Rho_a)),(EXP(-Rho_a*LN(V310/Floor_F)/Delta_c)*(-Cost_k*Delta_c*Floor_F/Rho_a)))</f>
        <v>-196.202133955088</v>
      </c>
      <c r="AA310" s="22" t="n">
        <f aca="false">ABS(Y310-Z310)</f>
        <v>0.0690409430895613</v>
      </c>
      <c r="AC310" s="17" t="n">
        <f aca="false">30+290*$AD$5</f>
        <v>48.125</v>
      </c>
      <c r="AD310" s="17" t="n">
        <f aca="false">Ubar_c-Delta_c*AC310</f>
        <v>5.25344515674015</v>
      </c>
      <c r="AE310" s="11" t="n">
        <f aca="false">(-(Cost_k*Ubar_c+Delay_D)+AD310/$AD$5*AE311)/(Rho_a+AD310/$AD$5)</f>
        <v>-299.684172935477</v>
      </c>
      <c r="AF310" s="11" t="n">
        <f aca="false">MAX(AE310,-Delay_D/Rho_a)</f>
        <v>-299.684172935477</v>
      </c>
      <c r="AG310" s="11" t="n">
        <f aca="false">IF(AC310&lt;Floor_F,MAX((-(Cost_k*Ubar_c+Delay_D)*(1-EXP(-Rho_a*LN((Top_c-AC310)/(Top_c-Floor_F))/Delta_c))/Rho_a+EXP(-Rho_a*LN((Top_c-AC310)/(Top_c-Floor_F))/Delta_c)*(-Cost_k*Delta_c*Floor_F/Rho_a)),(-Delay_D/Rho_a)),(EXP(-Rho_a*LN(AC310/Floor_F)/Delta_c)*(-Cost_k*Delta_c*Floor_F/Rho_a)))</f>
        <v>-299.761594140142</v>
      </c>
      <c r="AH310" s="22" t="n">
        <f aca="false">ABS(AF310-AG310)</f>
        <v>0.0774212046647449</v>
      </c>
    </row>
    <row r="311" customFormat="false" ht="15" hidden="false" customHeight="false" outlineLevel="0" collapsed="false">
      <c r="V311" s="17" t="n">
        <f aca="false">30+291*$W$5</f>
        <v>66.375</v>
      </c>
      <c r="W311" s="17" t="n">
        <f aca="false">-Delta_c*V311</f>
        <v>-6.72187801982897</v>
      </c>
      <c r="Y311" s="11" t="n">
        <f aca="false">(-W311/$W$5*Y310)/(Rho_a-W311/$W$5)</f>
        <v>-195.923921791256</v>
      </c>
      <c r="Z311" s="11" t="n">
        <f aca="false">IF(V311&lt;Floor_F,MAX((-(Cost_k*Ubar_c+Delay_D)*(1-EXP(-Rho_a*LN((Top_c-V311)/(Top_c-Floor_F))/Delta_c))/Rho_a+EXP(-Rho_a*LN((Top_c-V311)/(Top_c-Floor_F))/Delta_c)*(-Cost_k*Delta_c*Floor_F/Rho_a)),(-Delay_D/Rho_a)),(EXP(-Rho_a*LN(V311/Floor_F)/Delta_c)*(-Cost_k*Delta_c*Floor_F/Rho_a)))</f>
        <v>-195.854368461458</v>
      </c>
      <c r="AA311" s="22" t="n">
        <f aca="false">ABS(Y311-Z311)</f>
        <v>0.0695533297974862</v>
      </c>
      <c r="AC311" s="17" t="n">
        <f aca="false">30+291*$AD$5</f>
        <v>48.1875</v>
      </c>
      <c r="AD311" s="17" t="n">
        <f aca="false">Ubar_c-Delta_c*AC311</f>
        <v>5.24711570474408</v>
      </c>
      <c r="AE311" s="11" t="n">
        <f aca="false">(-(Cost_k*Ubar_c+Delay_D)+AD311/$AD$5*AE312)/(Rho_a+AD311/$AD$5)</f>
        <v>-299.161354824496</v>
      </c>
      <c r="AF311" s="11" t="n">
        <f aca="false">MAX(AE311,-Delay_D/Rho_a)</f>
        <v>-299.161354824496</v>
      </c>
      <c r="AG311" s="11" t="n">
        <f aca="false">IF(AC311&lt;Floor_F,MAX((-(Cost_k*Ubar_c+Delay_D)*(1-EXP(-Rho_a*LN((Top_c-AC311)/(Top_c-Floor_F))/Delta_c))/Rho_a+EXP(-Rho_a*LN((Top_c-AC311)/(Top_c-Floor_F))/Delta_c)*(-Cost_k*Delta_c*Floor_F/Rho_a)),(-Delay_D/Rho_a)),(EXP(-Rho_a*LN(AC311/Floor_F)/Delta_c)*(-Cost_k*Delta_c*Floor_F/Rho_a)))</f>
        <v>-299.23825183429</v>
      </c>
      <c r="AH311" s="22" t="n">
        <f aca="false">ABS(AF311-AG311)</f>
        <v>0.0768970097939814</v>
      </c>
    </row>
    <row r="312" customFormat="false" ht="15" hidden="false" customHeight="false" outlineLevel="0" collapsed="false">
      <c r="V312" s="17" t="n">
        <f aca="false">30+292*$W$5</f>
        <v>66.5</v>
      </c>
      <c r="W312" s="17" t="n">
        <f aca="false">-Delta_c*V312</f>
        <v>-6.73453692382111</v>
      </c>
      <c r="Y312" s="11" t="n">
        <f aca="false">(-W312/$W$5*Y311)/(Rho_a-W312/$W$5)</f>
        <v>-195.577933488396</v>
      </c>
      <c r="Z312" s="11" t="n">
        <f aca="false">IF(V312&lt;Floor_F,MAX((-(Cost_k*Ubar_c+Delay_D)*(1-EXP(-Rho_a*LN((Top_c-V312)/(Top_c-Floor_F))/Delta_c))/Rho_a+EXP(-Rho_a*LN((Top_c-V312)/(Top_c-Floor_F))/Delta_c)*(-Cost_k*Delta_c*Floor_F/Rho_a)),(-Delay_D/Rho_a)),(EXP(-Rho_a*LN(V312/Floor_F)/Delta_c)*(-Cost_k*Delta_c*Floor_F/Rho_a)))</f>
        <v>-195.507871949241</v>
      </c>
      <c r="AA312" s="22" t="n">
        <f aca="false">ABS(Y312-Z312)</f>
        <v>0.070061539155688</v>
      </c>
      <c r="AC312" s="17" t="n">
        <f aca="false">30+292*$AD$5</f>
        <v>48.25</v>
      </c>
      <c r="AD312" s="17" t="n">
        <f aca="false">Ubar_c-Delta_c*AC312</f>
        <v>5.24078625274801</v>
      </c>
      <c r="AE312" s="11" t="n">
        <f aca="false">(-(Cost_k*Ubar_c+Delay_D)+AD312/$AD$5*AE313)/(Rho_a+AD312/$AD$5)</f>
        <v>-298.637312513304</v>
      </c>
      <c r="AF312" s="11" t="n">
        <f aca="false">MAX(AE312,-Delay_D/Rho_a)</f>
        <v>-298.637312513304</v>
      </c>
      <c r="AG312" s="11" t="n">
        <f aca="false">IF(AC312&lt;Floor_F,MAX((-(Cost_k*Ubar_c+Delay_D)*(1-EXP(-Rho_a*LN((Top_c-AC312)/(Top_c-Floor_F))/Delta_c))/Rho_a+EXP(-Rho_a*LN((Top_c-AC312)/(Top_c-Floor_F))/Delta_c)*(-Cost_k*Delta_c*Floor_F/Rho_a)),(-Delay_D/Rho_a)),(EXP(-Rho_a*LN(AC312/Floor_F)/Delta_c)*(-Cost_k*Delta_c*Floor_F/Rho_a)))</f>
        <v>-298.713682664401</v>
      </c>
      <c r="AH312" s="22" t="n">
        <f aca="false">ABS(AF312-AG312)</f>
        <v>0.0763701510969668</v>
      </c>
    </row>
    <row r="313" customFormat="false" ht="15" hidden="false" customHeight="false" outlineLevel="0" collapsed="false">
      <c r="V313" s="17" t="n">
        <f aca="false">30+293*$W$5</f>
        <v>66.625</v>
      </c>
      <c r="W313" s="17" t="n">
        <f aca="false">-Delta_c*V313</f>
        <v>-6.74719582781326</v>
      </c>
      <c r="Y313" s="11" t="n">
        <f aca="false">(-W313/$W$5*Y312)/(Rho_a-W313/$W$5)</f>
        <v>-195.233203022609</v>
      </c>
      <c r="Z313" s="11" t="n">
        <f aca="false">IF(V313&lt;Floor_F,MAX((-(Cost_k*Ubar_c+Delay_D)*(1-EXP(-Rho_a*LN((Top_c-V313)/(Top_c-Floor_F))/Delta_c))/Rho_a+EXP(-Rho_a*LN((Top_c-V313)/(Top_c-Floor_F))/Delta_c)*(-Cost_k*Delta_c*Floor_F/Rho_a)),(-Delay_D/Rho_a)),(EXP(-Rho_a*LN(V313/Floor_F)/Delta_c)*(-Cost_k*Delta_c*Floor_F/Rho_a)))</f>
        <v>-195.162637415704</v>
      </c>
      <c r="AA313" s="22" t="n">
        <f aca="false">ABS(Y313-Z313)</f>
        <v>0.0705656069041254</v>
      </c>
      <c r="AC313" s="17" t="n">
        <f aca="false">30+293*$AD$5</f>
        <v>48.3125</v>
      </c>
      <c r="AD313" s="17" t="n">
        <f aca="false">Ubar_c-Delta_c*AC313</f>
        <v>5.23445680075194</v>
      </c>
      <c r="AE313" s="11" t="n">
        <f aca="false">(-(Cost_k*Ubar_c+Delay_D)+AD313/$AD$5*AE314)/(Rho_a+AD313/$AD$5)</f>
        <v>-298.112041653423</v>
      </c>
      <c r="AF313" s="11" t="n">
        <f aca="false">MAX(AE313,-Delay_D/Rho_a)</f>
        <v>-298.112041653423</v>
      </c>
      <c r="AG313" s="11" t="n">
        <f aca="false">IF(AC313&lt;Floor_F,MAX((-(Cost_k*Ubar_c+Delay_D)*(1-EXP(-Rho_a*LN((Top_c-AC313)/(Top_c-Floor_F))/Delta_c))/Rho_a+EXP(-Rho_a*LN((Top_c-AC313)/(Top_c-Floor_F))/Delta_c)*(-Cost_k*Delta_c*Floor_F/Rho_a)),(-Delay_D/Rho_a)),(EXP(-Rho_a*LN(AC313/Floor_F)/Delta_c)*(-Cost_k*Delta_c*Floor_F/Rho_a)))</f>
        <v>-298.187882267421</v>
      </c>
      <c r="AH313" s="22" t="n">
        <f aca="false">ABS(AF313-AG313)</f>
        <v>0.0758406139972863</v>
      </c>
    </row>
    <row r="314" customFormat="false" ht="15" hidden="false" customHeight="false" outlineLevel="0" collapsed="false">
      <c r="V314" s="17" t="n">
        <f aca="false">30+294*$W$5</f>
        <v>66.75</v>
      </c>
      <c r="W314" s="17" t="n">
        <f aca="false">-Delta_c*V314</f>
        <v>-6.7598547318054</v>
      </c>
      <c r="Y314" s="11" t="n">
        <f aca="false">(-W314/$W$5*Y313)/(Rho_a-W314/$W$5)</f>
        <v>-194.889723478231</v>
      </c>
      <c r="Z314" s="11" t="n">
        <f aca="false">IF(V314&lt;Floor_F,MAX((-(Cost_k*Ubar_c+Delay_D)*(1-EXP(-Rho_a*LN((Top_c-V314)/(Top_c-Floor_F))/Delta_c))/Rho_a+EXP(-Rho_a*LN((Top_c-V314)/(Top_c-Floor_F))/Delta_c)*(-Cost_k*Delta_c*Floor_F/Rho_a)),(-Delay_D/Rho_a)),(EXP(-Rho_a*LN(V314/Floor_F)/Delta_c)*(-Cost_k*Delta_c*Floor_F/Rho_a)))</f>
        <v>-194.818657909805</v>
      </c>
      <c r="AA314" s="22" t="n">
        <f aca="false">ABS(Y314-Z314)</f>
        <v>0.0710655684256949</v>
      </c>
      <c r="AC314" s="17" t="n">
        <f aca="false">30+294*$AD$5</f>
        <v>48.375</v>
      </c>
      <c r="AD314" s="17" t="n">
        <f aca="false">Ubar_c-Delta_c*AC314</f>
        <v>5.22812734875587</v>
      </c>
      <c r="AE314" s="11" t="n">
        <f aca="false">(-(Cost_k*Ubar_c+Delay_D)+AD314/$AD$5*AE315)/(Rho_a+AD314/$AD$5)</f>
        <v>-297.585537875649</v>
      </c>
      <c r="AF314" s="11" t="n">
        <f aca="false">MAX(AE314,-Delay_D/Rho_a)</f>
        <v>-297.585537875649</v>
      </c>
      <c r="AG314" s="11" t="n">
        <f aca="false">IF(AC314&lt;Floor_F,MAX((-(Cost_k*Ubar_c+Delay_D)*(1-EXP(-Rho_a*LN((Top_c-AC314)/(Top_c-Floor_F))/Delta_c))/Rho_a+EXP(-Rho_a*LN((Top_c-AC314)/(Top_c-Floor_F))/Delta_c)*(-Cost_k*Delta_c*Floor_F/Rho_a)),(-Delay_D/Rho_a)),(EXP(-Rho_a*LN(AC314/Floor_F)/Delta_c)*(-Cost_k*Delta_c*Floor_F/Rho_a)))</f>
        <v>-297.660846259474</v>
      </c>
      <c r="AH314" s="22" t="n">
        <f aca="false">ABS(AF314-AG314)</f>
        <v>0.0753083838244493</v>
      </c>
    </row>
    <row r="315" customFormat="false" ht="15" hidden="false" customHeight="false" outlineLevel="0" collapsed="false">
      <c r="V315" s="17" t="n">
        <f aca="false">30+295*$W$5</f>
        <v>66.875</v>
      </c>
      <c r="W315" s="17" t="n">
        <f aca="false">-Delta_c*V315</f>
        <v>-6.77251363579755</v>
      </c>
      <c r="Y315" s="11" t="n">
        <f aca="false">(-W315/$W$5*Y314)/(Rho_a-W315/$W$5)</f>
        <v>-194.547487990456</v>
      </c>
      <c r="Z315" s="11" t="n">
        <f aca="false">IF(V315&lt;Floor_F,MAX((-(Cost_k*Ubar_c+Delay_D)*(1-EXP(-Rho_a*LN((Top_c-V315)/(Top_c-Floor_F))/Delta_c))/Rho_a+EXP(-Rho_a*LN((Top_c-V315)/(Top_c-Floor_F))/Delta_c)*(-Cost_k*Delta_c*Floor_F/Rho_a)),(-Delay_D/Rho_a)),(EXP(-Rho_a*LN(V315/Floor_F)/Delta_c)*(-Cost_k*Delta_c*Floor_F/Rho_a)))</f>
        <v>-194.475926531706</v>
      </c>
      <c r="AA315" s="22" t="n">
        <f aca="false">ABS(Y315-Z315)</f>
        <v>0.0715614587503239</v>
      </c>
      <c r="AC315" s="17" t="n">
        <f aca="false">30+295*$AD$5</f>
        <v>48.4375</v>
      </c>
      <c r="AD315" s="17" t="n">
        <f aca="false">Ubar_c-Delta_c*AC315</f>
        <v>5.22179789675979</v>
      </c>
      <c r="AE315" s="11" t="n">
        <f aca="false">(-(Cost_k*Ubar_c+Delay_D)+AD315/$AD$5*AE316)/(Rho_a+AD315/$AD$5)</f>
        <v>-297.057796789933</v>
      </c>
      <c r="AF315" s="11" t="n">
        <f aca="false">MAX(AE315,-Delay_D/Rho_a)</f>
        <v>-297.057796789933</v>
      </c>
      <c r="AG315" s="11" t="n">
        <f aca="false">IF(AC315&lt;Floor_F,MAX((-(Cost_k*Ubar_c+Delay_D)*(1-EXP(-Rho_a*LN((Top_c-AC315)/(Top_c-Floor_F))/Delta_c))/Rho_a+EXP(-Rho_a*LN((Top_c-AC315)/(Top_c-Floor_F))/Delta_c)*(-Cost_k*Delta_c*Floor_F/Rho_a)),(-Delay_D/Rho_a)),(EXP(-Rho_a*LN(AC315/Floor_F)/Delta_c)*(-Cost_k*Delta_c*Floor_F/Rho_a)))</f>
        <v>-297.132570235746</v>
      </c>
      <c r="AH315" s="22" t="n">
        <f aca="false">ABS(AF315-AG315)</f>
        <v>0.0747734458131504</v>
      </c>
    </row>
    <row r="316" customFormat="false" ht="15" hidden="false" customHeight="false" outlineLevel="0" collapsed="false">
      <c r="V316" s="17" t="n">
        <f aca="false">30+296*$W$5</f>
        <v>67</v>
      </c>
      <c r="W316" s="17" t="n">
        <f aca="false">-Delta_c*V316</f>
        <v>-6.78517253978969</v>
      </c>
      <c r="Y316" s="11" t="n">
        <f aca="false">(-W316/$W$5*Y315)/(Rho_a-W316/$W$5)</f>
        <v>-194.206489744866</v>
      </c>
      <c r="Z316" s="11" t="n">
        <f aca="false">IF(V316&lt;Floor_F,MAX((-(Cost_k*Ubar_c+Delay_D)*(1-EXP(-Rho_a*LN((Top_c-V316)/(Top_c-Floor_F))/Delta_c))/Rho_a+EXP(-Rho_a*LN((Top_c-V316)/(Top_c-Floor_F))/Delta_c)*(-Cost_k*Delta_c*Floor_F/Rho_a)),(-Delay_D/Rho_a)),(EXP(-Rho_a*LN(V316/Floor_F)/Delta_c)*(-Cost_k*Delta_c*Floor_F/Rho_a)))</f>
        <v>-194.134436432307</v>
      </c>
      <c r="AA316" s="22" t="n">
        <f aca="false">ABS(Y316-Z316)</f>
        <v>0.072053312559234</v>
      </c>
      <c r="AC316" s="17" t="n">
        <f aca="false">30+296*$AD$5</f>
        <v>48.5</v>
      </c>
      <c r="AD316" s="17" t="n">
        <f aca="false">Ubar_c-Delta_c*AC316</f>
        <v>5.21546844476372</v>
      </c>
      <c r="AE316" s="11" t="n">
        <f aca="false">(-(Cost_k*Ubar_c+Delay_D)+AD316/$AD$5*AE317)/(Rho_a+AD316/$AD$5)</f>
        <v>-296.528813985251</v>
      </c>
      <c r="AF316" s="11" t="n">
        <f aca="false">MAX(AE316,-Delay_D/Rho_a)</f>
        <v>-296.528813985251</v>
      </c>
      <c r="AG316" s="11" t="n">
        <f aca="false">IF(AC316&lt;Floor_F,MAX((-(Cost_k*Ubar_c+Delay_D)*(1-EXP(-Rho_a*LN((Top_c-AC316)/(Top_c-Floor_F))/Delta_c))/Rho_a+EXP(-Rho_a*LN((Top_c-AC316)/(Top_c-Floor_F))/Delta_c)*(-Cost_k*Delta_c*Floor_F/Rho_a)),(-Delay_D/Rho_a)),(EXP(-Rho_a*LN(AC316/Floor_F)/Delta_c)*(-Cost_k*Delta_c*Floor_F/Rho_a)))</f>
        <v>-296.603049770354</v>
      </c>
      <c r="AH316" s="22" t="n">
        <f aca="false">ABS(AF316-AG316)</f>
        <v>0.0742357851031557</v>
      </c>
    </row>
    <row r="317" customFormat="false" ht="15" hidden="false" customHeight="false" outlineLevel="0" collapsed="false">
      <c r="V317" s="17" t="n">
        <f aca="false">30+297*$W$5</f>
        <v>67.125</v>
      </c>
      <c r="W317" s="17" t="n">
        <f aca="false">-Delta_c*V317</f>
        <v>-6.79783144378184</v>
      </c>
      <c r="Y317" s="11" t="n">
        <f aca="false">(-W317/$W$5*Y316)/(Rho_a-W317/$W$5)</f>
        <v>-193.866721976967</v>
      </c>
      <c r="Z317" s="11" t="n">
        <f aca="false">IF(V317&lt;Floor_F,MAX((-(Cost_k*Ubar_c+Delay_D)*(1-EXP(-Rho_a*LN((Top_c-V317)/(Top_c-Floor_F))/Delta_c))/Rho_a+EXP(-Rho_a*LN((Top_c-V317)/(Top_c-Floor_F))/Delta_c)*(-Cost_k*Delta_c*Floor_F/Rho_a)),(-Delay_D/Rho_a)),(EXP(-Rho_a*LN(V317/Floor_F)/Delta_c)*(-Cost_k*Delta_c*Floor_F/Rho_a)))</f>
        <v>-193.794180812778</v>
      </c>
      <c r="AA317" s="22" t="n">
        <f aca="false">ABS(Y317-Z317)</f>
        <v>0.0725411641886637</v>
      </c>
      <c r="AC317" s="17" t="n">
        <f aca="false">30+297*$AD$5</f>
        <v>48.5625</v>
      </c>
      <c r="AD317" s="17" t="n">
        <f aca="false">Ubar_c-Delta_c*AC317</f>
        <v>5.20913899276765</v>
      </c>
      <c r="AE317" s="11" t="n">
        <f aca="false">(-(Cost_k*Ubar_c+Delay_D)+AD317/$AD$5*AE318)/(Rho_a+AD317/$AD$5)</f>
        <v>-295.998585029485</v>
      </c>
      <c r="AF317" s="11" t="n">
        <f aca="false">MAX(AE317,-Delay_D/Rho_a)</f>
        <v>-295.998585029485</v>
      </c>
      <c r="AG317" s="11" t="n">
        <f aca="false">IF(AC317&lt;Floor_F,MAX((-(Cost_k*Ubar_c+Delay_D)*(1-EXP(-Rho_a*LN((Top_c-AC317)/(Top_c-Floor_F))/Delta_c))/Rho_a+EXP(-Rho_a*LN((Top_c-AC317)/(Top_c-Floor_F))/Delta_c)*(-Cost_k*Delta_c*Floor_F/Rho_a)),(-Delay_D/Rho_a)),(EXP(-Rho_a*LN(AC317/Floor_F)/Delta_c)*(-Cost_k*Delta_c*Floor_F/Rho_a)))</f>
        <v>-296.072280416223</v>
      </c>
      <c r="AH317" s="22" t="n">
        <f aca="false">ABS(AF317-AG317)</f>
        <v>0.0736953867378247</v>
      </c>
    </row>
    <row r="318" customFormat="false" ht="15" hidden="false" customHeight="false" outlineLevel="0" collapsed="false">
      <c r="V318" s="17" t="n">
        <f aca="false">30+298*$W$5</f>
        <v>67.25</v>
      </c>
      <c r="W318" s="17" t="n">
        <f aca="false">-Delta_c*V318</f>
        <v>-6.81049034777398</v>
      </c>
      <c r="Y318" s="11" t="n">
        <f aca="false">(-W318/$W$5*Y317)/(Rho_a-W318/$W$5)</f>
        <v>-193.52817797173</v>
      </c>
      <c r="Z318" s="11" t="n">
        <f aca="false">IF(V318&lt;Floor_F,MAX((-(Cost_k*Ubar_c+Delay_D)*(1-EXP(-Rho_a*LN((Top_c-V318)/(Top_c-Floor_F))/Delta_c))/Rho_a+EXP(-Rho_a*LN((Top_c-V318)/(Top_c-Floor_F))/Delta_c)*(-Cost_k*Delta_c*Floor_F/Rho_a)),(-Delay_D/Rho_a)),(EXP(-Rho_a*LN(V318/Floor_F)/Delta_c)*(-Cost_k*Delta_c*Floor_F/Rho_a)))</f>
        <v>-193.455152924096</v>
      </c>
      <c r="AA318" s="22" t="n">
        <f aca="false">ABS(Y318-Z318)</f>
        <v>0.073025047634161</v>
      </c>
      <c r="AC318" s="17" t="n">
        <f aca="false">30+298*$AD$5</f>
        <v>48.625</v>
      </c>
      <c r="AD318" s="17" t="n">
        <f aca="false">Ubar_c-Delta_c*AC318</f>
        <v>5.20280954077157</v>
      </c>
      <c r="AE318" s="11" t="n">
        <f aca="false">(-(Cost_k*Ubar_c+Delay_D)+AD318/$AD$5*AE319)/(Rho_a+AD318/$AD$5)</f>
        <v>-295.467105469291</v>
      </c>
      <c r="AF318" s="11" t="n">
        <f aca="false">MAX(AE318,-Delay_D/Rho_a)</f>
        <v>-295.467105469291</v>
      </c>
      <c r="AG318" s="11" t="n">
        <f aca="false">IF(AC318&lt;Floor_F,MAX((-(Cost_k*Ubar_c+Delay_D)*(1-EXP(-Rho_a*LN((Top_c-AC318)/(Top_c-Floor_F))/Delta_c))/Rho_a+EXP(-Rho_a*LN((Top_c-AC318)/(Top_c-Floor_F))/Delta_c)*(-Cost_k*Delta_c*Floor_F/Rho_a)),(-Delay_D/Rho_a)),(EXP(-Rho_a*LN(AC318/Floor_F)/Delta_c)*(-Cost_k*Delta_c*Floor_F/Rho_a)))</f>
        <v>-295.540257704955</v>
      </c>
      <c r="AH318" s="22" t="n">
        <f aca="false">ABS(AF318-AG318)</f>
        <v>0.0731522356641108</v>
      </c>
    </row>
    <row r="319" customFormat="false" ht="15" hidden="false" customHeight="false" outlineLevel="0" collapsed="false">
      <c r="V319" s="17" t="n">
        <f aca="false">30+299*$W$5</f>
        <v>67.375</v>
      </c>
      <c r="W319" s="17" t="n">
        <f aca="false">-Delta_c*V319</f>
        <v>-6.82314925176613</v>
      </c>
      <c r="Y319" s="11" t="n">
        <f aca="false">(-W319/$W$5*Y318)/(Rho_a-W319/$W$5)</f>
        <v>-193.190851063144</v>
      </c>
      <c r="Z319" s="11" t="n">
        <f aca="false">IF(V319&lt;Floor_F,MAX((-(Cost_k*Ubar_c+Delay_D)*(1-EXP(-Rho_a*LN((Top_c-V319)/(Top_c-Floor_F))/Delta_c))/Rho_a+EXP(-Rho_a*LN((Top_c-V319)/(Top_c-Floor_F))/Delta_c)*(-Cost_k*Delta_c*Floor_F/Rho_a)),(-Delay_D/Rho_a)),(EXP(-Rho_a*LN(V319/Floor_F)/Delta_c)*(-Cost_k*Delta_c*Floor_F/Rho_a)))</f>
        <v>-193.117346066589</v>
      </c>
      <c r="AA319" s="22" t="n">
        <f aca="false">ABS(Y319-Z319)</f>
        <v>0.0735049965544761</v>
      </c>
      <c r="AC319" s="17" t="n">
        <f aca="false">30+299*$AD$5</f>
        <v>48.6875</v>
      </c>
      <c r="AD319" s="17" t="n">
        <f aca="false">Ubar_c-Delta_c*AC319</f>
        <v>5.1964800887755</v>
      </c>
      <c r="AE319" s="11" t="n">
        <f aca="false">(-(Cost_k*Ubar_c+Delay_D)+AD319/$AD$5*AE320)/(Rho_a+AD319/$AD$5)</f>
        <v>-294.934370829972</v>
      </c>
      <c r="AF319" s="11" t="n">
        <f aca="false">MAX(AE319,-Delay_D/Rho_a)</f>
        <v>-294.934370829972</v>
      </c>
      <c r="AG319" s="11" t="n">
        <f aca="false">IF(AC319&lt;Floor_F,MAX((-(Cost_k*Ubar_c+Delay_D)*(1-EXP(-Rho_a*LN((Top_c-AC319)/(Top_c-Floor_F))/Delta_c))/Rho_a+EXP(-Rho_a*LN((Top_c-AC319)/(Top_c-Floor_F))/Delta_c)*(-Cost_k*Delta_c*Floor_F/Rho_a)),(-Delay_D/Rho_a)),(EXP(-Rho_a*LN(AC319/Floor_F)/Delta_c)*(-Cost_k*Delta_c*Floor_F/Rho_a)))</f>
        <v>-295.006977146703</v>
      </c>
      <c r="AH319" s="22" t="n">
        <f aca="false">ABS(AF319-AG319)</f>
        <v>0.0726063167311963</v>
      </c>
    </row>
    <row r="320" customFormat="false" ht="15" hidden="false" customHeight="false" outlineLevel="0" collapsed="false">
      <c r="V320" s="17" t="n">
        <f aca="false">30+300*$W$5</f>
        <v>67.5</v>
      </c>
      <c r="W320" s="17" t="n">
        <f aca="false">-Delta_c*V320</f>
        <v>-6.83580815575827</v>
      </c>
      <c r="Y320" s="11" t="n">
        <f aca="false">(-W320/$W$5*Y319)/(Rho_a-W320/$W$5)</f>
        <v>-192.854734633761</v>
      </c>
      <c r="Z320" s="11" t="n">
        <f aca="false">IF(V320&lt;Floor_F,MAX((-(Cost_k*Ubar_c+Delay_D)*(1-EXP(-Rho_a*LN((Top_c-V320)/(Top_c-Floor_F))/Delta_c))/Rho_a+EXP(-Rho_a*LN((Top_c-V320)/(Top_c-Floor_F))/Delta_c)*(-Cost_k*Delta_c*Floor_F/Rho_a)),(-Delay_D/Rho_a)),(EXP(-Rho_a*LN(V320/Floor_F)/Delta_c)*(-Cost_k*Delta_c*Floor_F/Rho_a)))</f>
        <v>-192.780753589486</v>
      </c>
      <c r="AA320" s="22" t="n">
        <f aca="false">ABS(Y320-Z320)</f>
        <v>0.0739810442752571</v>
      </c>
      <c r="AC320" s="17" t="n">
        <f aca="false">30+300*$AD$5</f>
        <v>48.75</v>
      </c>
      <c r="AD320" s="17" t="n">
        <f aca="false">Ubar_c-Delta_c*AC320</f>
        <v>5.19015063677943</v>
      </c>
      <c r="AE320" s="11" t="n">
        <f aca="false">(-(Cost_k*Ubar_c+Delay_D)+AD320/$AD$5*AE321)/(Rho_a+AD320/$AD$5)</f>
        <v>-294.400376615354</v>
      </c>
      <c r="AF320" s="11" t="n">
        <f aca="false">MAX(AE320,-Delay_D/Rho_a)</f>
        <v>-294.400376615354</v>
      </c>
      <c r="AG320" s="11" t="n">
        <f aca="false">IF(AC320&lt;Floor_F,MAX((-(Cost_k*Ubar_c+Delay_D)*(1-EXP(-Rho_a*LN((Top_c-AC320)/(Top_c-Floor_F))/Delta_c))/Rho_a+EXP(-Rho_a*LN((Top_c-AC320)/(Top_c-Floor_F))/Delta_c)*(-Cost_k*Delta_c*Floor_F/Rho_a)),(-Delay_D/Rho_a)),(EXP(-Rho_a*LN(AC320/Floor_F)/Delta_c)*(-Cost_k*Delta_c*Floor_F/Rho_a)))</f>
        <v>-294.472434230044</v>
      </c>
      <c r="AH320" s="22" t="n">
        <f aca="false">ABS(AF320-AG320)</f>
        <v>0.0720576146900953</v>
      </c>
    </row>
    <row r="321" customFormat="false" ht="15" hidden="false" customHeight="false" outlineLevel="0" collapsed="false">
      <c r="V321" s="17" t="n">
        <f aca="false">30+301*$W$5</f>
        <v>67.625</v>
      </c>
      <c r="W321" s="17" t="n">
        <f aca="false">-Delta_c*V321</f>
        <v>-6.84846705975042</v>
      </c>
      <c r="Y321" s="11" t="n">
        <f aca="false">(-W321/$W$5*Y320)/(Rho_a-W321/$W$5)</f>
        <v>-192.51982211426</v>
      </c>
      <c r="Z321" s="11" t="n">
        <f aca="false">IF(V321&lt;Floor_F,MAX((-(Cost_k*Ubar_c+Delay_D)*(1-EXP(-Rho_a*LN((Top_c-V321)/(Top_c-Floor_F))/Delta_c))/Rho_a+EXP(-Rho_a*LN((Top_c-V321)/(Top_c-Floor_F))/Delta_c)*(-Cost_k*Delta_c*Floor_F/Rho_a)),(-Delay_D/Rho_a)),(EXP(-Rho_a*LN(V321/Floor_F)/Delta_c)*(-Cost_k*Delta_c*Floor_F/Rho_a)))</f>
        <v>-192.445368890467</v>
      </c>
      <c r="AA321" s="22" t="n">
        <f aca="false">ABS(Y321-Z321)</f>
        <v>0.0744532237931423</v>
      </c>
      <c r="AC321" s="17" t="n">
        <f aca="false">30+301*$AD$5</f>
        <v>48.8125</v>
      </c>
      <c r="AD321" s="17" t="n">
        <f aca="false">Ubar_c-Delta_c*AC321</f>
        <v>5.18382118478336</v>
      </c>
      <c r="AE321" s="11" t="n">
        <f aca="false">(-(Cost_k*Ubar_c+Delay_D)+AD321/$AD$5*AE322)/(Rho_a+AD321/$AD$5)</f>
        <v>-293.865118307649</v>
      </c>
      <c r="AF321" s="11" t="n">
        <f aca="false">MAX(AE321,-Delay_D/Rho_a)</f>
        <v>-293.865118307649</v>
      </c>
      <c r="AG321" s="11" t="n">
        <f aca="false">IF(AC321&lt;Floor_F,MAX((-(Cost_k*Ubar_c+Delay_D)*(1-EXP(-Rho_a*LN((Top_c-AC321)/(Top_c-Floor_F))/Delta_c))/Rho_a+EXP(-Rho_a*LN((Top_c-AC321)/(Top_c-Floor_F))/Delta_c)*(-Cost_k*Delta_c*Floor_F/Rho_a)),(-Delay_D/Rho_a)),(EXP(-Rho_a*LN(AC321/Floor_F)/Delta_c)*(-Cost_k*Delta_c*Floor_F/Rho_a)))</f>
        <v>-293.936624421842</v>
      </c>
      <c r="AH321" s="22" t="n">
        <f aca="false">ABS(AF321-AG321)</f>
        <v>0.0715061141928004</v>
      </c>
    </row>
    <row r="322" customFormat="false" ht="15" hidden="false" customHeight="false" outlineLevel="0" collapsed="false">
      <c r="V322" s="17" t="n">
        <f aca="false">30+302*$W$5</f>
        <v>67.75</v>
      </c>
      <c r="W322" s="17" t="n">
        <f aca="false">-Delta_c*V322</f>
        <v>-6.86112596374256</v>
      </c>
      <c r="Y322" s="11" t="n">
        <f aca="false">(-W322/$W$5*Y321)/(Rho_a-W322/$W$5)</f>
        <v>-192.186106983004</v>
      </c>
      <c r="Z322" s="11" t="n">
        <f aca="false">IF(V322&lt;Floor_F,MAX((-(Cost_k*Ubar_c+Delay_D)*(1-EXP(-Rho_a*LN((Top_c-V322)/(Top_c-Floor_F))/Delta_c))/Rho_a+EXP(-Rho_a*LN((Top_c-V322)/(Top_c-Floor_F))/Delta_c)*(-Cost_k*Delta_c*Floor_F/Rho_a)),(-Delay_D/Rho_a)),(EXP(-Rho_a*LN(V322/Floor_F)/Delta_c)*(-Cost_k*Delta_c*Floor_F/Rho_a)))</f>
        <v>-192.111185415225</v>
      </c>
      <c r="AA322" s="22" t="n">
        <f aca="false">ABS(Y322-Z322)</f>
        <v>0.0749215677793416</v>
      </c>
      <c r="AC322" s="17" t="n">
        <f aca="false">30+302*$AD$5</f>
        <v>48.875</v>
      </c>
      <c r="AD322" s="17" t="n">
        <f aca="false">Ubar_c-Delta_c*AC322</f>
        <v>5.17749173278729</v>
      </c>
      <c r="AE322" s="11" t="n">
        <f aca="false">(-(Cost_k*Ubar_c+Delay_D)+AD322/$AD$5*AE323)/(Rho_a+AD322/$AD$5)</f>
        <v>-293.328591367332</v>
      </c>
      <c r="AF322" s="11" t="n">
        <f aca="false">MAX(AE322,-Delay_D/Rho_a)</f>
        <v>-293.328591367332</v>
      </c>
      <c r="AG322" s="11" t="n">
        <f aca="false">IF(AC322&lt;Floor_F,MAX((-(Cost_k*Ubar_c+Delay_D)*(1-EXP(-Rho_a*LN((Top_c-AC322)/(Top_c-Floor_F))/Delta_c))/Rho_a+EXP(-Rho_a*LN((Top_c-AC322)/(Top_c-Floor_F))/Delta_c)*(-Cost_k*Delta_c*Floor_F/Rho_a)),(-Delay_D/Rho_a)),(EXP(-Rho_a*LN(AC322/Floor_F)/Delta_c)*(-Cost_k*Delta_c*Floor_F/Rho_a)))</f>
        <v>-293.399543167124</v>
      </c>
      <c r="AH322" s="22" t="n">
        <f aca="false">ABS(AF322-AG322)</f>
        <v>0.0709517997917715</v>
      </c>
    </row>
    <row r="323" customFormat="false" ht="15" hidden="false" customHeight="false" outlineLevel="0" collapsed="false">
      <c r="V323" s="17" t="n">
        <f aca="false">30+303*$W$5</f>
        <v>67.875</v>
      </c>
      <c r="W323" s="17" t="n">
        <f aca="false">-Delta_c*V323</f>
        <v>-6.87378486773471</v>
      </c>
      <c r="Y323" s="11" t="n">
        <f aca="false">(-W323/$W$5*Y322)/(Rho_a-W323/$W$5)</f>
        <v>-191.853582765609</v>
      </c>
      <c r="Z323" s="11" t="n">
        <f aca="false">IF(V323&lt;Floor_F,MAX((-(Cost_k*Ubar_c+Delay_D)*(1-EXP(-Rho_a*LN((Top_c-V323)/(Top_c-Floor_F))/Delta_c))/Rho_a+EXP(-Rho_a*LN((Top_c-V323)/(Top_c-Floor_F))/Delta_c)*(-Cost_k*Delta_c*Floor_F/Rho_a)),(-Delay_D/Rho_a)),(EXP(-Rho_a*LN(V323/Floor_F)/Delta_c)*(-Cost_k*Delta_c*Floor_F/Rho_a)))</f>
        <v>-191.778196657025</v>
      </c>
      <c r="AA323" s="22" t="n">
        <f aca="false">ABS(Y323-Z323)</f>
        <v>0.0753861085835013</v>
      </c>
      <c r="AC323" s="17" t="n">
        <f aca="false">30+303*$AD$5</f>
        <v>48.9375</v>
      </c>
      <c r="AD323" s="17" t="n">
        <f aca="false">Ubar_c-Delta_c*AC323</f>
        <v>5.17116228079121</v>
      </c>
      <c r="AE323" s="11" t="n">
        <f aca="false">(-(Cost_k*Ubar_c+Delay_D)+AD323/$AD$5*AE324)/(Rho_a+AD323/$AD$5)</f>
        <v>-292.790791233006</v>
      </c>
      <c r="AF323" s="11" t="n">
        <f aca="false">MAX(AE323,-Delay_D/Rho_a)</f>
        <v>-292.790791233006</v>
      </c>
      <c r="AG323" s="11" t="n">
        <f aca="false">IF(AC323&lt;Floor_F,MAX((-(Cost_k*Ubar_c+Delay_D)*(1-EXP(-Rho_a*LN((Top_c-AC323)/(Top_c-Floor_F))/Delta_c))/Rho_a+EXP(-Rho_a*LN((Top_c-AC323)/(Top_c-Floor_F))/Delta_c)*(-Cost_k*Delta_c*Floor_F/Rho_a)),(-Delay_D/Rho_a)),(EXP(-Rho_a*LN(AC323/Floor_F)/Delta_c)*(-Cost_k*Delta_c*Floor_F/Rho_a)))</f>
        <v>-292.861185888944</v>
      </c>
      <c r="AH323" s="22" t="n">
        <f aca="false">ABS(AF323-AG323)</f>
        <v>0.0703946559385713</v>
      </c>
    </row>
    <row r="324" customFormat="false" ht="15" hidden="false" customHeight="false" outlineLevel="0" collapsed="false">
      <c r="V324" s="17" t="n">
        <f aca="false">30+304*$W$5</f>
        <v>68</v>
      </c>
      <c r="W324" s="17" t="n">
        <f aca="false">-Delta_c*V324</f>
        <v>-6.88644377172685</v>
      </c>
      <c r="Y324" s="11" t="n">
        <f aca="false">(-W324/$W$5*Y323)/(Rho_a-W324/$W$5)</f>
        <v>-191.522243034515</v>
      </c>
      <c r="Z324" s="11" t="n">
        <f aca="false">IF(V324&lt;Floor_F,MAX((-(Cost_k*Ubar_c+Delay_D)*(1-EXP(-Rho_a*LN((Top_c-V324)/(Top_c-Floor_F))/Delta_c))/Rho_a+EXP(-Rho_a*LN((Top_c-V324)/(Top_c-Floor_F))/Delta_c)*(-Cost_k*Delta_c*Floor_F/Rho_a)),(-Delay_D/Rho_a)),(EXP(-Rho_a*LN(V324/Floor_F)/Delta_c)*(-Cost_k*Delta_c*Floor_F/Rho_a)))</f>
        <v>-191.446396156277</v>
      </c>
      <c r="AA324" s="22" t="n">
        <f aca="false">ABS(Y324-Z324)</f>
        <v>0.0758468782372574</v>
      </c>
      <c r="AC324" s="17" t="n">
        <f aca="false">30+304*$AD$5</f>
        <v>49</v>
      </c>
      <c r="AD324" s="17" t="n">
        <f aca="false">Ubar_c-Delta_c*AC324</f>
        <v>5.16483282879514</v>
      </c>
      <c r="AE324" s="11" t="n">
        <f aca="false">(-(Cost_k*Ubar_c+Delay_D)+AD324/$AD$5*AE325)/(Rho_a+AD324/$AD$5)</f>
        <v>-292.251713321268</v>
      </c>
      <c r="AF324" s="11" t="n">
        <f aca="false">MAX(AE324,-Delay_D/Rho_a)</f>
        <v>-292.251713321268</v>
      </c>
      <c r="AG324" s="11" t="n">
        <f aca="false">IF(AC324&lt;Floor_F,MAX((-(Cost_k*Ubar_c+Delay_D)*(1-EXP(-Rho_a*LN((Top_c-AC324)/(Top_c-Floor_F))/Delta_c))/Rho_a+EXP(-Rho_a*LN((Top_c-AC324)/(Top_c-Floor_F))/Delta_c)*(-Cost_k*Delta_c*Floor_F/Rho_a)),(-Delay_D/Rho_a)),(EXP(-Rho_a*LN(AC324/Floor_F)/Delta_c)*(-Cost_k*Delta_c*Floor_F/Rho_a)))</f>
        <v>-292.321547988252</v>
      </c>
      <c r="AH324" s="22" t="n">
        <f aca="false">ABS(AF324-AG324)</f>
        <v>0.0698346669839225</v>
      </c>
    </row>
    <row r="325" customFormat="false" ht="15" hidden="false" customHeight="false" outlineLevel="0" collapsed="false">
      <c r="V325" s="17" t="n">
        <f aca="false">30+305*$W$5</f>
        <v>68.125</v>
      </c>
      <c r="W325" s="17" t="n">
        <f aca="false">-Delta_c*V325</f>
        <v>-6.899102675719</v>
      </c>
      <c r="Y325" s="11" t="n">
        <f aca="false">(-W325/$W$5*Y324)/(Rho_a-W325/$W$5)</f>
        <v>-191.192081408562</v>
      </c>
      <c r="Z325" s="11" t="n">
        <f aca="false">IF(V325&lt;Floor_F,MAX((-(Cost_k*Ubar_c+Delay_D)*(1-EXP(-Rho_a*LN((Top_c-V325)/(Top_c-Floor_F))/Delta_c))/Rho_a+EXP(-Rho_a*LN((Top_c-V325)/(Top_c-Floor_F))/Delta_c)*(-Cost_k*Delta_c*Floor_F/Rho_a)),(-Delay_D/Rho_a)),(EXP(-Rho_a*LN(V325/Floor_F)/Delta_c)*(-Cost_k*Delta_c*Floor_F/Rho_a)))</f>
        <v>-191.115777500104</v>
      </c>
      <c r="AA325" s="22" t="n">
        <f aca="false">ABS(Y325-Z325)</f>
        <v>0.0763039084580441</v>
      </c>
      <c r="AC325" s="17" t="n">
        <f aca="false">30+305*$AD$5</f>
        <v>49.0625</v>
      </c>
      <c r="AD325" s="17" t="n">
        <f aca="false">Ubar_c-Delta_c*AC325</f>
        <v>5.15850337679907</v>
      </c>
      <c r="AE325" s="11" t="n">
        <f aca="false">(-(Cost_k*Ubar_c+Delay_D)+AD325/$AD$5*AE326)/(Rho_a+AD325/$AD$5)</f>
        <v>-291.71135302658</v>
      </c>
      <c r="AF325" s="11" t="n">
        <f aca="false">MAX(AE325,-Delay_D/Rho_a)</f>
        <v>-291.71135302658</v>
      </c>
      <c r="AG325" s="11" t="n">
        <f aca="false">IF(AC325&lt;Floor_F,MAX((-(Cost_k*Ubar_c+Delay_D)*(1-EXP(-Rho_a*LN((Top_c-AC325)/(Top_c-Floor_F))/Delta_c))/Rho_a+EXP(-Rho_a*LN((Top_c-AC325)/(Top_c-Floor_F))/Delta_c)*(-Cost_k*Delta_c*Floor_F/Rho_a)),(-Delay_D/Rho_a)),(EXP(-Rho_a*LN(AC325/Floor_F)/Delta_c)*(-Cost_k*Delta_c*Floor_F/Rho_a)))</f>
        <v>-291.780624843756</v>
      </c>
      <c r="AH325" s="22" t="n">
        <f aca="false">ABS(AF325-AG325)</f>
        <v>0.0692718171762863</v>
      </c>
    </row>
    <row r="326" customFormat="false" ht="15" hidden="false" customHeight="false" outlineLevel="0" collapsed="false">
      <c r="V326" s="17" t="n">
        <f aca="false">30+306*$W$5</f>
        <v>68.25</v>
      </c>
      <c r="W326" s="17" t="n">
        <f aca="false">-Delta_c*V326</f>
        <v>-6.91176157971114</v>
      </c>
      <c r="Y326" s="11" t="n">
        <f aca="false">(-W326/$W$5*Y325)/(Rho_a-W326/$W$5)</f>
        <v>-190.863091552574</v>
      </c>
      <c r="Z326" s="11" t="n">
        <f aca="false">IF(V326&lt;Floor_F,MAX((-(Cost_k*Ubar_c+Delay_D)*(1-EXP(-Rho_a*LN((Top_c-V326)/(Top_c-Floor_F))/Delta_c))/Rho_a+EXP(-Rho_a*LN((Top_c-V326)/(Top_c-Floor_F))/Delta_c)*(-Cost_k*Delta_c*Floor_F/Rho_a)),(-Delay_D/Rho_a)),(EXP(-Rho_a*LN(V326/Floor_F)/Delta_c)*(-Cost_k*Delta_c*Floor_F/Rho_a)))</f>
        <v>-190.786334321921</v>
      </c>
      <c r="AA326" s="22" t="n">
        <f aca="false">ABS(Y326-Z326)</f>
        <v>0.0767572306527029</v>
      </c>
      <c r="AC326" s="17" t="n">
        <f aca="false">30+306*$AD$5</f>
        <v>49.125</v>
      </c>
      <c r="AD326" s="17" t="n">
        <f aca="false">Ubar_c-Delta_c*AC326</f>
        <v>5.152173924803</v>
      </c>
      <c r="AE326" s="11" t="n">
        <f aca="false">(-(Cost_k*Ubar_c+Delay_D)+AD326/$AD$5*AE327)/(Rho_a+AD326/$AD$5)</f>
        <v>-291.169705721133</v>
      </c>
      <c r="AF326" s="11" t="n">
        <f aca="false">MAX(AE326,-Delay_D/Rho_a)</f>
        <v>-291.169705721133</v>
      </c>
      <c r="AG326" s="11" t="n">
        <f aca="false">IF(AC326&lt;Floor_F,MAX((-(Cost_k*Ubar_c+Delay_D)*(1-EXP(-Rho_a*LN((Top_c-AC326)/(Top_c-Floor_F))/Delta_c))/Rho_a+EXP(-Rho_a*LN((Top_c-AC326)/(Top_c-Floor_F))/Delta_c)*(-Cost_k*Delta_c*Floor_F/Rho_a)),(-Delay_D/Rho_a)),(EXP(-Rho_a*LN(AC326/Floor_F)/Delta_c)*(-Cost_k*Delta_c*Floor_F/Rho_a)))</f>
        <v>-291.238411811794</v>
      </c>
      <c r="AH326" s="22" t="n">
        <f aca="false">ABS(AF326-AG326)</f>
        <v>0.0687060906612373</v>
      </c>
    </row>
    <row r="327" customFormat="false" ht="15" hidden="false" customHeight="false" outlineLevel="0" collapsed="false">
      <c r="V327" s="17" t="n">
        <f aca="false">30+307*$W$5</f>
        <v>68.375</v>
      </c>
      <c r="W327" s="17" t="n">
        <f aca="false">-Delta_c*V327</f>
        <v>-6.92442048370329</v>
      </c>
      <c r="Y327" s="11" t="n">
        <f aca="false">(-W327/$W$5*Y326)/(Rho_a-W327/$W$5)</f>
        <v>-190.535267176938</v>
      </c>
      <c r="Z327" s="11" t="n">
        <f aca="false">IF(V327&lt;Floor_F,MAX((-(Cost_k*Ubar_c+Delay_D)*(1-EXP(-Rho_a*LN((Top_c-V327)/(Top_c-Floor_F))/Delta_c))/Rho_a+EXP(-Rho_a*LN((Top_c-V327)/(Top_c-Floor_F))/Delta_c)*(-Cost_k*Delta_c*Floor_F/Rho_a)),(-Delay_D/Rho_a)),(EXP(-Rho_a*LN(V327/Floor_F)/Delta_c)*(-Cost_k*Delta_c*Floor_F/Rho_a)))</f>
        <v>-190.458060301017</v>
      </c>
      <c r="AA327" s="22" t="n">
        <f aca="false">ABS(Y327-Z327)</f>
        <v>0.0772068759206093</v>
      </c>
      <c r="AC327" s="17" t="n">
        <f aca="false">30+307*$AD$5</f>
        <v>49.1875</v>
      </c>
      <c r="AD327" s="17" t="n">
        <f aca="false">Ubar_c-Delta_c*AC327</f>
        <v>5.14584447280692</v>
      </c>
      <c r="AE327" s="11" t="n">
        <f aca="false">(-(Cost_k*Ubar_c+Delay_D)+AD327/$AD$5*AE328)/(Rho_a+AD327/$AD$5)</f>
        <v>-290.62676675471</v>
      </c>
      <c r="AF327" s="11" t="n">
        <f aca="false">MAX(AE327,-Delay_D/Rho_a)</f>
        <v>-290.62676675471</v>
      </c>
      <c r="AG327" s="11" t="n">
        <f aca="false">IF(AC327&lt;Floor_F,MAX((-(Cost_k*Ubar_c+Delay_D)*(1-EXP(-Rho_a*LN((Top_c-AC327)/(Top_c-Floor_F))/Delta_c))/Rho_a+EXP(-Rho_a*LN((Top_c-AC327)/(Top_c-Floor_F))/Delta_c)*(-Cost_k*Delta_c*Floor_F/Rho_a)),(-Delay_D/Rho_a)),(EXP(-Rho_a*LN(AC327/Floor_F)/Delta_c)*(-Cost_k*Delta_c*Floor_F/Rho_a)))</f>
        <v>-290.694904226191</v>
      </c>
      <c r="AH327" s="22" t="n">
        <f aca="false">ABS(AF327-AG327)</f>
        <v>0.068137471481009</v>
      </c>
    </row>
    <row r="328" customFormat="false" ht="15" hidden="false" customHeight="false" outlineLevel="0" collapsed="false">
      <c r="V328" s="17" t="n">
        <f aca="false">30+308*$W$5</f>
        <v>68.5</v>
      </c>
      <c r="W328" s="17" t="n">
        <f aca="false">-Delta_c*V328</f>
        <v>-6.93707938769543</v>
      </c>
      <c r="Y328" s="11" t="n">
        <f aca="false">(-W328/$W$5*Y327)/(Rho_a-W328/$W$5)</f>
        <v>-190.208602037199</v>
      </c>
      <c r="Z328" s="11" t="n">
        <f aca="false">IF(V328&lt;Floor_F,MAX((-(Cost_k*Ubar_c+Delay_D)*(1-EXP(-Rho_a*LN((Top_c-V328)/(Top_c-Floor_F))/Delta_c))/Rho_a+EXP(-Rho_a*LN((Top_c-V328)/(Top_c-Floor_F))/Delta_c)*(-Cost_k*Delta_c*Floor_F/Rho_a)),(-Delay_D/Rho_a)),(EXP(-Rho_a*LN(V328/Floor_F)/Delta_c)*(-Cost_k*Delta_c*Floor_F/Rho_a)))</f>
        <v>-190.130949162141</v>
      </c>
      <c r="AA328" s="22" t="n">
        <f aca="false">ABS(Y328-Z328)</f>
        <v>0.0776528750577654</v>
      </c>
      <c r="AC328" s="17" t="n">
        <f aca="false">30+308*$AD$5</f>
        <v>49.25</v>
      </c>
      <c r="AD328" s="17" t="n">
        <f aca="false">Ubar_c-Delta_c*AC328</f>
        <v>5.13951502081085</v>
      </c>
      <c r="AE328" s="11" t="n">
        <f aca="false">(-(Cost_k*Ubar_c+Delay_D)+AD328/$AD$5*AE329)/(Rho_a+AD328/$AD$5)</f>
        <v>-290.082531454553</v>
      </c>
      <c r="AF328" s="11" t="n">
        <f aca="false">MAX(AE328,-Delay_D/Rho_a)</f>
        <v>-290.082531454553</v>
      </c>
      <c r="AG328" s="11" t="n">
        <f aca="false">IF(AC328&lt;Floor_F,MAX((-(Cost_k*Ubar_c+Delay_D)*(1-EXP(-Rho_a*LN((Top_c-AC328)/(Top_c-Floor_F))/Delta_c))/Rho_a+EXP(-Rho_a*LN((Top_c-AC328)/(Top_c-Floor_F))/Delta_c)*(-Cost_k*Delta_c*Floor_F/Rho_a)),(-Delay_D/Rho_a)),(EXP(-Rho_a*LN(AC328/Floor_F)/Delta_c)*(-Cost_k*Delta_c*Floor_F/Rho_a)))</f>
        <v>-290.150097398126</v>
      </c>
      <c r="AH328" s="22" t="n">
        <f aca="false">ABS(AF328-AG328)</f>
        <v>0.0675659435731291</v>
      </c>
    </row>
    <row r="329" customFormat="false" ht="15" hidden="false" customHeight="false" outlineLevel="0" collapsed="false">
      <c r="V329" s="17" t="n">
        <f aca="false">30+309*$W$5</f>
        <v>68.625</v>
      </c>
      <c r="W329" s="17" t="n">
        <f aca="false">-Delta_c*V329</f>
        <v>-6.94973829168758</v>
      </c>
      <c r="Y329" s="11" t="n">
        <f aca="false">(-W329/$W$5*Y328)/(Rho_a-W329/$W$5)</f>
        <v>-189.883089933653</v>
      </c>
      <c r="Z329" s="11" t="n">
        <f aca="false">IF(V329&lt;Floor_F,MAX((-(Cost_k*Ubar_c+Delay_D)*(1-EXP(-Rho_a*LN((Top_c-V329)/(Top_c-Floor_F))/Delta_c))/Rho_a+EXP(-Rho_a*LN((Top_c-V329)/(Top_c-Floor_F))/Delta_c)*(-Cost_k*Delta_c*Floor_F/Rho_a)),(-Delay_D/Rho_a)),(EXP(-Rho_a*LN(V329/Floor_F)/Delta_c)*(-Cost_k*Delta_c*Floor_F/Rho_a)))</f>
        <v>-189.804994675093</v>
      </c>
      <c r="AA329" s="22" t="n">
        <f aca="false">ABS(Y329-Z329)</f>
        <v>0.0780952585597845</v>
      </c>
      <c r="AC329" s="17" t="n">
        <f aca="false">30+309*$AD$5</f>
        <v>49.3125</v>
      </c>
      <c r="AD329" s="17" t="n">
        <f aca="false">Ubar_c-Delta_c*AC329</f>
        <v>5.13318556881478</v>
      </c>
      <c r="AE329" s="11" t="n">
        <f aca="false">(-(Cost_k*Ubar_c+Delay_D)+AD329/$AD$5*AE330)/(Rho_a+AD329/$AD$5)</f>
        <v>-289.536995125223</v>
      </c>
      <c r="AF329" s="11" t="n">
        <f aca="false">MAX(AE329,-Delay_D/Rho_a)</f>
        <v>-289.536995125223</v>
      </c>
      <c r="AG329" s="11" t="n">
        <f aca="false">IF(AC329&lt;Floor_F,MAX((-(Cost_k*Ubar_c+Delay_D)*(1-EXP(-Rho_a*LN((Top_c-AC329)/(Top_c-Floor_F))/Delta_c))/Rho_a+EXP(-Rho_a*LN((Top_c-AC329)/(Top_c-Floor_F))/Delta_c)*(-Cost_k*Delta_c*Floor_F/Rho_a)),(-Delay_D/Rho_a)),(EXP(-Rho_a*LN(AC329/Floor_F)/Delta_c)*(-Cost_k*Delta_c*Floor_F/Rho_a)))</f>
        <v>-289.603986615993</v>
      </c>
      <c r="AH329" s="22" t="n">
        <f aca="false">ABS(AF329-AG329)</f>
        <v>0.0669914907702491</v>
      </c>
    </row>
    <row r="330" customFormat="false" ht="15" hidden="false" customHeight="false" outlineLevel="0" collapsed="false">
      <c r="V330" s="17" t="n">
        <f aca="false">30+310*$W$5</f>
        <v>68.75</v>
      </c>
      <c r="W330" s="17" t="n">
        <f aca="false">-Delta_c*V330</f>
        <v>-6.96239719567972</v>
      </c>
      <c r="Y330" s="11" t="n">
        <f aca="false">(-W330/$W$5*Y329)/(Rho_a-W330/$W$5)</f>
        <v>-189.558724710944</v>
      </c>
      <c r="Z330" s="11" t="n">
        <f aca="false">IF(V330&lt;Floor_F,MAX((-(Cost_k*Ubar_c+Delay_D)*(1-EXP(-Rho_a*LN((Top_c-V330)/(Top_c-Floor_F))/Delta_c))/Rho_a+EXP(-Rho_a*LN((Top_c-V330)/(Top_c-Floor_F))/Delta_c)*(-Cost_k*Delta_c*Floor_F/Rho_a)),(-Delay_D/Rho_a)),(EXP(-Rho_a*LN(V330/Floor_F)/Delta_c)*(-Cost_k*Delta_c*Floor_F/Rho_a)))</f>
        <v>-189.480190654319</v>
      </c>
      <c r="AA330" s="22" t="n">
        <f aca="false">ABS(Y330-Z330)</f>
        <v>0.0785340566256423</v>
      </c>
      <c r="AC330" s="17" t="n">
        <f aca="false">30+310*$AD$5</f>
        <v>49.375</v>
      </c>
      <c r="AD330" s="17" t="n">
        <f aca="false">Ubar_c-Delta_c*AC330</f>
        <v>5.12685611681871</v>
      </c>
      <c r="AE330" s="11" t="n">
        <f aca="false">(-(Cost_k*Ubar_c+Delay_D)+AD330/$AD$5*AE331)/(Rho_a+AD330/$AD$5)</f>
        <v>-288.990153048463</v>
      </c>
      <c r="AF330" s="11" t="n">
        <f aca="false">MAX(AE330,-Delay_D/Rho_a)</f>
        <v>-288.990153048463</v>
      </c>
      <c r="AG330" s="11" t="n">
        <f aca="false">IF(AC330&lt;Floor_F,MAX((-(Cost_k*Ubar_c+Delay_D)*(1-EXP(-Rho_a*LN((Top_c-AC330)/(Top_c-Floor_F))/Delta_c))/Rho_a+EXP(-Rho_a*LN((Top_c-AC330)/(Top_c-Floor_F))/Delta_c)*(-Cost_k*Delta_c*Floor_F/Rho_a)),(-Delay_D/Rho_a)),(EXP(-Rho_a*LN(AC330/Floor_F)/Delta_c)*(-Cost_k*Delta_c*Floor_F/Rho_a)))</f>
        <v>-289.056567145262</v>
      </c>
      <c r="AH330" s="22" t="n">
        <f aca="false">ABS(AF330-AG330)</f>
        <v>0.0664140967987237</v>
      </c>
    </row>
    <row r="331" customFormat="false" ht="15" hidden="false" customHeight="false" outlineLevel="0" collapsed="false">
      <c r="V331" s="17" t="n">
        <f aca="false">30+311*$W$5</f>
        <v>68.875</v>
      </c>
      <c r="W331" s="17" t="n">
        <f aca="false">-Delta_c*V331</f>
        <v>-6.97505609967187</v>
      </c>
      <c r="Y331" s="11" t="n">
        <f aca="false">(-W331/$W$5*Y330)/(Rho_a-W331/$W$5)</f>
        <v>-189.235500257671</v>
      </c>
      <c r="Z331" s="11" t="n">
        <f aca="false">IF(V331&lt;Floor_F,MAX((-(Cost_k*Ubar_c+Delay_D)*(1-EXP(-Rho_a*LN((Top_c-V331)/(Top_c-Floor_F))/Delta_c))/Rho_a+EXP(-Rho_a*LN((Top_c-V331)/(Top_c-Floor_F))/Delta_c)*(-Cost_k*Delta_c*Floor_F/Rho_a)),(-Delay_D/Rho_a)),(EXP(-Rho_a*LN(V331/Floor_F)/Delta_c)*(-Cost_k*Delta_c*Floor_F/Rho_a)))</f>
        <v>-189.156530958511</v>
      </c>
      <c r="AA331" s="22" t="n">
        <f aca="false">ABS(Y331-Z331)</f>
        <v>0.0789692991606614</v>
      </c>
      <c r="AC331" s="17" t="n">
        <f aca="false">30+311*$AD$5</f>
        <v>49.4375</v>
      </c>
      <c r="AD331" s="17" t="n">
        <f aca="false">Ubar_c-Delta_c*AC331</f>
        <v>5.12052666482263</v>
      </c>
      <c r="AE331" s="11" t="n">
        <f aca="false">(-(Cost_k*Ubar_c+Delay_D)+AD331/$AD$5*AE332)/(Rho_a+AD331/$AD$5)</f>
        <v>-288.442000483061</v>
      </c>
      <c r="AF331" s="11" t="n">
        <f aca="false">MAX(AE331,-Delay_D/Rho_a)</f>
        <v>-288.442000483061</v>
      </c>
      <c r="AG331" s="11" t="n">
        <f aca="false">IF(AC331&lt;Floor_F,MAX((-(Cost_k*Ubar_c+Delay_D)*(1-EXP(-Rho_a*LN((Top_c-AC331)/(Top_c-Floor_F))/Delta_c))/Rho_a+EXP(-Rho_a*LN((Top_c-AC331)/(Top_c-Floor_F))/Delta_c)*(-Cost_k*Delta_c*Floor_F/Rho_a)),(-Delay_D/Rho_a)),(EXP(-Rho_a*LN(AC331/Floor_F)/Delta_c)*(-Cost_k*Delta_c*Floor_F/Rho_a)))</f>
        <v>-288.507834228339</v>
      </c>
      <c r="AH331" s="22" t="n">
        <f aca="false">ABS(AF331-AG331)</f>
        <v>0.0658337452783258</v>
      </c>
    </row>
    <row r="332" customFormat="false" ht="15" hidden="false" customHeight="false" outlineLevel="0" collapsed="false">
      <c r="V332" s="17" t="n">
        <f aca="false">30+312*$W$5</f>
        <v>69</v>
      </c>
      <c r="W332" s="17" t="n">
        <f aca="false">-Delta_c*V332</f>
        <v>-6.98771500366401</v>
      </c>
      <c r="Y332" s="11" t="n">
        <f aca="false">(-W332/$W$5*Y331)/(Rho_a-W332/$W$5)</f>
        <v>-188.913410505991</v>
      </c>
      <c r="Z332" s="11" t="n">
        <f aca="false">IF(V332&lt;Floor_F,MAX((-(Cost_k*Ubar_c+Delay_D)*(1-EXP(-Rho_a*LN((Top_c-V332)/(Top_c-Floor_F))/Delta_c))/Rho_a+EXP(-Rho_a*LN((Top_c-V332)/(Top_c-Floor_F))/Delta_c)*(-Cost_k*Delta_c*Floor_F/Rho_a)),(-Delay_D/Rho_a)),(EXP(-Rho_a*LN(V332/Floor_F)/Delta_c)*(-Cost_k*Delta_c*Floor_F/Rho_a)))</f>
        <v>-188.83400949021</v>
      </c>
      <c r="AA332" s="22" t="n">
        <f aca="false">ABS(Y332-Z332)</f>
        <v>0.0794010157802632</v>
      </c>
      <c r="AC332" s="17" t="n">
        <f aca="false">30+312*$AD$5</f>
        <v>49.5</v>
      </c>
      <c r="AD332" s="17" t="n">
        <f aca="false">Ubar_c-Delta_c*AC332</f>
        <v>5.11419721282656</v>
      </c>
      <c r="AE332" s="11" t="n">
        <f aca="false">(-(Cost_k*Ubar_c+Delay_D)+AD332/$AD$5*AE333)/(Rho_a+AD332/$AD$5)</f>
        <v>-287.892532664704</v>
      </c>
      <c r="AF332" s="11" t="n">
        <f aca="false">MAX(AE332,-Delay_D/Rho_a)</f>
        <v>-287.892532664704</v>
      </c>
      <c r="AG332" s="11" t="n">
        <f aca="false">IF(AC332&lt;Floor_F,MAX((-(Cost_k*Ubar_c+Delay_D)*(1-EXP(-Rho_a*LN((Top_c-AC332)/(Top_c-Floor_F))/Delta_c))/Rho_a+EXP(-Rho_a*LN((Top_c-AC332)/(Top_c-Floor_F))/Delta_c)*(-Cost_k*Delta_c*Floor_F/Rho_a)),(-Delay_D/Rho_a)),(EXP(-Rho_a*LN(AC332/Floor_F)/Delta_c)*(-Cost_k*Delta_c*Floor_F/Rho_a)))</f>
        <v>-287.957783084425</v>
      </c>
      <c r="AH332" s="22" t="n">
        <f aca="false">ABS(AF332-AG332)</f>
        <v>0.0652504197209964</v>
      </c>
    </row>
    <row r="333" customFormat="false" ht="15" hidden="false" customHeight="false" outlineLevel="0" collapsed="false">
      <c r="V333" s="17" t="n">
        <f aca="false">30+313*$W$5</f>
        <v>69.125</v>
      </c>
      <c r="W333" s="17" t="n">
        <f aca="false">-Delta_c*V333</f>
        <v>-7.00037390765616</v>
      </c>
      <c r="Y333" s="11" t="n">
        <f aca="false">(-W333/$W$5*Y332)/(Rho_a-W333/$W$5)</f>
        <v>-188.59244943123</v>
      </c>
      <c r="Z333" s="11" t="n">
        <f aca="false">IF(V333&lt;Floor_F,MAX((-(Cost_k*Ubar_c+Delay_D)*(1-EXP(-Rho_a*LN((Top_c-V333)/(Top_c-Floor_F))/Delta_c))/Rho_a+EXP(-Rho_a*LN((Top_c-V333)/(Top_c-Floor_F))/Delta_c)*(-Cost_k*Delta_c*Floor_F/Rho_a)),(-Delay_D/Rho_a)),(EXP(-Rho_a*LN(V333/Floor_F)/Delta_c)*(-Cost_k*Delta_c*Floor_F/Rho_a)))</f>
        <v>-188.512620195417</v>
      </c>
      <c r="AA333" s="22" t="n">
        <f aca="false">ABS(Y333-Z333)</f>
        <v>0.0798292358128379</v>
      </c>
      <c r="AC333" s="17" t="n">
        <f aca="false">30+313*$AD$5</f>
        <v>49.5625</v>
      </c>
      <c r="AD333" s="17" t="n">
        <f aca="false">Ubar_c-Delta_c*AC333</f>
        <v>5.10786776083049</v>
      </c>
      <c r="AE333" s="11" t="n">
        <f aca="false">(-(Cost_k*Ubar_c+Delay_D)+AD333/$AD$5*AE334)/(Rho_a+AD333/$AD$5)</f>
        <v>-287.341744805844</v>
      </c>
      <c r="AF333" s="11" t="n">
        <f aca="false">MAX(AE333,-Delay_D/Rho_a)</f>
        <v>-287.341744805844</v>
      </c>
      <c r="AG333" s="11" t="n">
        <f aca="false">IF(AC333&lt;Floor_F,MAX((-(Cost_k*Ubar_c+Delay_D)*(1-EXP(-Rho_a*LN((Top_c-AC333)/(Top_c-Floor_F))/Delta_c))/Rho_a+EXP(-Rho_a*LN((Top_c-AC333)/(Top_c-Floor_F))/Delta_c)*(-Cost_k*Delta_c*Floor_F/Rho_a)),(-Delay_D/Rho_a)),(EXP(-Rho_a*LN(AC333/Floor_F)/Delta_c)*(-Cost_k*Delta_c*Floor_F/Rho_a)))</f>
        <v>-287.406408909374</v>
      </c>
      <c r="AH333" s="22" t="n">
        <f aca="false">ABS(AF333-AG333)</f>
        <v>0.0646641035303901</v>
      </c>
    </row>
    <row r="334" customFormat="false" ht="15" hidden="false" customHeight="false" outlineLevel="0" collapsed="false">
      <c r="V334" s="17" t="n">
        <f aca="false">30+314*$W$5</f>
        <v>69.25</v>
      </c>
      <c r="W334" s="17" t="n">
        <f aca="false">-Delta_c*V334</f>
        <v>-7.0130328116483</v>
      </c>
      <c r="Y334" s="11" t="n">
        <f aca="false">(-W334/$W$5*Y333)/(Rho_a-W334/$W$5)</f>
        <v>-188.272611051504</v>
      </c>
      <c r="Z334" s="11" t="n">
        <f aca="false">IF(V334&lt;Floor_F,MAX((-(Cost_k*Ubar_c+Delay_D)*(1-EXP(-Rho_a*LN((Top_c-V334)/(Top_c-Floor_F))/Delta_c))/Rho_a+EXP(-Rho_a*LN((Top_c-V334)/(Top_c-Floor_F))/Delta_c)*(-Cost_k*Delta_c*Floor_F/Rho_a)),(-Delay_D/Rho_a)),(EXP(-Rho_a*LN(V334/Floor_F)/Delta_c)*(-Cost_k*Delta_c*Floor_F/Rho_a)))</f>
        <v>-188.192357063201</v>
      </c>
      <c r="AA334" s="22" t="n">
        <f aca="false">ABS(Y334-Z334)</f>
        <v>0.0802539883031841</v>
      </c>
      <c r="AC334" s="17" t="n">
        <f aca="false">30+314*$AD$5</f>
        <v>49.625</v>
      </c>
      <c r="AD334" s="17" t="n">
        <f aca="false">Ubar_c-Delta_c*AC334</f>
        <v>5.10153830883442</v>
      </c>
      <c r="AE334" s="11" t="n">
        <f aca="false">(-(Cost_k*Ubar_c+Delay_D)+AD334/$AD$5*AE335)/(Rho_a+AD334/$AD$5)</f>
        <v>-286.78963209555</v>
      </c>
      <c r="AF334" s="11" t="n">
        <f aca="false">MAX(AE334,-Delay_D/Rho_a)</f>
        <v>-286.78963209555</v>
      </c>
      <c r="AG334" s="11" t="n">
        <f aca="false">IF(AC334&lt;Floor_F,MAX((-(Cost_k*Ubar_c+Delay_D)*(1-EXP(-Rho_a*LN((Top_c-AC334)/(Top_c-Floor_F))/Delta_c))/Rho_a+EXP(-Rho_a*LN((Top_c-AC334)/(Top_c-Floor_F))/Delta_c)*(-Cost_k*Delta_c*Floor_F/Rho_a)),(-Delay_D/Rho_a)),(EXP(-Rho_a*LN(AC334/Floor_F)/Delta_c)*(-Cost_k*Delta_c*Floor_F/Rho_a)))</f>
        <v>-286.85370687555</v>
      </c>
      <c r="AH334" s="22" t="n">
        <f aca="false">ABS(AF334-AG334)</f>
        <v>0.0640747800006807</v>
      </c>
    </row>
    <row r="335" customFormat="false" ht="15" hidden="false" customHeight="false" outlineLevel="0" collapsed="false">
      <c r="V335" s="17" t="n">
        <f aca="false">30+315*$W$5</f>
        <v>69.375</v>
      </c>
      <c r="W335" s="17" t="n">
        <f aca="false">-Delta_c*V335</f>
        <v>-7.02569171564045</v>
      </c>
      <c r="Y335" s="11" t="n">
        <f aca="false">(-W335/$W$5*Y334)/(Rho_a-W335/$W$5)</f>
        <v>-187.953889427333</v>
      </c>
      <c r="Z335" s="11" t="n">
        <f aca="false">IF(V335&lt;Floor_F,MAX((-(Cost_k*Ubar_c+Delay_D)*(1-EXP(-Rho_a*LN((Top_c-V335)/(Top_c-Floor_F))/Delta_c))/Rho_a+EXP(-Rho_a*LN((Top_c-V335)/(Top_c-Floor_F))/Delta_c)*(-Cost_k*Delta_c*Floor_F/Rho_a)),(-Delay_D/Rho_a)),(EXP(-Rho_a*LN(V335/Floor_F)/Delta_c)*(-Cost_k*Delta_c*Floor_F/Rho_a)))</f>
        <v>-187.873214125317</v>
      </c>
      <c r="AA335" s="22" t="n">
        <f aca="false">ABS(Y335-Z335)</f>
        <v>0.0806753020158055</v>
      </c>
      <c r="AC335" s="17" t="n">
        <f aca="false">30+315*$AD$5</f>
        <v>49.6875</v>
      </c>
      <c r="AD335" s="17" t="n">
        <f aca="false">Ubar_c-Delta_c*AC335</f>
        <v>5.09520885683834</v>
      </c>
      <c r="AE335" s="11" t="n">
        <f aca="false">(-(Cost_k*Ubar_c+Delay_D)+AD335/$AD$5*AE336)/(Rho_a+AD335/$AD$5)</f>
        <v>-286.236189699366</v>
      </c>
      <c r="AF335" s="11" t="n">
        <f aca="false">MAX(AE335,-Delay_D/Rho_a)</f>
        <v>-286.236189699366</v>
      </c>
      <c r="AG335" s="11" t="n">
        <f aca="false">IF(AC335&lt;Floor_F,MAX((-(Cost_k*Ubar_c+Delay_D)*(1-EXP(-Rho_a*LN((Top_c-AC335)/(Top_c-Floor_F))/Delta_c))/Rho_a+EXP(-Rho_a*LN((Top_c-AC335)/(Top_c-Floor_F))/Delta_c)*(-Cost_k*Delta_c*Floor_F/Rho_a)),(-Delay_D/Rho_a)),(EXP(-Rho_a*LN(AC335/Floor_F)/Delta_c)*(-Cost_k*Delta_c*Floor_F/Rho_a)))</f>
        <v>-286.299672131682</v>
      </c>
      <c r="AH335" s="22" t="n">
        <f aca="false">ABS(AF335-AG335)</f>
        <v>0.0634824323159933</v>
      </c>
    </row>
    <row r="336" customFormat="false" ht="15" hidden="false" customHeight="false" outlineLevel="0" collapsed="false">
      <c r="V336" s="17" t="n">
        <f aca="false">30+316*$W$5</f>
        <v>69.5</v>
      </c>
      <c r="W336" s="17" t="n">
        <f aca="false">-Delta_c*V336</f>
        <v>-7.03835061963259</v>
      </c>
      <c r="Y336" s="11" t="n">
        <f aca="false">(-W336/$W$5*Y335)/(Rho_a-W336/$W$5)</f>
        <v>-187.636278661269</v>
      </c>
      <c r="Z336" s="11" t="n">
        <f aca="false">IF(V336&lt;Floor_F,MAX((-(Cost_k*Ubar_c+Delay_D)*(1-EXP(-Rho_a*LN((Top_c-V336)/(Top_c-Floor_F))/Delta_c))/Rho_a+EXP(-Rho_a*LN((Top_c-V336)/(Top_c-Floor_F))/Delta_c)*(-Cost_k*Delta_c*Floor_F/Rho_a)),(-Delay_D/Rho_a)),(EXP(-Rho_a*LN(V336/Floor_F)/Delta_c)*(-Cost_k*Delta_c*Floor_F/Rho_a)))</f>
        <v>-187.555185455832</v>
      </c>
      <c r="AA336" s="22" t="n">
        <f aca="false">ABS(Y336-Z336)</f>
        <v>0.0810932054377815</v>
      </c>
      <c r="AC336" s="17" t="n">
        <f aca="false">30+316*$AD$5</f>
        <v>49.75</v>
      </c>
      <c r="AD336" s="17" t="n">
        <f aca="false">Ubar_c-Delta_c*AC336</f>
        <v>5.08887940484227</v>
      </c>
      <c r="AE336" s="11" t="n">
        <f aca="false">(-(Cost_k*Ubar_c+Delay_D)+AD336/$AD$5*AE337)/(Rho_a+AD336/$AD$5)</f>
        <v>-285.68141275917</v>
      </c>
      <c r="AF336" s="11" t="n">
        <f aca="false">MAX(AE336,-Delay_D/Rho_a)</f>
        <v>-285.68141275917</v>
      </c>
      <c r="AG336" s="11" t="n">
        <f aca="false">IF(AC336&lt;Floor_F,MAX((-(Cost_k*Ubar_c+Delay_D)*(1-EXP(-Rho_a*LN((Top_c-AC336)/(Top_c-Floor_F))/Delta_c))/Rho_a+EXP(-Rho_a*LN((Top_c-AC336)/(Top_c-Floor_F))/Delta_c)*(-Cost_k*Delta_c*Floor_F/Rho_a)),(-Delay_D/Rho_a)),(EXP(-Rho_a*LN(AC336/Floor_F)/Delta_c)*(-Cost_k*Delta_c*Floor_F/Rho_a)))</f>
        <v>-285.744299802719</v>
      </c>
      <c r="AH336" s="22" t="n">
        <f aca="false">ABS(AF336-AG336)</f>
        <v>0.0628870435494946</v>
      </c>
    </row>
    <row r="337" customFormat="false" ht="15" hidden="false" customHeight="false" outlineLevel="0" collapsed="false">
      <c r="V337" s="17" t="n">
        <f aca="false">30+317*$W$5</f>
        <v>69.625</v>
      </c>
      <c r="W337" s="17" t="n">
        <f aca="false">-Delta_c*V337</f>
        <v>-7.05100952362474</v>
      </c>
      <c r="Y337" s="11" t="n">
        <f aca="false">(-W337/$W$5*Y336)/(Rho_a-W337/$W$5)</f>
        <v>-187.319772897521</v>
      </c>
      <c r="Z337" s="11" t="n">
        <f aca="false">IF(V337&lt;Floor_F,MAX((-(Cost_k*Ubar_c+Delay_D)*(1-EXP(-Rho_a*LN((Top_c-V337)/(Top_c-Floor_F))/Delta_c))/Rho_a+EXP(-Rho_a*LN((Top_c-V337)/(Top_c-Floor_F))/Delta_c)*(-Cost_k*Delta_c*Floor_F/Rho_a)),(-Delay_D/Rho_a)),(EXP(-Rho_a*LN(V337/Floor_F)/Delta_c)*(-Cost_k*Delta_c*Floor_F/Rho_a)))</f>
        <v>-187.238265170739</v>
      </c>
      <c r="AA337" s="22" t="n">
        <f aca="false">ABS(Y337-Z337)</f>
        <v>0.0815077267820925</v>
      </c>
      <c r="AC337" s="17" t="n">
        <f aca="false">30+317*$AD$5</f>
        <v>49.8125</v>
      </c>
      <c r="AD337" s="17" t="n">
        <f aca="false">Ubar_c-Delta_c*AC337</f>
        <v>5.0825499528462</v>
      </c>
      <c r="AE337" s="11" t="n">
        <f aca="false">(-(Cost_k*Ubar_c+Delay_D)+AD337/$AD$5*AE338)/(Rho_a+AD337/$AD$5)</f>
        <v>-285.125296393024</v>
      </c>
      <c r="AF337" s="11" t="n">
        <f aca="false">MAX(AE337,-Delay_D/Rho_a)</f>
        <v>-285.125296393024</v>
      </c>
      <c r="AG337" s="11" t="n">
        <f aca="false">IF(AC337&lt;Floor_F,MAX((-(Cost_k*Ubar_c+Delay_D)*(1-EXP(-Rho_a*LN((Top_c-AC337)/(Top_c-Floor_F))/Delta_c))/Rho_a+EXP(-Rho_a*LN((Top_c-AC337)/(Top_c-Floor_F))/Delta_c)*(-Cost_k*Delta_c*Floor_F/Rho_a)),(-Delay_D/Rho_a)),(EXP(-Rho_a*LN(AC337/Floor_F)/Delta_c)*(-Cost_k*Delta_c*Floor_F/Rho_a)))</f>
        <v>-285.187584989686</v>
      </c>
      <c r="AH337" s="22" t="n">
        <f aca="false">ABS(AF337-AG337)</f>
        <v>0.062288596662313</v>
      </c>
    </row>
    <row r="338" customFormat="false" ht="15" hidden="false" customHeight="false" outlineLevel="0" collapsed="false">
      <c r="V338" s="17" t="n">
        <f aca="false">30+318*$W$5</f>
        <v>69.75</v>
      </c>
      <c r="W338" s="17" t="n">
        <f aca="false">-Delta_c*V338</f>
        <v>-7.06366842761688</v>
      </c>
      <c r="Y338" s="11" t="n">
        <f aca="false">(-W338/$W$5*Y337)/(Rho_a-W338/$W$5)</f>
        <v>-187.004366321587</v>
      </c>
      <c r="Z338" s="11" t="n">
        <f aca="false">IF(V338&lt;Floor_F,MAX((-(Cost_k*Ubar_c+Delay_D)*(1-EXP(-Rho_a*LN((Top_c-V338)/(Top_c-Floor_F))/Delta_c))/Rho_a+EXP(-Rho_a*LN((Top_c-V338)/(Top_c-Floor_F))/Delta_c)*(-Cost_k*Delta_c*Floor_F/Rho_a)),(-Delay_D/Rho_a)),(EXP(-Rho_a*LN(V338/Floor_F)/Delta_c)*(-Cost_k*Delta_c*Floor_F/Rho_a)))</f>
        <v>-186.922447427597</v>
      </c>
      <c r="AA338" s="22" t="n">
        <f aca="false">ABS(Y338-Z338)</f>
        <v>0.0819188939905473</v>
      </c>
      <c r="AC338" s="17" t="n">
        <f aca="false">30+318*$AD$5</f>
        <v>49.875</v>
      </c>
      <c r="AD338" s="17" t="n">
        <f aca="false">Ubar_c-Delta_c*AC338</f>
        <v>5.07622050085013</v>
      </c>
      <c r="AE338" s="11" t="n">
        <f aca="false">(-(Cost_k*Ubar_c+Delay_D)+AD338/$AD$5*AE339)/(Rho_a+AD338/$AD$5)</f>
        <v>-284.567835695029</v>
      </c>
      <c r="AF338" s="11" t="n">
        <f aca="false">MAX(AE338,-Delay_D/Rho_a)</f>
        <v>-284.567835695029</v>
      </c>
      <c r="AG338" s="11" t="n">
        <f aca="false">IF(AC338&lt;Floor_F,MAX((-(Cost_k*Ubar_c+Delay_D)*(1-EXP(-Rho_a*LN((Top_c-AC338)/(Top_c-Floor_F))/Delta_c))/Rho_a+EXP(-Rho_a*LN((Top_c-AC338)/(Top_c-Floor_F))/Delta_c)*(-Cost_k*Delta_c*Floor_F/Rho_a)),(-Delay_D/Rho_a)),(EXP(-Rho_a*LN(AC338/Floor_F)/Delta_c)*(-Cost_k*Delta_c*Floor_F/Rho_a)))</f>
        <v>-284.629522769532</v>
      </c>
      <c r="AH338" s="22" t="n">
        <f aca="false">ABS(AF338-AG338)</f>
        <v>0.0616870745031406</v>
      </c>
    </row>
    <row r="339" customFormat="false" ht="15" hidden="false" customHeight="false" outlineLevel="0" collapsed="false">
      <c r="V339" s="17" t="n">
        <f aca="false">30+319*$W$5</f>
        <v>69.875</v>
      </c>
      <c r="W339" s="17" t="n">
        <f aca="false">-Delta_c*V339</f>
        <v>-7.07632733160903</v>
      </c>
      <c r="Y339" s="11" t="n">
        <f aca="false">(-W339/$W$5*Y338)/(Rho_a-W339/$W$5)</f>
        <v>-186.690053159891</v>
      </c>
      <c r="Z339" s="11" t="n">
        <f aca="false">IF(V339&lt;Floor_F,MAX((-(Cost_k*Ubar_c+Delay_D)*(1-EXP(-Rho_a*LN((Top_c-V339)/(Top_c-Floor_F))/Delta_c))/Rho_a+EXP(-Rho_a*LN((Top_c-V339)/(Top_c-Floor_F))/Delta_c)*(-Cost_k*Delta_c*Floor_F/Rho_a)),(-Delay_D/Rho_a)),(EXP(-Rho_a*LN(V339/Floor_F)/Delta_c)*(-Cost_k*Delta_c*Floor_F/Rho_a)))</f>
        <v>-186.607726425154</v>
      </c>
      <c r="AA339" s="22" t="n">
        <f aca="false">ABS(Y339-Z339)</f>
        <v>0.0823267347370518</v>
      </c>
      <c r="AC339" s="17" t="n">
        <f aca="false">30+319*$AD$5</f>
        <v>49.9375</v>
      </c>
      <c r="AD339" s="17" t="n">
        <f aca="false">Ubar_c-Delta_c*AC339</f>
        <v>5.06989104885405</v>
      </c>
      <c r="AE339" s="11" t="n">
        <f aca="false">(-(Cost_k*Ubar_c+Delay_D)+AD339/$AD$5*AE340)/(Rho_a+AD339/$AD$5)</f>
        <v>-284.00902573518</v>
      </c>
      <c r="AF339" s="11" t="n">
        <f aca="false">MAX(AE339,-Delay_D/Rho_a)</f>
        <v>-284.00902573518</v>
      </c>
      <c r="AG339" s="11" t="n">
        <f aca="false">IF(AC339&lt;Floor_F,MAX((-(Cost_k*Ubar_c+Delay_D)*(1-EXP(-Rho_a*LN((Top_c-AC339)/(Top_c-Floor_F))/Delta_c))/Rho_a+EXP(-Rho_a*LN((Top_c-AC339)/(Top_c-Floor_F))/Delta_c)*(-Cost_k*Delta_c*Floor_F/Rho_a)),(-Delay_D/Rho_a)),(EXP(-Rho_a*LN(AC339/Floor_F)/Delta_c)*(-Cost_k*Delta_c*Floor_F/Rho_a)))</f>
        <v>-284.070108194987</v>
      </c>
      <c r="AH339" s="22" t="n">
        <f aca="false">ABS(AF339-AG339)</f>
        <v>0.0610824598068689</v>
      </c>
    </row>
    <row r="340" customFormat="false" ht="15" hidden="false" customHeight="false" outlineLevel="0" collapsed="false">
      <c r="V340" s="17" t="n">
        <f aca="false">30+320*$W$5</f>
        <v>70</v>
      </c>
      <c r="W340" s="17" t="n">
        <f aca="false">-Delta_c*V340</f>
        <v>-7.08898623560117</v>
      </c>
      <c r="Y340" s="11" t="n">
        <f aca="false">(-W340/$W$5*Y339)/(Rho_a-W340/$W$5)</f>
        <v>-186.376827679422</v>
      </c>
      <c r="Z340" s="11" t="n">
        <f aca="false">IF(V340&lt;Floor_F,MAX((-(Cost_k*Ubar_c+Delay_D)*(1-EXP(-Rho_a*LN((Top_c-V340)/(Top_c-Floor_F))/Delta_c))/Rho_a+EXP(-Rho_a*LN((Top_c-V340)/(Top_c-Floor_F))/Delta_c)*(-Cost_k*Delta_c*Floor_F/Rho_a)),(-Delay_D/Rho_a)),(EXP(-Rho_a*LN(V340/Floor_F)/Delta_c)*(-Cost_k*Delta_c*Floor_F/Rho_a)))</f>
        <v>-186.294096402992</v>
      </c>
      <c r="AA340" s="22" t="n">
        <f aca="false">ABS(Y340-Z340)</f>
        <v>0.0827312764301666</v>
      </c>
      <c r="AC340" s="17" t="n">
        <f aca="false">30+320*$AD$5</f>
        <v>50</v>
      </c>
      <c r="AD340" s="17" t="n">
        <f aca="false">Ubar_c-Delta_c*AC340</f>
        <v>5.06356159685798</v>
      </c>
      <c r="AE340" s="11" t="n">
        <f aca="false">(-(Cost_k*Ubar_c+Delay_D)+AD340/$AD$5*AE341)/(Rho_a+AD340/$AD$5)</f>
        <v>-283.448861559213</v>
      </c>
      <c r="AF340" s="11" t="n">
        <f aca="false">MAX(AE340,-Delay_D/Rho_a)</f>
        <v>-283.448861559213</v>
      </c>
      <c r="AG340" s="11" t="n">
        <f aca="false">IF(AC340&lt;Floor_F,MAX((-(Cost_k*Ubar_c+Delay_D)*(1-EXP(-Rho_a*LN((Top_c-AC340)/(Top_c-Floor_F))/Delta_c))/Rho_a+EXP(-Rho_a*LN((Top_c-AC340)/(Top_c-Floor_F))/Delta_c)*(-Cost_k*Delta_c*Floor_F/Rho_a)),(-Delay_D/Rho_a)),(EXP(-Rho_a*LN(AC340/Floor_F)/Delta_c)*(-Cost_k*Delta_c*Floor_F/Rho_a)))</f>
        <v>-283.509336294407</v>
      </c>
      <c r="AH340" s="22" t="n">
        <f aca="false">ABS(AF340-AG340)</f>
        <v>0.0604747351938499</v>
      </c>
    </row>
    <row r="341" customFormat="false" ht="15" hidden="false" customHeight="false" outlineLevel="0" collapsed="false">
      <c r="V341" s="17" t="n">
        <f aca="false">30+321*$W$5</f>
        <v>70.125</v>
      </c>
      <c r="W341" s="17" t="n">
        <f aca="false">-Delta_c*V341</f>
        <v>-7.10164513959332</v>
      </c>
      <c r="Y341" s="11" t="n">
        <f aca="false">(-W341/$W$5*Y340)/(Rho_a-W341/$W$5)</f>
        <v>-186.064684187376</v>
      </c>
      <c r="Z341" s="11" t="n">
        <f aca="false">IF(V341&lt;Floor_F,MAX((-(Cost_k*Ubar_c+Delay_D)*(1-EXP(-Rho_a*LN((Top_c-V341)/(Top_c-Floor_F))/Delta_c))/Rho_a+EXP(-Rho_a*LN((Top_c-V341)/(Top_c-Floor_F))/Delta_c)*(-Cost_k*Delta_c*Floor_F/Rho_a)),(-Delay_D/Rho_a)),(EXP(-Rho_a*LN(V341/Floor_F)/Delta_c)*(-Cost_k*Delta_c*Floor_F/Rho_a)))</f>
        <v>-185.98155164116</v>
      </c>
      <c r="AA341" s="22" t="n">
        <f aca="false">ABS(Y341-Z341)</f>
        <v>0.0831325462165182</v>
      </c>
      <c r="AC341" s="17" t="n">
        <f aca="false">30+321*$AD$5</f>
        <v>50.0625</v>
      </c>
      <c r="AD341" s="17" t="n">
        <f aca="false">Ubar_c-Delta_c*AC341</f>
        <v>5.05723214486191</v>
      </c>
      <c r="AE341" s="11" t="n">
        <f aca="false">(-(Cost_k*Ubar_c+Delay_D)+AD341/$AD$5*AE342)/(Rho_a+AD341/$AD$5)</f>
        <v>-282.887338188458</v>
      </c>
      <c r="AF341" s="11" t="n">
        <f aca="false">MAX(AE341,-Delay_D/Rho_a)</f>
        <v>-282.887338188458</v>
      </c>
      <c r="AG341" s="11" t="n">
        <f aca="false">IF(AC341&lt;Floor_F,MAX((-(Cost_k*Ubar_c+Delay_D)*(1-EXP(-Rho_a*LN((Top_c-AC341)/(Top_c-Floor_F))/Delta_c))/Rho_a+EXP(-Rho_a*LN((Top_c-AC341)/(Top_c-Floor_F))/Delta_c)*(-Cost_k*Delta_c*Floor_F/Rho_a)),(-Delay_D/Rho_a)),(EXP(-Rho_a*LN(AC341/Floor_F)/Delta_c)*(-Cost_k*Delta_c*Floor_F/Rho_a)))</f>
        <v>-282.947202071627</v>
      </c>
      <c r="AH341" s="22" t="n">
        <f aca="false">ABS(AF341-AG341)</f>
        <v>0.0598638831692711</v>
      </c>
    </row>
    <row r="342" customFormat="false" ht="15" hidden="false" customHeight="false" outlineLevel="0" collapsed="false">
      <c r="V342" s="17" t="n">
        <f aca="false">30+322*$W$5</f>
        <v>70.25</v>
      </c>
      <c r="W342" s="17" t="n">
        <f aca="false">-Delta_c*V342</f>
        <v>-7.11430404358546</v>
      </c>
      <c r="Y342" s="11" t="n">
        <f aca="false">(-W342/$W$5*Y341)/(Rho_a-W342/$W$5)</f>
        <v>-185.753617030806</v>
      </c>
      <c r="Z342" s="11" t="n">
        <f aca="false">IF(V342&lt;Floor_F,MAX((-(Cost_k*Ubar_c+Delay_D)*(1-EXP(-Rho_a*LN((Top_c-V342)/(Top_c-Floor_F))/Delta_c))/Rho_a+EXP(-Rho_a*LN((Top_c-V342)/(Top_c-Floor_F))/Delta_c)*(-Cost_k*Delta_c*Floor_F/Rho_a)),(-Delay_D/Rho_a)),(EXP(-Rho_a*LN(V342/Floor_F)/Delta_c)*(-Cost_k*Delta_c*Floor_F/Rho_a)))</f>
        <v>-185.670086459823</v>
      </c>
      <c r="AA342" s="22" t="n">
        <f aca="false">ABS(Y342-Z342)</f>
        <v>0.0835305709834699</v>
      </c>
      <c r="AC342" s="17" t="n">
        <f aca="false">30+322*$AD$5</f>
        <v>50.125</v>
      </c>
      <c r="AD342" s="17" t="n">
        <f aca="false">Ubar_c-Delta_c*AC342</f>
        <v>5.05090269286584</v>
      </c>
      <c r="AE342" s="11" t="n">
        <f aca="false">(-(Cost_k*Ubar_c+Delay_D)+AD342/$AD$5*AE343)/(Rho_a+AD342/$AD$5)</f>
        <v>-282.324450619686</v>
      </c>
      <c r="AF342" s="11" t="n">
        <f aca="false">MAX(AE342,-Delay_D/Rho_a)</f>
        <v>-282.324450619686</v>
      </c>
      <c r="AG342" s="11" t="n">
        <f aca="false">IF(AC342&lt;Floor_F,MAX((-(Cost_k*Ubar_c+Delay_D)*(1-EXP(-Rho_a*LN((Top_c-AC342)/(Top_c-Floor_F))/Delta_c))/Rho_a+EXP(-Rho_a*LN((Top_c-AC342)/(Top_c-Floor_F))/Delta_c)*(-Cost_k*Delta_c*Floor_F/Rho_a)),(-Delay_D/Rho_a)),(EXP(-Rho_a*LN(AC342/Floor_F)/Delta_c)*(-Cost_k*Delta_c*Floor_F/Rho_a)))</f>
        <v>-282.383700505808</v>
      </c>
      <c r="AH342" s="22" t="n">
        <f aca="false">ABS(AF342-AG342)</f>
        <v>0.0592498861217905</v>
      </c>
    </row>
    <row r="343" customFormat="false" ht="15" hidden="false" customHeight="false" outlineLevel="0" collapsed="false">
      <c r="V343" s="17" t="n">
        <f aca="false">30+323*$W$5</f>
        <v>70.375</v>
      </c>
      <c r="W343" s="17" t="n">
        <f aca="false">-Delta_c*V343</f>
        <v>-7.12696294757761</v>
      </c>
      <c r="Y343" s="11" t="n">
        <f aca="false">(-W343/$W$5*Y342)/(Rho_a-W343/$W$5)</f>
        <v>-185.44362059627</v>
      </c>
      <c r="Z343" s="11" t="n">
        <f aca="false">IF(V343&lt;Floor_F,MAX((-(Cost_k*Ubar_c+Delay_D)*(1-EXP(-Rho_a*LN((Top_c-V343)/(Top_c-Floor_F))/Delta_c))/Rho_a+EXP(-Rho_a*LN((Top_c-V343)/(Top_c-Floor_F))/Delta_c)*(-Cost_k*Delta_c*Floor_F/Rho_a)),(-Delay_D/Rho_a)),(EXP(-Rho_a*LN(V343/Floor_F)/Delta_c)*(-Cost_k*Delta_c*Floor_F/Rho_a)))</f>
        <v>-185.359695218908</v>
      </c>
      <c r="AA343" s="22" t="n">
        <f aca="false">ABS(Y343-Z343)</f>
        <v>0.083925377361993</v>
      </c>
      <c r="AC343" s="17" t="n">
        <f aca="false">30+323*$AD$5</f>
        <v>50.1875</v>
      </c>
      <c r="AD343" s="17" t="n">
        <f aca="false">Ubar_c-Delta_c*AC343</f>
        <v>5.04457324086976</v>
      </c>
      <c r="AE343" s="11" t="n">
        <f aca="false">(-(Cost_k*Ubar_c+Delay_D)+AD343/$AD$5*AE344)/(Rho_a+AD343/$AD$5)</f>
        <v>-281.760193824961</v>
      </c>
      <c r="AF343" s="11" t="n">
        <f aca="false">MAX(AE343,-Delay_D/Rho_a)</f>
        <v>-281.760193824961</v>
      </c>
      <c r="AG343" s="11" t="n">
        <f aca="false">IF(AC343&lt;Floor_F,MAX((-(Cost_k*Ubar_c+Delay_D)*(1-EXP(-Rho_a*LN((Top_c-AC343)/(Top_c-Floor_F))/Delta_c))/Rho_a+EXP(-Rho_a*LN((Top_c-AC343)/(Top_c-Floor_F))/Delta_c)*(-Cost_k*Delta_c*Floor_F/Rho_a)),(-Delay_D/Rho_a)),(EXP(-Rho_a*LN(AC343/Floor_F)/Delta_c)*(-Cost_k*Delta_c*Floor_F/Rho_a)))</f>
        <v>-281.818826551284</v>
      </c>
      <c r="AH343" s="22" t="n">
        <f aca="false">ABS(AF343-AG343)</f>
        <v>0.0586327263232533</v>
      </c>
    </row>
    <row r="344" customFormat="false" ht="15" hidden="false" customHeight="false" outlineLevel="0" collapsed="false">
      <c r="V344" s="17" t="n">
        <f aca="false">30+324*$W$5</f>
        <v>70.5</v>
      </c>
      <c r="W344" s="17" t="n">
        <f aca="false">-Delta_c*V344</f>
        <v>-7.13962185156975</v>
      </c>
      <c r="Y344" s="11" t="n">
        <f aca="false">(-W344/$W$5*Y343)/(Rho_a-W344/$W$5)</f>
        <v>-185.134689309485</v>
      </c>
      <c r="Z344" s="11" t="n">
        <f aca="false">IF(V344&lt;Floor_F,MAX((-(Cost_k*Ubar_c+Delay_D)*(1-EXP(-Rho_a*LN((Top_c-V344)/(Top_c-Floor_F))/Delta_c))/Rho_a+EXP(-Rho_a*LN((Top_c-V344)/(Top_c-Floor_F))/Delta_c)*(-Cost_k*Delta_c*Floor_F/Rho_a)),(-Delay_D/Rho_a)),(EXP(-Rho_a*LN(V344/Floor_F)/Delta_c)*(-Cost_k*Delta_c*Floor_F/Rho_a)))</f>
        <v>-185.050372317755</v>
      </c>
      <c r="AA344" s="22" t="n">
        <f aca="false">ABS(Y344-Z344)</f>
        <v>0.0843169917295938</v>
      </c>
      <c r="AC344" s="17" t="n">
        <f aca="false">30+324*$AD$5</f>
        <v>50.25</v>
      </c>
      <c r="AD344" s="17" t="n">
        <f aca="false">Ubar_c-Delta_c*AC344</f>
        <v>5.03824378887369</v>
      </c>
      <c r="AE344" s="11" t="n">
        <f aca="false">(-(Cost_k*Ubar_c+Delay_D)+AD344/$AD$5*AE345)/(Rho_a+AD344/$AD$5)</f>
        <v>-281.194562751481</v>
      </c>
      <c r="AF344" s="11" t="n">
        <f aca="false">MAX(AE344,-Delay_D/Rho_a)</f>
        <v>-281.194562751481</v>
      </c>
      <c r="AG344" s="11" t="n">
        <f aca="false">IF(AC344&lt;Floor_F,MAX((-(Cost_k*Ubar_c+Delay_D)*(1-EXP(-Rho_a*LN((Top_c-AC344)/(Top_c-Floor_F))/Delta_c))/Rho_a+EXP(-Rho_a*LN((Top_c-AC344)/(Top_c-Floor_F))/Delta_c)*(-Cost_k*Delta_c*Floor_F/Rho_a)),(-Delay_D/Rho_a)),(EXP(-Rho_a*LN(AC344/Floor_F)/Delta_c)*(-Cost_k*Delta_c*Floor_F/Rho_a)))</f>
        <v>-281.252575137408</v>
      </c>
      <c r="AH344" s="22" t="n">
        <f aca="false">ABS(AF344-AG344)</f>
        <v>0.0580123859270429</v>
      </c>
    </row>
    <row r="345" customFormat="false" ht="15" hidden="false" customHeight="false" outlineLevel="0" collapsed="false">
      <c r="V345" s="17" t="n">
        <f aca="false">30+325*$W$5</f>
        <v>70.625</v>
      </c>
      <c r="W345" s="17" t="n">
        <f aca="false">-Delta_c*V345</f>
        <v>-7.1522807555619</v>
      </c>
      <c r="Y345" s="11" t="n">
        <f aca="false">(-W345/$W$5*Y344)/(Rho_a-W345/$W$5)</f>
        <v>-184.826817634988</v>
      </c>
      <c r="Z345" s="11" t="n">
        <f aca="false">IF(V345&lt;Floor_F,MAX((-(Cost_k*Ubar_c+Delay_D)*(1-EXP(-Rho_a*LN((Top_c-V345)/(Top_c-Floor_F))/Delta_c))/Rho_a+EXP(-Rho_a*LN((Top_c-V345)/(Top_c-Floor_F))/Delta_c)*(-Cost_k*Delta_c*Floor_F/Rho_a)),(-Delay_D/Rho_a)),(EXP(-Rho_a*LN(V345/Floor_F)/Delta_c)*(-Cost_k*Delta_c*Floor_F/Rho_a)))</f>
        <v>-184.742112194775</v>
      </c>
      <c r="AA345" s="22" t="n">
        <f aca="false">ABS(Y345-Z345)</f>
        <v>0.0847054402131846</v>
      </c>
      <c r="AC345" s="17" t="n">
        <f aca="false">30+325*$AD$5</f>
        <v>50.3125</v>
      </c>
      <c r="AD345" s="17" t="n">
        <f aca="false">Ubar_c-Delta_c*AC345</f>
        <v>5.03191433687762</v>
      </c>
      <c r="AE345" s="11" t="n">
        <f aca="false">(-(Cost_k*Ubar_c+Delay_D)+AD345/$AD$5*AE346)/(Rho_a+AD345/$AD$5)</f>
        <v>-280.627552321428</v>
      </c>
      <c r="AF345" s="11" t="n">
        <f aca="false">MAX(AE345,-Delay_D/Rho_a)</f>
        <v>-280.627552321428</v>
      </c>
      <c r="AG345" s="11" t="n">
        <f aca="false">IF(AC345&lt;Floor_F,MAX((-(Cost_k*Ubar_c+Delay_D)*(1-EXP(-Rho_a*LN((Top_c-AC345)/(Top_c-Floor_F))/Delta_c))/Rho_a+EXP(-Rho_a*LN((Top_c-AC345)/(Top_c-Floor_F))/Delta_c)*(-Cost_k*Delta_c*Floor_F/Rho_a)),(-Delay_D/Rho_a)),(EXP(-Rho_a*LN(AC345/Floor_F)/Delta_c)*(-Cost_k*Delta_c*Floor_F/Rho_a)))</f>
        <v>-280.684941168396</v>
      </c>
      <c r="AH345" s="22" t="n">
        <f aca="false">ABS(AF345-AG345)</f>
        <v>0.0573888469677968</v>
      </c>
    </row>
    <row r="346" customFormat="false" ht="15" hidden="false" customHeight="false" outlineLevel="0" collapsed="false">
      <c r="V346" s="17" t="n">
        <f aca="false">30+326*$W$5</f>
        <v>70.75</v>
      </c>
      <c r="W346" s="17" t="n">
        <f aca="false">-Delta_c*V346</f>
        <v>-7.16493965955404</v>
      </c>
      <c r="Y346" s="11" t="n">
        <f aca="false">(-W346/$W$5*Y345)/(Rho_a-W346/$W$5)</f>
        <v>-184.520000075798</v>
      </c>
      <c r="Z346" s="11" t="n">
        <f aca="false">IF(V346&lt;Floor_F,MAX((-(Cost_k*Ubar_c+Delay_D)*(1-EXP(-Rho_a*LN((Top_c-V346)/(Top_c-Floor_F))/Delta_c))/Rho_a+EXP(-Rho_a*LN((Top_c-V346)/(Top_c-Floor_F))/Delta_c)*(-Cost_k*Delta_c*Floor_F/Rho_a)),(-Delay_D/Rho_a)),(EXP(-Rho_a*LN(V346/Floor_F)/Delta_c)*(-Cost_k*Delta_c*Floor_F/Rho_a)))</f>
        <v>-184.434909327107</v>
      </c>
      <c r="AA346" s="22" t="n">
        <f aca="false">ABS(Y346-Z346)</f>
        <v>0.0850907486915276</v>
      </c>
      <c r="AC346" s="17" t="n">
        <f aca="false">30+326*$AD$5</f>
        <v>50.375</v>
      </c>
      <c r="AD346" s="17" t="n">
        <f aca="false">Ubar_c-Delta_c*AC346</f>
        <v>5.02558488488155</v>
      </c>
      <c r="AE346" s="11" t="n">
        <f aca="false">(-(Cost_k*Ubar_c+Delay_D)+AD346/$AD$5*AE347)/(Rho_a+AD346/$AD$5)</f>
        <v>-280.059157431812</v>
      </c>
      <c r="AF346" s="11" t="n">
        <f aca="false">MAX(AE346,-Delay_D/Rho_a)</f>
        <v>-280.059157431812</v>
      </c>
      <c r="AG346" s="11" t="n">
        <f aca="false">IF(AC346&lt;Floor_F,MAX((-(Cost_k*Ubar_c+Delay_D)*(1-EXP(-Rho_a*LN((Top_c-AC346)/(Top_c-Floor_F))/Delta_c))/Rho_a+EXP(-Rho_a*LN((Top_c-AC346)/(Top_c-Floor_F))/Delta_c)*(-Cost_k*Delta_c*Floor_F/Rho_a)),(-Delay_D/Rho_a)),(EXP(-Rho_a*LN(AC346/Floor_F)/Delta_c)*(-Cost_k*Delta_c*Floor_F/Rho_a)))</f>
        <v>-280.115919523172</v>
      </c>
      <c r="AH346" s="22" t="n">
        <f aca="false">ABS(AF346-AG346)</f>
        <v>0.056762091360099</v>
      </c>
    </row>
    <row r="347" customFormat="false" ht="15" hidden="false" customHeight="false" outlineLevel="0" collapsed="false">
      <c r="V347" s="17" t="n">
        <f aca="false">30+327*$W$5</f>
        <v>70.875</v>
      </c>
      <c r="W347" s="17" t="n">
        <f aca="false">-Delta_c*V347</f>
        <v>-7.17759856354619</v>
      </c>
      <c r="Y347" s="11" t="n">
        <f aca="false">(-W347/$W$5*Y346)/(Rho_a-W347/$W$5)</f>
        <v>-184.214231173076</v>
      </c>
      <c r="Z347" s="11" t="n">
        <f aca="false">IF(V347&lt;Floor_F,MAX((-(Cost_k*Ubar_c+Delay_D)*(1-EXP(-Rho_a*LN((Top_c-V347)/(Top_c-Floor_F))/Delta_c))/Rho_a+EXP(-Rho_a*LN((Top_c-V347)/(Top_c-Floor_F))/Delta_c)*(-Cost_k*Delta_c*Floor_F/Rho_a)),(-Delay_D/Rho_a)),(EXP(-Rho_a*LN(V347/Floor_F)/Delta_c)*(-Cost_k*Delta_c*Floor_F/Rho_a)))</f>
        <v>-184.128758230278</v>
      </c>
      <c r="AA347" s="22" t="n">
        <f aca="false">ABS(Y347-Z347)</f>
        <v>0.0854729427983614</v>
      </c>
      <c r="AC347" s="17" t="n">
        <f aca="false">30+327*$AD$5</f>
        <v>50.4375</v>
      </c>
      <c r="AD347" s="17" t="n">
        <f aca="false">Ubar_c-Delta_c*AC347</f>
        <v>5.01925543288547</v>
      </c>
      <c r="AE347" s="11" t="n">
        <f aca="false">(-(Cost_k*Ubar_c+Delay_D)+AD347/$AD$5*AE348)/(Rho_a+AD347/$AD$5)</f>
        <v>-279.489372954313</v>
      </c>
      <c r="AF347" s="11" t="n">
        <f aca="false">MAX(AE347,-Delay_D/Rho_a)</f>
        <v>-279.489372954313</v>
      </c>
      <c r="AG347" s="11" t="n">
        <f aca="false">IF(AC347&lt;Floor_F,MAX((-(Cost_k*Ubar_c+Delay_D)*(1-EXP(-Rho_a*LN((Top_c-AC347)/(Top_c-Floor_F))/Delta_c))/Rho_a+EXP(-Rho_a*LN((Top_c-AC347)/(Top_c-Floor_F))/Delta_c)*(-Cost_k*Delta_c*Floor_F/Rho_a)),(-Delay_D/Rho_a)),(EXP(-Rho_a*LN(AC347/Floor_F)/Delta_c)*(-Cost_k*Delta_c*Floor_F/Rho_a)))</f>
        <v>-279.54550505521</v>
      </c>
      <c r="AH347" s="22" t="n">
        <f aca="false">ABS(AF347-AG347)</f>
        <v>0.056132100897571</v>
      </c>
    </row>
    <row r="348" customFormat="false" ht="15" hidden="false" customHeight="false" outlineLevel="0" collapsed="false">
      <c r="V348" s="17" t="n">
        <f aca="false">30+328*$W$5</f>
        <v>71</v>
      </c>
      <c r="W348" s="17" t="n">
        <f aca="false">-Delta_c*V348</f>
        <v>-7.19025746753833</v>
      </c>
      <c r="Y348" s="11" t="n">
        <f aca="false">(-W348/$W$5*Y347)/(Rho_a-W348/$W$5)</f>
        <v>-183.9095055058</v>
      </c>
      <c r="Z348" s="11" t="n">
        <f aca="false">IF(V348&lt;Floor_F,MAX((-(Cost_k*Ubar_c+Delay_D)*(1-EXP(-Rho_a*LN((Top_c-V348)/(Top_c-Floor_F))/Delta_c))/Rho_a+EXP(-Rho_a*LN((Top_c-V348)/(Top_c-Floor_F))/Delta_c)*(-Cost_k*Delta_c*Floor_F/Rho_a)),(-Delay_D/Rho_a)),(EXP(-Rho_a*LN(V348/Floor_F)/Delta_c)*(-Cost_k*Delta_c*Floor_F/Rho_a)))</f>
        <v>-183.823653457875</v>
      </c>
      <c r="AA348" s="22" t="n">
        <f aca="false">ABS(Y348-Z348)</f>
        <v>0.0858520479249592</v>
      </c>
      <c r="AC348" s="17" t="n">
        <f aca="false">30+328*$AD$5</f>
        <v>50.5</v>
      </c>
      <c r="AD348" s="17" t="n">
        <f aca="false">Ubar_c-Delta_c*AC348</f>
        <v>5.0129259808894</v>
      </c>
      <c r="AE348" s="11" t="n">
        <f aca="false">(-(Cost_k*Ubar_c+Delay_D)+AD348/$AD$5*AE349)/(Rho_a+AD348/$AD$5)</f>
        <v>-278.918193735122</v>
      </c>
      <c r="AF348" s="11" t="n">
        <f aca="false">MAX(AE348,-Delay_D/Rho_a)</f>
        <v>-278.918193735122</v>
      </c>
      <c r="AG348" s="11" t="n">
        <f aca="false">IF(AC348&lt;Floor_F,MAX((-(Cost_k*Ubar_c+Delay_D)*(1-EXP(-Rho_a*LN((Top_c-AC348)/(Top_c-Floor_F))/Delta_c))/Rho_a+EXP(-Rho_a*LN((Top_c-AC348)/(Top_c-Floor_F))/Delta_c)*(-Cost_k*Delta_c*Floor_F/Rho_a)),(-Delay_D/Rho_a)),(EXP(-Rho_a*LN(AC348/Floor_F)/Delta_c)*(-Cost_k*Delta_c*Floor_F/Rho_a)))</f>
        <v>-278.973692592374</v>
      </c>
      <c r="AH348" s="22" t="n">
        <f aca="false">ABS(AF348-AG348)</f>
        <v>0.0554988572522461</v>
      </c>
    </row>
    <row r="349" customFormat="false" ht="15" hidden="false" customHeight="false" outlineLevel="0" collapsed="false">
      <c r="V349" s="17" t="n">
        <f aca="false">30+329*$W$5</f>
        <v>71.125</v>
      </c>
      <c r="W349" s="17" t="n">
        <f aca="false">-Delta_c*V349</f>
        <v>-7.20291637153048</v>
      </c>
      <c r="Y349" s="11" t="n">
        <f aca="false">(-W349/$W$5*Y348)/(Rho_a-W349/$W$5)</f>
        <v>-183.605817690432</v>
      </c>
      <c r="Z349" s="11" t="n">
        <f aca="false">IF(V349&lt;Floor_F,MAX((-(Cost_k*Ubar_c+Delay_D)*(1-EXP(-Rho_a*LN((Top_c-V349)/(Top_c-Floor_F))/Delta_c))/Rho_a+EXP(-Rho_a*LN((Top_c-V349)/(Top_c-Floor_F))/Delta_c)*(-Cost_k*Delta_c*Floor_F/Rho_a)),(-Delay_D/Rho_a)),(EXP(-Rho_a*LN(V349/Floor_F)/Delta_c)*(-Cost_k*Delta_c*Floor_F/Rho_a)))</f>
        <v>-183.519589601209</v>
      </c>
      <c r="AA349" s="22" t="n">
        <f aca="false">ABS(Y349-Z349)</f>
        <v>0.0862280892226295</v>
      </c>
      <c r="AC349" s="17" t="n">
        <f aca="false">30+329*$AD$5</f>
        <v>50.5625</v>
      </c>
      <c r="AD349" s="17" t="n">
        <f aca="false">Ubar_c-Delta_c*AC349</f>
        <v>5.00659652889333</v>
      </c>
      <c r="AE349" s="11" t="n">
        <f aca="false">(-(Cost_k*Ubar_c+Delay_D)+AD349/$AD$5*AE350)/(Rho_a+AD349/$AD$5)</f>
        <v>-278.345614594786</v>
      </c>
      <c r="AF349" s="11" t="n">
        <f aca="false">MAX(AE349,-Delay_D/Rho_a)</f>
        <v>-278.345614594786</v>
      </c>
      <c r="AG349" s="11" t="n">
        <f aca="false">IF(AC349&lt;Floor_F,MAX((-(Cost_k*Ubar_c+Delay_D)*(1-EXP(-Rho_a*LN((Top_c-AC349)/(Top_c-Floor_F))/Delta_c))/Rho_a+EXP(-Rho_a*LN((Top_c-AC349)/(Top_c-Floor_F))/Delta_c)*(-Cost_k*Delta_c*Floor_F/Rho_a)),(-Delay_D/Rho_a)),(EXP(-Rho_a*LN(AC349/Floor_F)/Delta_c)*(-Cost_k*Delta_c*Floor_F/Rho_a)))</f>
        <v>-278.400476936759</v>
      </c>
      <c r="AH349" s="22" t="n">
        <f aca="false">ABS(AF349-AG349)</f>
        <v>0.0548623419730916</v>
      </c>
    </row>
    <row r="350" customFormat="false" ht="15" hidden="false" customHeight="false" outlineLevel="0" collapsed="false">
      <c r="V350" s="17" t="n">
        <f aca="false">30+330*$W$5</f>
        <v>71.25</v>
      </c>
      <c r="W350" s="17" t="n">
        <f aca="false">-Delta_c*V350</f>
        <v>-7.21557527552262</v>
      </c>
      <c r="Y350" s="11" t="n">
        <f aca="false">(-W350/$W$5*Y349)/(Rho_a-W350/$W$5)</f>
        <v>-183.303162380597</v>
      </c>
      <c r="Z350" s="11" t="n">
        <f aca="false">IF(V350&lt;Floor_F,MAX((-(Cost_k*Ubar_c+Delay_D)*(1-EXP(-Rho_a*LN((Top_c-V350)/(Top_c-Floor_F))/Delta_c))/Rho_a+EXP(-Rho_a*LN((Top_c-V350)/(Top_c-Floor_F))/Delta_c)*(-Cost_k*Delta_c*Floor_F/Rho_a)),(-Delay_D/Rho_a)),(EXP(-Rho_a*LN(V350/Floor_F)/Delta_c)*(-Cost_k*Delta_c*Floor_F/Rho_a)))</f>
        <v>-183.216561288992</v>
      </c>
      <c r="AA350" s="22" t="n">
        <f aca="false">ABS(Y350-Z350)</f>
        <v>0.0866010916055586</v>
      </c>
      <c r="AC350" s="17" t="n">
        <f aca="false">30+330*$AD$5</f>
        <v>50.625</v>
      </c>
      <c r="AD350" s="17" t="n">
        <f aca="false">Ubar_c-Delta_c*AC350</f>
        <v>5.00026707689726</v>
      </c>
      <c r="AE350" s="11" t="n">
        <f aca="false">(-(Cost_k*Ubar_c+Delay_D)+AD350/$AD$5*AE351)/(Rho_a+AD350/$AD$5)</f>
        <v>-277.771630328045</v>
      </c>
      <c r="AF350" s="11" t="n">
        <f aca="false">MAX(AE350,-Delay_D/Rho_a)</f>
        <v>-277.771630328045</v>
      </c>
      <c r="AG350" s="11" t="n">
        <f aca="false">IF(AC350&lt;Floor_F,MAX((-(Cost_k*Ubar_c+Delay_D)*(1-EXP(-Rho_a*LN((Top_c-AC350)/(Top_c-Floor_F))/Delta_c))/Rho_a+EXP(-Rho_a*LN((Top_c-AC350)/(Top_c-Floor_F))/Delta_c)*(-Cost_k*Delta_c*Floor_F/Rho_a)),(-Delay_D/Rho_a)),(EXP(-Rho_a*LN(AC350/Floor_F)/Delta_c)*(-Cost_k*Delta_c*Floor_F/Rho_a)))</f>
        <v>-277.825852864531</v>
      </c>
      <c r="AH350" s="22" t="n">
        <f aca="false">ABS(AF350-AG350)</f>
        <v>0.054222536485554</v>
      </c>
    </row>
    <row r="351" customFormat="false" ht="15" hidden="false" customHeight="false" outlineLevel="0" collapsed="false">
      <c r="V351" s="17" t="n">
        <f aca="false">30+331*$W$5</f>
        <v>71.375</v>
      </c>
      <c r="W351" s="17" t="n">
        <f aca="false">-Delta_c*V351</f>
        <v>-7.22823417951477</v>
      </c>
      <c r="Y351" s="11" t="n">
        <f aca="false">(-W351/$W$5*Y350)/(Rho_a-W351/$W$5)</f>
        <v>-183.001534266761</v>
      </c>
      <c r="Z351" s="11" t="n">
        <f aca="false">IF(V351&lt;Floor_F,MAX((-(Cost_k*Ubar_c+Delay_D)*(1-EXP(-Rho_a*LN((Top_c-V351)/(Top_c-Floor_F))/Delta_c))/Rho_a+EXP(-Rho_a*LN((Top_c-V351)/(Top_c-Floor_F))/Delta_c)*(-Cost_k*Delta_c*Floor_F/Rho_a)),(-Delay_D/Rho_a)),(EXP(-Rho_a*LN(V351/Floor_F)/Delta_c)*(-Cost_k*Delta_c*Floor_F/Rho_a)))</f>
        <v>-182.914563187008</v>
      </c>
      <c r="AA351" s="22" t="n">
        <f aca="false">ABS(Y351-Z351)</f>
        <v>0.0869710797533969</v>
      </c>
      <c r="AC351" s="17" t="n">
        <f aca="false">30+331*$AD$5</f>
        <v>50.6875</v>
      </c>
      <c r="AD351" s="17" t="n">
        <f aca="false">Ubar_c-Delta_c*AC351</f>
        <v>4.99393762490118</v>
      </c>
      <c r="AE351" s="11" t="n">
        <f aca="false">(-(Cost_k*Ubar_c+Delay_D)+AD351/$AD$5*AE352)/(Rho_a+AD351/$AD$5)</f>
        <v>-277.19623570367</v>
      </c>
      <c r="AF351" s="11" t="n">
        <f aca="false">MAX(AE351,-Delay_D/Rho_a)</f>
        <v>-277.19623570367</v>
      </c>
      <c r="AG351" s="11" t="n">
        <f aca="false">IF(AC351&lt;Floor_F,MAX((-(Cost_k*Ubar_c+Delay_D)*(1-EXP(-Rho_a*LN((Top_c-AC351)/(Top_c-Floor_F))/Delta_c))/Rho_a+EXP(-Rho_a*LN((Top_c-AC351)/(Top_c-Floor_F))/Delta_c)*(-Cost_k*Delta_c*Floor_F/Rho_a)),(-Delay_D/Rho_a)),(EXP(-Rho_a*LN(AC351/Floor_F)/Delta_c)*(-Cost_k*Delta_c*Floor_F/Rho_a)))</f>
        <v>-277.249815125761</v>
      </c>
      <c r="AH351" s="22" t="n">
        <f aca="false">ABS(AF351-AG351)</f>
        <v>0.0535794220903085</v>
      </c>
    </row>
    <row r="352" customFormat="false" ht="15" hidden="false" customHeight="false" outlineLevel="0" collapsed="false">
      <c r="V352" s="17" t="n">
        <f aca="false">30+332*$W$5</f>
        <v>71.5</v>
      </c>
      <c r="W352" s="17" t="n">
        <f aca="false">-Delta_c*V352</f>
        <v>-7.24089308350691</v>
      </c>
      <c r="Y352" s="11" t="n">
        <f aca="false">(-W352/$W$5*Y351)/(Rho_a-W352/$W$5)</f>
        <v>-182.700928075914</v>
      </c>
      <c r="Z352" s="11" t="n">
        <f aca="false">IF(V352&lt;Floor_F,MAX((-(Cost_k*Ubar_c+Delay_D)*(1-EXP(-Rho_a*LN((Top_c-V352)/(Top_c-Floor_F))/Delta_c))/Rho_a+EXP(-Rho_a*LN((Top_c-V352)/(Top_c-Floor_F))/Delta_c)*(-Cost_k*Delta_c*Floor_F/Rho_a)),(-Delay_D/Rho_a)),(EXP(-Rho_a*LN(V352/Floor_F)/Delta_c)*(-Cost_k*Delta_c*Floor_F/Rho_a)))</f>
        <v>-182.6135899978</v>
      </c>
      <c r="AA352" s="22" t="n">
        <f aca="false">ABS(Y352-Z352)</f>
        <v>0.0873380781136746</v>
      </c>
      <c r="AC352" s="17" t="n">
        <f aca="false">30+332*$AD$5</f>
        <v>50.75</v>
      </c>
      <c r="AD352" s="17" t="n">
        <f aca="false">Ubar_c-Delta_c*AC352</f>
        <v>4.98760817290511</v>
      </c>
      <c r="AE352" s="11" t="n">
        <f aca="false">(-(Cost_k*Ubar_c+Delay_D)+AD352/$AD$5*AE353)/(Rho_a+AD352/$AD$5)</f>
        <v>-276.619425464303</v>
      </c>
      <c r="AF352" s="11" t="n">
        <f aca="false">MAX(AE352,-Delay_D/Rho_a)</f>
        <v>-276.619425464303</v>
      </c>
      <c r="AG352" s="11" t="n">
        <f aca="false">IF(AC352&lt;Floor_F,MAX((-(Cost_k*Ubar_c+Delay_D)*(1-EXP(-Rho_a*LN((Top_c-AC352)/(Top_c-Floor_F))/Delta_c))/Rho_a+EXP(-Rho_a*LN((Top_c-AC352)/(Top_c-Floor_F))/Delta_c)*(-Cost_k*Delta_c*Floor_F/Rho_a)),(-Delay_D/Rho_a)),(EXP(-Rho_a*LN(AC352/Floor_F)/Delta_c)*(-Cost_k*Delta_c*Floor_F/Rho_a)))</f>
        <v>-276.672358444265</v>
      </c>
      <c r="AH352" s="22" t="n">
        <f aca="false">ABS(AF352-AG352)</f>
        <v>0.0529329799620086</v>
      </c>
    </row>
    <row r="353" customFormat="false" ht="15" hidden="false" customHeight="false" outlineLevel="0" collapsed="false">
      <c r="V353" s="17" t="n">
        <f aca="false">30+333*$W$5</f>
        <v>71.625</v>
      </c>
      <c r="W353" s="17" t="n">
        <f aca="false">-Delta_c*V353</f>
        <v>-7.25355198749906</v>
      </c>
      <c r="Y353" s="11" t="n">
        <f aca="false">(-W353/$W$5*Y352)/(Rho_a-W353/$W$5)</f>
        <v>-182.401338571252</v>
      </c>
      <c r="Z353" s="11" t="n">
        <f aca="false">IF(V353&lt;Floor_F,MAX((-(Cost_k*Ubar_c+Delay_D)*(1-EXP(-Rho_a*LN((Top_c-V353)/(Top_c-Floor_F))/Delta_c))/Rho_a+EXP(-Rho_a*LN((Top_c-V353)/(Top_c-Floor_F))/Delta_c)*(-Cost_k*Delta_c*Floor_F/Rho_a)),(-Delay_D/Rho_a)),(EXP(-Rho_a*LN(V353/Floor_F)/Delta_c)*(-Cost_k*Delta_c*Floor_F/Rho_a)))</f>
        <v>-182.313636460348</v>
      </c>
      <c r="AA353" s="22" t="n">
        <f aca="false">ABS(Y353-Z353)</f>
        <v>0.0877021109043596</v>
      </c>
      <c r="AC353" s="17" t="n">
        <f aca="false">30+333*$AD$5</f>
        <v>50.8125</v>
      </c>
      <c r="AD353" s="17" t="n">
        <f aca="false">Ubar_c-Delta_c*AC353</f>
        <v>4.98127872090904</v>
      </c>
      <c r="AE353" s="11" t="n">
        <f aca="false">(-(Cost_k*Ubar_c+Delay_D)+AD353/$AD$5*AE354)/(Rho_a+AD353/$AD$5)</f>
        <v>-276.04119432629</v>
      </c>
      <c r="AF353" s="11" t="n">
        <f aca="false">MAX(AE353,-Delay_D/Rho_a)</f>
        <v>-276.04119432629</v>
      </c>
      <c r="AG353" s="11" t="n">
        <f aca="false">IF(AC353&lt;Floor_F,MAX((-(Cost_k*Ubar_c+Delay_D)*(1-EXP(-Rho_a*LN((Top_c-AC353)/(Top_c-Floor_F))/Delta_c))/Rho_a+EXP(-Rho_a*LN((Top_c-AC353)/(Top_c-Floor_F))/Delta_c)*(-Cost_k*Delta_c*Floor_F/Rho_a)),(-Delay_D/Rho_a)),(EXP(-Rho_a*LN(AC353/Floor_F)/Delta_c)*(-Cost_k*Delta_c*Floor_F/Rho_a)))</f>
        <v>-276.093477517439</v>
      </c>
      <c r="AH353" s="22" t="n">
        <f aca="false">ABS(AF353-AG353)</f>
        <v>0.0522831911491153</v>
      </c>
    </row>
    <row r="354" customFormat="false" ht="15" hidden="false" customHeight="false" outlineLevel="0" collapsed="false">
      <c r="V354" s="17" t="n">
        <f aca="false">30+334*$W$5</f>
        <v>71.75</v>
      </c>
      <c r="W354" s="17" t="n">
        <f aca="false">-Delta_c*V354</f>
        <v>-7.2662108914912</v>
      </c>
      <c r="Y354" s="11" t="n">
        <f aca="false">(-W354/$W$5*Y353)/(Rho_a-W354/$W$5)</f>
        <v>-182.102760551872</v>
      </c>
      <c r="Z354" s="11" t="n">
        <f aca="false">IF(V354&lt;Floor_F,MAX((-(Cost_k*Ubar_c+Delay_D)*(1-EXP(-Rho_a*LN((Top_c-V354)/(Top_c-Floor_F))/Delta_c))/Rho_a+EXP(-Rho_a*LN((Top_c-V354)/(Top_c-Floor_F))/Delta_c)*(-Cost_k*Delta_c*Floor_F/Rho_a)),(-Delay_D/Rho_a)),(EXP(-Rho_a*LN(V354/Floor_F)/Delta_c)*(-Cost_k*Delta_c*Floor_F/Rho_a)))</f>
        <v>-182.014697349755</v>
      </c>
      <c r="AA354" s="22" t="n">
        <f aca="false">ABS(Y354-Z354)</f>
        <v>0.088063202116615</v>
      </c>
      <c r="AC354" s="17" t="n">
        <f aca="false">30+334*$AD$5</f>
        <v>50.875</v>
      </c>
      <c r="AD354" s="17" t="n">
        <f aca="false">Ubar_c-Delta_c*AC354</f>
        <v>4.97494926891297</v>
      </c>
      <c r="AE354" s="11" t="n">
        <f aca="false">(-(Cost_k*Ubar_c+Delay_D)+AD354/$AD$5*AE355)/(Rho_a+AD354/$AD$5)</f>
        <v>-275.461536979519</v>
      </c>
      <c r="AF354" s="11" t="n">
        <f aca="false">MAX(AE354,-Delay_D/Rho_a)</f>
        <v>-275.461536979519</v>
      </c>
      <c r="AG354" s="11" t="n">
        <f aca="false">IF(AC354&lt;Floor_F,MAX((-(Cost_k*Ubar_c+Delay_D)*(1-EXP(-Rho_a*LN((Top_c-AC354)/(Top_c-Floor_F))/Delta_c))/Rho_a+EXP(-Rho_a*LN((Top_c-AC354)/(Top_c-Floor_F))/Delta_c)*(-Cost_k*Delta_c*Floor_F/Rho_a)),(-Delay_D/Rho_a)),(EXP(-Rho_a*LN(AC354/Floor_F)/Delta_c)*(-Cost_k*Delta_c*Floor_F/Rho_a)))</f>
        <v>-275.513167016091</v>
      </c>
      <c r="AH354" s="22" t="n">
        <f aca="false">ABS(AF354-AG354)</f>
        <v>0.0516300365721349</v>
      </c>
    </row>
    <row r="355" customFormat="false" ht="15" hidden="false" customHeight="false" outlineLevel="0" collapsed="false">
      <c r="V355" s="17" t="n">
        <f aca="false">30+335*$W$5</f>
        <v>71.875</v>
      </c>
      <c r="W355" s="17" t="n">
        <f aca="false">-Delta_c*V355</f>
        <v>-7.27886979548335</v>
      </c>
      <c r="Y355" s="11" t="n">
        <f aca="false">(-W355/$W$5*Y354)/(Rho_a-W355/$W$5)</f>
        <v>-181.805188852457</v>
      </c>
      <c r="Z355" s="11" t="n">
        <f aca="false">IF(V355&lt;Floor_F,MAX((-(Cost_k*Ubar_c+Delay_D)*(1-EXP(-Rho_a*LN((Top_c-V355)/(Top_c-Floor_F))/Delta_c))/Rho_a+EXP(-Rho_a*LN((Top_c-V355)/(Top_c-Floor_F))/Delta_c)*(-Cost_k*Delta_c*Floor_F/Rho_a)),(-Delay_D/Rho_a)),(EXP(-Rho_a*LN(V355/Floor_F)/Delta_c)*(-Cost_k*Delta_c*Floor_F/Rho_a)))</f>
        <v>-181.71676747694</v>
      </c>
      <c r="AA355" s="22" t="n">
        <f aca="false">ABS(Y355-Z355)</f>
        <v>0.0884213755169583</v>
      </c>
      <c r="AC355" s="17" t="n">
        <f aca="false">30+335*$AD$5</f>
        <v>50.9375</v>
      </c>
      <c r="AD355" s="17" t="n">
        <f aca="false">Ubar_c-Delta_c*AC355</f>
        <v>4.96861981691689</v>
      </c>
      <c r="AE355" s="11" t="n">
        <f aca="false">(-(Cost_k*Ubar_c+Delay_D)+AD355/$AD$5*AE356)/(Rho_a+AD355/$AD$5)</f>
        <v>-274.880448087252</v>
      </c>
      <c r="AF355" s="11" t="n">
        <f aca="false">MAX(AE355,-Delay_D/Rho_a)</f>
        <v>-274.880448087252</v>
      </c>
      <c r="AG355" s="11" t="n">
        <f aca="false">IF(AC355&lt;Floor_F,MAX((-(Cost_k*Ubar_c+Delay_D)*(1-EXP(-Rho_a*LN((Top_c-AC355)/(Top_c-Floor_F))/Delta_c))/Rho_a+EXP(-Rho_a*LN((Top_c-AC355)/(Top_c-Floor_F))/Delta_c)*(-Cost_k*Delta_c*Floor_F/Rho_a)),(-Delay_D/Rho_a)),(EXP(-Rho_a*LN(AC355/Floor_F)/Delta_c)*(-Cost_k*Delta_c*Floor_F/Rho_a)))</f>
        <v>-274.931421584275</v>
      </c>
      <c r="AH355" s="22" t="n">
        <f aca="false">ABS(AF355-AG355)</f>
        <v>0.0509734970229943</v>
      </c>
    </row>
    <row r="356" customFormat="false" ht="15" hidden="false" customHeight="false" outlineLevel="0" collapsed="false">
      <c r="V356" s="17" t="n">
        <f aca="false">30+336*$W$5</f>
        <v>72</v>
      </c>
      <c r="W356" s="17" t="n">
        <f aca="false">-Delta_c*V356</f>
        <v>-7.29152869947549</v>
      </c>
      <c r="Y356" s="11" t="n">
        <f aca="false">(-W356/$W$5*Y355)/(Rho_a-W356/$W$5)</f>
        <v>-181.508618342978</v>
      </c>
      <c r="Z356" s="11" t="n">
        <f aca="false">IF(V356&lt;Floor_F,MAX((-(Cost_k*Ubar_c+Delay_D)*(1-EXP(-Rho_a*LN((Top_c-V356)/(Top_c-Floor_F))/Delta_c))/Rho_a+EXP(-Rho_a*LN((Top_c-V356)/(Top_c-Floor_F))/Delta_c)*(-Cost_k*Delta_c*Floor_F/Rho_a)),(-Delay_D/Rho_a)),(EXP(-Rho_a*LN(V356/Floor_F)/Delta_c)*(-Cost_k*Delta_c*Floor_F/Rho_a)))</f>
        <v>-181.419841688328</v>
      </c>
      <c r="AA356" s="22" t="n">
        <f aca="false">ABS(Y356-Z356)</f>
        <v>0.0887766546497346</v>
      </c>
      <c r="AC356" s="17" t="n">
        <f aca="false">30+336*$AD$5</f>
        <v>51</v>
      </c>
      <c r="AD356" s="17" t="n">
        <f aca="false">Ubar_c-Delta_c*AC356</f>
        <v>4.96229036492082</v>
      </c>
      <c r="AE356" s="11" t="n">
        <f aca="false">(-(Cost_k*Ubar_c+Delay_D)+AD356/$AD$5*AE357)/(Rho_a+AD356/$AD$5)</f>
        <v>-274.297922285955</v>
      </c>
      <c r="AF356" s="11" t="n">
        <f aca="false">MAX(AE356,-Delay_D/Rho_a)</f>
        <v>-274.297922285955</v>
      </c>
      <c r="AG356" s="11" t="n">
        <f aca="false">IF(AC356&lt;Floor_F,MAX((-(Cost_k*Ubar_c+Delay_D)*(1-EXP(-Rho_a*LN((Top_c-AC356)/(Top_c-Floor_F))/Delta_c))/Rho_a+EXP(-Rho_a*LN((Top_c-AC356)/(Top_c-Floor_F))/Delta_c)*(-Cost_k*Delta_c*Floor_F/Rho_a)),(-Delay_D/Rho_a)),(EXP(-Rho_a*LN(AC356/Floor_F)/Delta_c)*(-Cost_k*Delta_c*Floor_F/Rho_a)))</f>
        <v>-274.348235839119</v>
      </c>
      <c r="AH356" s="22" t="n">
        <f aca="false">ABS(AF356-AG356)</f>
        <v>0.050313553163619</v>
      </c>
    </row>
    <row r="357" customFormat="false" ht="15" hidden="false" customHeight="false" outlineLevel="0" collapsed="false">
      <c r="V357" s="17" t="n">
        <f aca="false">30+337*$W$5</f>
        <v>72.125</v>
      </c>
      <c r="W357" s="17" t="n">
        <f aca="false">-Delta_c*V357</f>
        <v>-7.30418760346764</v>
      </c>
      <c r="Y357" s="11" t="n">
        <f aca="false">(-W357/$W$5*Y356)/(Rho_a-W357/$W$5)</f>
        <v>-181.213043928386</v>
      </c>
      <c r="Z357" s="11" t="n">
        <f aca="false">IF(V357&lt;Floor_F,MAX((-(Cost_k*Ubar_c+Delay_D)*(1-EXP(-Rho_a*LN((Top_c-V357)/(Top_c-Floor_F))/Delta_c))/Rho_a+EXP(-Rho_a*LN((Top_c-V357)/(Top_c-Floor_F))/Delta_c)*(-Cost_k*Delta_c*Floor_F/Rho_a)),(-Delay_D/Rho_a)),(EXP(-Rho_a*LN(V357/Floor_F)/Delta_c)*(-Cost_k*Delta_c*Floor_F/Rho_a)))</f>
        <v>-181.123914865546</v>
      </c>
      <c r="AA357" s="22" t="n">
        <f aca="false">ABS(Y357-Z357)</f>
        <v>0.0891290628398167</v>
      </c>
      <c r="AC357" s="17" t="n">
        <f aca="false">30+337*$AD$5</f>
        <v>51.0625</v>
      </c>
      <c r="AD357" s="17" t="n">
        <f aca="false">Ubar_c-Delta_c*AC357</f>
        <v>4.95596091292475</v>
      </c>
      <c r="AE357" s="11" t="n">
        <f aca="false">(-(Cost_k*Ubar_c+Delay_D)+AD357/$AD$5*AE358)/(Rho_a+AD357/$AD$5)</f>
        <v>-273.713954185136</v>
      </c>
      <c r="AF357" s="11" t="n">
        <f aca="false">MAX(AE357,-Delay_D/Rho_a)</f>
        <v>-273.713954185136</v>
      </c>
      <c r="AG357" s="11" t="n">
        <f aca="false">IF(AC357&lt;Floor_F,MAX((-(Cost_k*Ubar_c+Delay_D)*(1-EXP(-Rho_a*LN((Top_c-AC357)/(Top_c-Floor_F))/Delta_c))/Rho_a+EXP(-Rho_a*LN((Top_c-AC357)/(Top_c-Floor_F))/Delta_c)*(-Cost_k*Delta_c*Floor_F/Rho_a)),(-Delay_D/Rho_a)),(EXP(-Rho_a*LN(AC357/Floor_F)/Delta_c)*(-Cost_k*Delta_c*Floor_F/Rho_a)))</f>
        <v>-273.763604370662</v>
      </c>
      <c r="AH357" s="22" t="n">
        <f aca="false">ABS(AF357-AG357)</f>
        <v>0.0496501855254792</v>
      </c>
    </row>
    <row r="358" customFormat="false" ht="15" hidden="false" customHeight="false" outlineLevel="0" collapsed="false">
      <c r="V358" s="17" t="n">
        <f aca="false">30+338*$W$5</f>
        <v>72.25</v>
      </c>
      <c r="W358" s="17" t="n">
        <f aca="false">-Delta_c*V358</f>
        <v>-7.31684650745978</v>
      </c>
      <c r="Y358" s="11" t="n">
        <f aca="false">(-W358/$W$5*Y357)/(Rho_a-W358/$W$5)</f>
        <v>-180.918460548319</v>
      </c>
      <c r="Z358" s="11" t="n">
        <f aca="false">IF(V358&lt;Floor_F,MAX((-(Cost_k*Ubar_c+Delay_D)*(1-EXP(-Rho_a*LN((Top_c-V358)/(Top_c-Floor_F))/Delta_c))/Rho_a+EXP(-Rho_a*LN((Top_c-V358)/(Top_c-Floor_F))/Delta_c)*(-Cost_k*Delta_c*Floor_F/Rho_a)),(-Delay_D/Rho_a)),(EXP(-Rho_a*LN(V358/Floor_F)/Delta_c)*(-Cost_k*Delta_c*Floor_F/Rho_a)))</f>
        <v>-180.828981925124</v>
      </c>
      <c r="AA358" s="22" t="n">
        <f aca="false">ABS(Y358-Z358)</f>
        <v>0.0894786231946512</v>
      </c>
      <c r="AC358" s="17" t="n">
        <f aca="false">30+338*$AD$5</f>
        <v>51.125</v>
      </c>
      <c r="AD358" s="17" t="n">
        <f aca="false">Ubar_c-Delta_c*AC358</f>
        <v>4.94963146092868</v>
      </c>
      <c r="AE358" s="11" t="n">
        <f aca="false">(-(Cost_k*Ubar_c+Delay_D)+AD358/$AD$5*AE359)/(Rho_a+AD358/$AD$5)</f>
        <v>-273.128538367168</v>
      </c>
      <c r="AF358" s="11" t="n">
        <f aca="false">MAX(AE358,-Delay_D/Rho_a)</f>
        <v>-273.128538367168</v>
      </c>
      <c r="AG358" s="11" t="n">
        <f aca="false">IF(AC358&lt;Floor_F,MAX((-(Cost_k*Ubar_c+Delay_D)*(1-EXP(-Rho_a*LN((Top_c-AC358)/(Top_c-Floor_F))/Delta_c))/Rho_a+EXP(-Rho_a*LN((Top_c-AC358)/(Top_c-Floor_F))/Delta_c)*(-Cost_k*Delta_c*Floor_F/Rho_a)),(-Delay_D/Rho_a)),(EXP(-Rho_a*LN(AC358/Floor_F)/Delta_c)*(-Cost_k*Delta_c*Floor_F/Rho_a)))</f>
        <v>-273.177521741676</v>
      </c>
      <c r="AH358" s="22" t="n">
        <f aca="false">ABS(AF358-AG358)</f>
        <v>0.0489833745080546</v>
      </c>
    </row>
    <row r="359" customFormat="false" ht="15" hidden="false" customHeight="false" outlineLevel="0" collapsed="false">
      <c r="V359" s="17" t="n">
        <f aca="false">30+339*$W$5</f>
        <v>72.375</v>
      </c>
      <c r="W359" s="17" t="n">
        <f aca="false">-Delta_c*V359</f>
        <v>-7.32950541145193</v>
      </c>
      <c r="Y359" s="11" t="n">
        <f aca="false">(-W359/$W$5*Y358)/(Rho_a-W359/$W$5)</f>
        <v>-180.624863176803</v>
      </c>
      <c r="Z359" s="11" t="n">
        <f aca="false">IF(V359&lt;Floor_F,MAX((-(Cost_k*Ubar_c+Delay_D)*(1-EXP(-Rho_a*LN((Top_c-V359)/(Top_c-Floor_F))/Delta_c))/Rho_a+EXP(-Rho_a*LN((Top_c-V359)/(Top_c-Floor_F))/Delta_c)*(-Cost_k*Delta_c*Floor_F/Rho_a)),(-Delay_D/Rho_a)),(EXP(-Rho_a*LN(V359/Floor_F)/Delta_c)*(-Cost_k*Delta_c*Floor_F/Rho_a)))</f>
        <v>-180.535037818196</v>
      </c>
      <c r="AA359" s="22" t="n">
        <f aca="false">ABS(Y359-Z359)</f>
        <v>0.0898253586067597</v>
      </c>
      <c r="AC359" s="17" t="n">
        <f aca="false">30+339*$AD$5</f>
        <v>51.1875</v>
      </c>
      <c r="AD359" s="17" t="n">
        <f aca="false">Ubar_c-Delta_c*AC359</f>
        <v>4.9433020089326</v>
      </c>
      <c r="AE359" s="11" t="n">
        <f aca="false">(-(Cost_k*Ubar_c+Delay_D)+AD359/$AD$5*AE360)/(Rho_a+AD359/$AD$5)</f>
        <v>-272.541669387121</v>
      </c>
      <c r="AF359" s="11" t="n">
        <f aca="false">MAX(AE359,-Delay_D/Rho_a)</f>
        <v>-272.541669387121</v>
      </c>
      <c r="AG359" s="11" t="n">
        <f aca="false">IF(AC359&lt;Floor_F,MAX((-(Cost_k*Ubar_c+Delay_D)*(1-EXP(-Rho_a*LN((Top_c-AC359)/(Top_c-Floor_F))/Delta_c))/Rho_a+EXP(-Rho_a*LN((Top_c-AC359)/(Top_c-Floor_F))/Delta_c)*(-Cost_k*Delta_c*Floor_F/Rho_a)),(-Delay_D/Rho_a)),(EXP(-Rho_a*LN(AC359/Floor_F)/Delta_c)*(-Cost_k*Delta_c*Floor_F/Rho_a)))</f>
        <v>-272.589982487499</v>
      </c>
      <c r="AH359" s="22" t="n">
        <f aca="false">ABS(AF359-AG359)</f>
        <v>0.0483131003780954</v>
      </c>
    </row>
    <row r="360" customFormat="false" ht="15" hidden="false" customHeight="false" outlineLevel="0" collapsed="false">
      <c r="V360" s="17" t="n">
        <f aca="false">30+340*$W$5</f>
        <v>72.5</v>
      </c>
      <c r="W360" s="17" t="n">
        <f aca="false">-Delta_c*V360</f>
        <v>-7.34216431544407</v>
      </c>
      <c r="Y360" s="11" t="n">
        <f aca="false">(-W360/$W$5*Y359)/(Rho_a-W360/$W$5)</f>
        <v>-180.332246821961</v>
      </c>
      <c r="Z360" s="11" t="n">
        <f aca="false">IF(V360&lt;Floor_F,MAX((-(Cost_k*Ubar_c+Delay_D)*(1-EXP(-Rho_a*LN((Top_c-V360)/(Top_c-Floor_F))/Delta_c))/Rho_a+EXP(-Rho_a*LN((Top_c-V360)/(Top_c-Floor_F))/Delta_c)*(-Cost_k*Delta_c*Floor_F/Rho_a)),(-Delay_D/Rho_a)),(EXP(-Rho_a*LN(V360/Floor_F)/Delta_c)*(-Cost_k*Delta_c*Floor_F/Rho_a)))</f>
        <v>-180.242077530205</v>
      </c>
      <c r="AA360" s="22" t="n">
        <f aca="false">ABS(Y360-Z360)</f>
        <v>0.0901692917560695</v>
      </c>
      <c r="AC360" s="17" t="n">
        <f aca="false">30+340*$AD$5</f>
        <v>51.25</v>
      </c>
      <c r="AD360" s="17" t="n">
        <f aca="false">Ubar_c-Delta_c*AC360</f>
        <v>4.93697255693653</v>
      </c>
      <c r="AE360" s="11" t="n">
        <f aca="false">(-(Cost_k*Ubar_c+Delay_D)+AD360/$AD$5*AE361)/(Rho_a+AD360/$AD$5)</f>
        <v>-271.953341772586</v>
      </c>
      <c r="AF360" s="11" t="n">
        <f aca="false">MAX(AE360,-Delay_D/Rho_a)</f>
        <v>-271.953341772586</v>
      </c>
      <c r="AG360" s="11" t="n">
        <f aca="false">IF(AC360&lt;Floor_F,MAX((-(Cost_k*Ubar_c+Delay_D)*(1-EXP(-Rho_a*LN((Top_c-AC360)/(Top_c-Floor_F))/Delta_c))/Rho_a+EXP(-Rho_a*LN((Top_c-AC360)/(Top_c-Floor_F))/Delta_c)*(-Cost_k*Delta_c*Floor_F/Rho_a)),(-Delay_D/Rho_a)),(EXP(-Rho_a*LN(AC360/Floor_F)/Delta_c)*(-Cost_k*Delta_c*Floor_F/Rho_a)))</f>
        <v>-272.000981115855</v>
      </c>
      <c r="AH360" s="22" t="n">
        <f aca="false">ABS(AF360-AG360)</f>
        <v>0.0476393432685427</v>
      </c>
    </row>
    <row r="361" customFormat="false" ht="15" hidden="false" customHeight="false" outlineLevel="0" collapsed="false">
      <c r="V361" s="17" t="n">
        <f aca="false">30+341*$W$5</f>
        <v>72.625</v>
      </c>
      <c r="W361" s="17" t="n">
        <f aca="false">-Delta_c*V361</f>
        <v>-7.35482321943622</v>
      </c>
      <c r="Y361" s="11" t="n">
        <f aca="false">(-W361/$W$5*Y360)/(Rho_a-W361/$W$5)</f>
        <v>-180.040606525721</v>
      </c>
      <c r="Z361" s="11" t="n">
        <f aca="false">IF(V361&lt;Floor_F,MAX((-(Cost_k*Ubar_c+Delay_D)*(1-EXP(-Rho_a*LN((Top_c-V361)/(Top_c-Floor_F))/Delta_c))/Rho_a+EXP(-Rho_a*LN((Top_c-V361)/(Top_c-Floor_F))/Delta_c)*(-Cost_k*Delta_c*Floor_F/Rho_a)),(-Delay_D/Rho_a)),(EXP(-Rho_a*LN(V361/Floor_F)/Delta_c)*(-Cost_k*Delta_c*Floor_F/Rho_a)))</f>
        <v>-179.950096080609</v>
      </c>
      <c r="AA361" s="22" t="n">
        <f aca="false">ABS(Y361-Z361)</f>
        <v>0.0905104451121872</v>
      </c>
      <c r="AC361" s="17" t="n">
        <f aca="false">30+341*$AD$5</f>
        <v>51.3125</v>
      </c>
      <c r="AD361" s="17" t="n">
        <f aca="false">Ubar_c-Delta_c*AC361</f>
        <v>4.93064310494046</v>
      </c>
      <c r="AE361" s="11" t="n">
        <f aca="false">(-(Cost_k*Ubar_c+Delay_D)+AD361/$AD$5*AE362)/(Rho_a+AD361/$AD$5)</f>
        <v>-271.363550023508</v>
      </c>
      <c r="AF361" s="11" t="n">
        <f aca="false">MAX(AE361,-Delay_D/Rho_a)</f>
        <v>-271.363550023508</v>
      </c>
      <c r="AG361" s="11" t="n">
        <f aca="false">IF(AC361&lt;Floor_F,MAX((-(Cost_k*Ubar_c+Delay_D)*(1-EXP(-Rho_a*LN((Top_c-AC361)/(Top_c-Floor_F))/Delta_c))/Rho_a+EXP(-Rho_a*LN((Top_c-AC361)/(Top_c-Floor_F))/Delta_c)*(-Cost_k*Delta_c*Floor_F/Rho_a)),(-Delay_D/Rho_a)),(EXP(-Rho_a*LN(AC361/Floor_F)/Delta_c)*(-Cost_k*Delta_c*Floor_F/Rho_a)))</f>
        <v>-271.410512106685</v>
      </c>
      <c r="AH361" s="22" t="n">
        <f aca="false">ABS(AF361-AG361)</f>
        <v>0.0469620831771636</v>
      </c>
    </row>
    <row r="362" customFormat="false" ht="15" hidden="false" customHeight="false" outlineLevel="0" collapsed="false">
      <c r="V362" s="17" t="n">
        <f aca="false">30+342*$W$5</f>
        <v>72.75</v>
      </c>
      <c r="W362" s="17" t="n">
        <f aca="false">-Delta_c*V362</f>
        <v>-7.36748212342836</v>
      </c>
      <c r="Y362" s="11" t="n">
        <f aca="false">(-W362/$W$5*Y361)/(Rho_a-W362/$W$5)</f>
        <v>-179.749937363535</v>
      </c>
      <c r="Z362" s="11" t="n">
        <f aca="false">IF(V362&lt;Floor_F,MAX((-(Cost_k*Ubar_c+Delay_D)*(1-EXP(-Rho_a*LN((Top_c-V362)/(Top_c-Floor_F))/Delta_c))/Rho_a+EXP(-Rho_a*LN((Top_c-V362)/(Top_c-Floor_F))/Delta_c)*(-Cost_k*Delta_c*Floor_F/Rho_a)),(-Delay_D/Rho_a)),(EXP(-Rho_a*LN(V362/Floor_F)/Delta_c)*(-Cost_k*Delta_c*Floor_F/Rho_a)))</f>
        <v>-179.659088522598</v>
      </c>
      <c r="AA362" s="22" t="n">
        <f aca="false">ABS(Y362-Z362)</f>
        <v>0.0908488409364452</v>
      </c>
      <c r="AC362" s="17" t="n">
        <f aca="false">30+342*$AD$5</f>
        <v>51.375</v>
      </c>
      <c r="AD362" s="17" t="n">
        <f aca="false">Ubar_c-Delta_c*AC362</f>
        <v>4.92431365294439</v>
      </c>
      <c r="AE362" s="11" t="n">
        <f aca="false">(-(Cost_k*Ubar_c+Delay_D)+AD362/$AD$5*AE363)/(Rho_a+AD362/$AD$5)</f>
        <v>-270.772288612001</v>
      </c>
      <c r="AF362" s="11" t="n">
        <f aca="false">MAX(AE362,-Delay_D/Rho_a)</f>
        <v>-270.772288612001</v>
      </c>
      <c r="AG362" s="11" t="n">
        <f aca="false">IF(AC362&lt;Floor_F,MAX((-(Cost_k*Ubar_c+Delay_D)*(1-EXP(-Rho_a*LN((Top_c-AC362)/(Top_c-Floor_F))/Delta_c))/Rho_a+EXP(-Rho_a*LN((Top_c-AC362)/(Top_c-Floor_F))/Delta_c)*(-Cost_k*Delta_c*Floor_F/Rho_a)),(-Delay_D/Rho_a)),(EXP(-Rho_a*LN(AC362/Floor_F)/Delta_c)*(-Cost_k*Delta_c*Floor_F/Rho_a)))</f>
        <v>-270.818569911967</v>
      </c>
      <c r="AH362" s="22" t="n">
        <f aca="false">ABS(AF362-AG362)</f>
        <v>0.046281299965699</v>
      </c>
    </row>
    <row r="363" customFormat="false" ht="15" hidden="false" customHeight="false" outlineLevel="0" collapsed="false">
      <c r="V363" s="17" t="n">
        <f aca="false">30+343*$W$5</f>
        <v>72.875</v>
      </c>
      <c r="W363" s="17" t="n">
        <f aca="false">-Delta_c*V363</f>
        <v>-7.38014102742051</v>
      </c>
      <c r="Y363" s="11" t="n">
        <f aca="false">(-W363/$W$5*Y362)/(Rho_a-W363/$W$5)</f>
        <v>-179.460234444088</v>
      </c>
      <c r="Z363" s="11" t="n">
        <f aca="false">IF(V363&lt;Floor_F,MAX((-(Cost_k*Ubar_c+Delay_D)*(1-EXP(-Rho_a*LN((Top_c-V363)/(Top_c-Floor_F))/Delta_c))/Rho_a+EXP(-Rho_a*LN((Top_c-V363)/(Top_c-Floor_F))/Delta_c)*(-Cost_k*Delta_c*Floor_F/Rho_a)),(-Delay_D/Rho_a)),(EXP(-Rho_a*LN(V363/Floor_F)/Delta_c)*(-Cost_k*Delta_c*Floor_F/Rho_a)))</f>
        <v>-179.369049942803</v>
      </c>
      <c r="AA363" s="22" t="n">
        <f aca="false">ABS(Y363-Z363)</f>
        <v>0.0911845012846015</v>
      </c>
      <c r="AC363" s="17" t="n">
        <f aca="false">30+343*$AD$5</f>
        <v>51.4375</v>
      </c>
      <c r="AD363" s="17" t="n">
        <f aca="false">Ubar_c-Delta_c*AC363</f>
        <v>4.91798420094831</v>
      </c>
      <c r="AE363" s="11" t="n">
        <f aca="false">(-(Cost_k*Ubar_c+Delay_D)+AD363/$AD$5*AE364)/(Rho_a+AD363/$AD$5)</f>
        <v>-270.179551982181</v>
      </c>
      <c r="AF363" s="11" t="n">
        <f aca="false">MAX(AE363,-Delay_D/Rho_a)</f>
        <v>-270.179551982181</v>
      </c>
      <c r="AG363" s="11" t="n">
        <f aca="false">IF(AC363&lt;Floor_F,MAX((-(Cost_k*Ubar_c+Delay_D)*(1-EXP(-Rho_a*LN((Top_c-AC363)/(Top_c-Floor_F))/Delta_c))/Rho_a+EXP(-Rho_a*LN((Top_c-AC363)/(Top_c-Floor_F))/Delta_c)*(-Cost_k*Delta_c*Floor_F/Rho_a)),(-Delay_D/Rho_a)),(EXP(-Rho_a*LN(AC363/Floor_F)/Delta_c)*(-Cost_k*Delta_c*Floor_F/Rho_a)))</f>
        <v>-270.22514895554</v>
      </c>
      <c r="AH363" s="22" t="n">
        <f aca="false">ABS(AF363-AG363)</f>
        <v>0.0455969733590678</v>
      </c>
    </row>
    <row r="364" customFormat="false" ht="15" hidden="false" customHeight="false" outlineLevel="0" collapsed="false">
      <c r="V364" s="17" t="n">
        <f aca="false">30+344*$W$5</f>
        <v>73</v>
      </c>
      <c r="W364" s="17" t="n">
        <f aca="false">-Delta_c*V364</f>
        <v>-7.39279993141265</v>
      </c>
      <c r="Y364" s="11" t="n">
        <f aca="false">(-W364/$W$5*Y363)/(Rho_a-W364/$W$5)</f>
        <v>-179.171492909023</v>
      </c>
      <c r="Z364" s="11" t="n">
        <f aca="false">IF(V364&lt;Floor_F,MAX((-(Cost_k*Ubar_c+Delay_D)*(1-EXP(-Rho_a*LN((Top_c-V364)/(Top_c-Floor_F))/Delta_c))/Rho_a+EXP(-Rho_a*LN((Top_c-V364)/(Top_c-Floor_F))/Delta_c)*(-Cost_k*Delta_c*Floor_F/Rho_a)),(-Delay_D/Rho_a)),(EXP(-Rho_a*LN(V364/Floor_F)/Delta_c)*(-Cost_k*Delta_c*Floor_F/Rho_a)))</f>
        <v>-179.079975461014</v>
      </c>
      <c r="AA364" s="22" t="n">
        <f aca="false">ABS(Y364-Z364)</f>
        <v>0.0915174480087444</v>
      </c>
      <c r="AC364" s="17" t="n">
        <f aca="false">30+344*$AD$5</f>
        <v>51.5</v>
      </c>
      <c r="AD364" s="17" t="n">
        <f aca="false">Ubar_c-Delta_c*AC364</f>
        <v>4.91165474895224</v>
      </c>
      <c r="AE364" s="11" t="n">
        <f aca="false">(-(Cost_k*Ubar_c+Delay_D)+AD364/$AD$5*AE365)/(Rho_a+AD364/$AD$5)</f>
        <v>-269.585334549978</v>
      </c>
      <c r="AF364" s="11" t="n">
        <f aca="false">MAX(AE364,-Delay_D/Rho_a)</f>
        <v>-269.585334549978</v>
      </c>
      <c r="AG364" s="11" t="n">
        <f aca="false">IF(AC364&lt;Floor_F,MAX((-(Cost_k*Ubar_c+Delay_D)*(1-EXP(-Rho_a*LN((Top_c-AC364)/(Top_c-Floor_F))/Delta_c))/Rho_a+EXP(-Rho_a*LN((Top_c-AC364)/(Top_c-Floor_F))/Delta_c)*(-Cost_k*Delta_c*Floor_F/Rho_a)),(-Delay_D/Rho_a)),(EXP(-Rho_a*LN(AC364/Floor_F)/Delta_c)*(-Cost_k*Delta_c*Floor_F/Rho_a)))</f>
        <v>-269.630243632922</v>
      </c>
      <c r="AH364" s="22" t="n">
        <f aca="false">ABS(AF364-AG364)</f>
        <v>0.0449090829437182</v>
      </c>
    </row>
    <row r="365" customFormat="false" ht="15" hidden="false" customHeight="false" outlineLevel="0" collapsed="false">
      <c r="V365" s="17" t="n">
        <f aca="false">30+345*$W$5</f>
        <v>73.125</v>
      </c>
      <c r="W365" s="17" t="n">
        <f aca="false">-Delta_c*V365</f>
        <v>-7.40545883540479</v>
      </c>
      <c r="Y365" s="11" t="n">
        <f aca="false">(-W365/$W$5*Y364)/(Rho_a-W365/$W$5)</f>
        <v>-178.883707932662</v>
      </c>
      <c r="Z365" s="11" t="n">
        <f aca="false">IF(V365&lt;Floor_F,MAX((-(Cost_k*Ubar_c+Delay_D)*(1-EXP(-Rho_a*LN((Top_c-V365)/(Top_c-Floor_F))/Delta_c))/Rho_a+EXP(-Rho_a*LN((Top_c-V365)/(Top_c-Floor_F))/Delta_c)*(-Cost_k*Delta_c*Floor_F/Rho_a)),(-Delay_D/Rho_a)),(EXP(-Rho_a*LN(V365/Floor_F)/Delta_c)*(-Cost_k*Delta_c*Floor_F/Rho_a)))</f>
        <v>-178.791860229903</v>
      </c>
      <c r="AA365" s="22" t="n">
        <f aca="false">ABS(Y365-Z365)</f>
        <v>0.0918477027593383</v>
      </c>
      <c r="AC365" s="17" t="n">
        <f aca="false">30+345*$AD$5</f>
        <v>51.5625</v>
      </c>
      <c r="AD365" s="17" t="n">
        <f aca="false">Ubar_c-Delta_c*AC365</f>
        <v>4.90532529695617</v>
      </c>
      <c r="AE365" s="11" t="n">
        <f aca="false">(-(Cost_k*Ubar_c+Delay_D)+AD365/$AD$5*AE366)/(Rho_a+AD365/$AD$5)</f>
        <v>-268.989630702967</v>
      </c>
      <c r="AF365" s="11" t="n">
        <f aca="false">MAX(AE365,-Delay_D/Rho_a)</f>
        <v>-268.989630702967</v>
      </c>
      <c r="AG365" s="11" t="n">
        <f aca="false">IF(AC365&lt;Floor_F,MAX((-(Cost_k*Ubar_c+Delay_D)*(1-EXP(-Rho_a*LN((Top_c-AC365)/(Top_c-Floor_F))/Delta_c))/Rho_a+EXP(-Rho_a*LN((Top_c-AC365)/(Top_c-Floor_F))/Delta_c)*(-Cost_k*Delta_c*Floor_F/Rho_a)),(-Delay_D/Rho_a)),(EXP(-Rho_a*LN(AC365/Floor_F)/Delta_c)*(-Cost_k*Delta_c*Floor_F/Rho_a)))</f>
        <v>-269.033848311133</v>
      </c>
      <c r="AH365" s="22" t="n">
        <f aca="false">ABS(AF365-AG365)</f>
        <v>0.0442176081667753</v>
      </c>
    </row>
    <row r="366" customFormat="false" ht="15" hidden="false" customHeight="false" outlineLevel="0" collapsed="false">
      <c r="V366" s="17" t="n">
        <f aca="false">30+346*$W$5</f>
        <v>73.25</v>
      </c>
      <c r="W366" s="17" t="n">
        <f aca="false">-Delta_c*V366</f>
        <v>-7.41811773939694</v>
      </c>
      <c r="Y366" s="11" t="n">
        <f aca="false">(-W366/$W$5*Y365)/(Rho_a-W366/$W$5)</f>
        <v>-178.596874721728</v>
      </c>
      <c r="Z366" s="11" t="n">
        <f aca="false">IF(V366&lt;Floor_F,MAX((-(Cost_k*Ubar_c+Delay_D)*(1-EXP(-Rho_a*LN((Top_c-V366)/(Top_c-Floor_F))/Delta_c))/Rho_a+EXP(-Rho_a*LN((Top_c-V366)/(Top_c-Floor_F))/Delta_c)*(-Cost_k*Delta_c*Floor_F/Rho_a)),(-Delay_D/Rho_a)),(EXP(-Rho_a*LN(V366/Floor_F)/Delta_c)*(-Cost_k*Delta_c*Floor_F/Rho_a)))</f>
        <v>-178.50469943474</v>
      </c>
      <c r="AA366" s="22" t="n">
        <f aca="false">ABS(Y366-Z366)</f>
        <v>0.0921752869877821</v>
      </c>
      <c r="AC366" s="17" t="n">
        <f aca="false">30+346*$AD$5</f>
        <v>51.625</v>
      </c>
      <c r="AD366" s="17" t="n">
        <f aca="false">Ubar_c-Delta_c*AC366</f>
        <v>4.8989958449601</v>
      </c>
      <c r="AE366" s="11" t="n">
        <f aca="false">(-(Cost_k*Ubar_c+Delay_D)+AD366/$AD$5*AE367)/(Rho_a+AD366/$AD$5)</f>
        <v>-268.392434800177</v>
      </c>
      <c r="AF366" s="11" t="n">
        <f aca="false">MAX(AE366,-Delay_D/Rho_a)</f>
        <v>-268.392434800177</v>
      </c>
      <c r="AG366" s="11" t="n">
        <f aca="false">IF(AC366&lt;Floor_F,MAX((-(Cost_k*Ubar_c+Delay_D)*(1-EXP(-Rho_a*LN((Top_c-AC366)/(Top_c-Floor_F))/Delta_c))/Rho_a+EXP(-Rho_a*LN((Top_c-AC366)/(Top_c-Floor_F))/Delta_c)*(-Cost_k*Delta_c*Floor_F/Rho_a)),(-Delay_D/Rho_a)),(EXP(-Rho_a*LN(AC366/Floor_F)/Delta_c)*(-Cost_k*Delta_c*Floor_F/Rho_a)))</f>
        <v>-268.435957328512</v>
      </c>
      <c r="AH366" s="22" t="n">
        <f aca="false">ABS(AF366-AG366)</f>
        <v>0.043522528334961</v>
      </c>
    </row>
    <row r="367" customFormat="false" ht="15" hidden="false" customHeight="false" outlineLevel="0" collapsed="false">
      <c r="V367" s="17" t="n">
        <f aca="false">30+347*$W$5</f>
        <v>73.375</v>
      </c>
      <c r="W367" s="17" t="n">
        <f aca="false">-Delta_c*V367</f>
        <v>-7.43077664338909</v>
      </c>
      <c r="Y367" s="11" t="n">
        <f aca="false">(-W367/$W$5*Y366)/(Rho_a-W367/$W$5)</f>
        <v>-178.310988515076</v>
      </c>
      <c r="Z367" s="11" t="n">
        <f aca="false">IF(V367&lt;Floor_F,MAX((-(Cost_k*Ubar_c+Delay_D)*(1-EXP(-Rho_a*LN((Top_c-V367)/(Top_c-Floor_F))/Delta_c))/Rho_a+EXP(-Rho_a*LN((Top_c-V367)/(Top_c-Floor_F))/Delta_c)*(-Cost_k*Delta_c*Floor_F/Rho_a)),(-Delay_D/Rho_a)),(EXP(-Rho_a*LN(V367/Floor_F)/Delta_c)*(-Cost_k*Delta_c*Floor_F/Rho_a)))</f>
        <v>-178.218488293128</v>
      </c>
      <c r="AA367" s="22" t="n">
        <f aca="false">ABS(Y367-Z367)</f>
        <v>0.0925002219481428</v>
      </c>
      <c r="AC367" s="17" t="n">
        <f aca="false">30+347*$AD$5</f>
        <v>51.6875</v>
      </c>
      <c r="AD367" s="17" t="n">
        <f aca="false">Ubar_c-Delta_c*AC367</f>
        <v>4.89266639296402</v>
      </c>
      <c r="AE367" s="11" t="n">
        <f aca="false">(-(Cost_k*Ubar_c+Delay_D)+AD367/$AD$5*AE368)/(Rho_a+AD367/$AD$5)</f>
        <v>-267.793741171918</v>
      </c>
      <c r="AF367" s="11" t="n">
        <f aca="false">MAX(AE367,-Delay_D/Rho_a)</f>
        <v>-267.793741171918</v>
      </c>
      <c r="AG367" s="11" t="n">
        <f aca="false">IF(AC367&lt;Floor_F,MAX((-(Cost_k*Ubar_c+Delay_D)*(1-EXP(-Rho_a*LN((Top_c-AC367)/(Top_c-Floor_F))/Delta_c))/Rho_a+EXP(-Rho_a*LN((Top_c-AC367)/(Top_c-Floor_F))/Delta_c)*(-Cost_k*Delta_c*Floor_F/Rho_a)),(-Delay_D/Rho_a)),(EXP(-Rho_a*LN(AC367/Floor_F)/Delta_c)*(-Cost_k*Delta_c*Floor_F/Rho_a)))</f>
        <v>-267.836564994531</v>
      </c>
      <c r="AH367" s="22" t="n">
        <f aca="false">ABS(AF367-AG367)</f>
        <v>0.0428238226135136</v>
      </c>
    </row>
    <row r="368" customFormat="false" ht="15" hidden="false" customHeight="false" outlineLevel="0" collapsed="false">
      <c r="V368" s="17" t="n">
        <f aca="false">30+348*$W$5</f>
        <v>73.5</v>
      </c>
      <c r="W368" s="17" t="n">
        <f aca="false">-Delta_c*V368</f>
        <v>-7.44343554738123</v>
      </c>
      <c r="Y368" s="11" t="n">
        <f aca="false">(-W368/$W$5*Y367)/(Rho_a-W368/$W$5)</f>
        <v>-178.026044583421</v>
      </c>
      <c r="Z368" s="11" t="n">
        <f aca="false">IF(V368&lt;Floor_F,MAX((-(Cost_k*Ubar_c+Delay_D)*(1-EXP(-Rho_a*LN((Top_c-V368)/(Top_c-Floor_F))/Delta_c))/Rho_a+EXP(-Rho_a*LN((Top_c-V368)/(Top_c-Floor_F))/Delta_c)*(-Cost_k*Delta_c*Floor_F/Rho_a)),(-Delay_D/Rho_a)),(EXP(-Rho_a*LN(V368/Floor_F)/Delta_c)*(-Cost_k*Delta_c*Floor_F/Rho_a)))</f>
        <v>-177.933222054722</v>
      </c>
      <c r="AA368" s="22" t="n">
        <f aca="false">ABS(Y368-Z368)</f>
        <v>0.0928225286995712</v>
      </c>
      <c r="AC368" s="17" t="n">
        <f aca="false">30+348*$AD$5</f>
        <v>51.75</v>
      </c>
      <c r="AD368" s="17" t="n">
        <f aca="false">Ubar_c-Delta_c*AC368</f>
        <v>4.88633694096795</v>
      </c>
      <c r="AE368" s="11" t="n">
        <f aca="false">(-(Cost_k*Ubar_c+Delay_D)+AD368/$AD$5*AE369)/(Rho_a+AD368/$AD$5)</f>
        <v>-267.19354411959</v>
      </c>
      <c r="AF368" s="11" t="n">
        <f aca="false">MAX(AE368,-Delay_D/Rho_a)</f>
        <v>-267.19354411959</v>
      </c>
      <c r="AG368" s="11" t="n">
        <f aca="false">IF(AC368&lt;Floor_F,MAX((-(Cost_k*Ubar_c+Delay_D)*(1-EXP(-Rho_a*LN((Top_c-AC368)/(Top_c-Floor_F))/Delta_c))/Rho_a+EXP(-Rho_a*LN((Top_c-AC368)/(Top_c-Floor_F))/Delta_c)*(-Cost_k*Delta_c*Floor_F/Rho_a)),(-Delay_D/Rho_a)),(EXP(-Rho_a*LN(AC368/Floor_F)/Delta_c)*(-Cost_k*Delta_c*Floor_F/Rho_a)))</f>
        <v>-267.235665589615</v>
      </c>
      <c r="AH368" s="22" t="n">
        <f aca="false">ABS(AF368-AG368)</f>
        <v>0.0421214700248811</v>
      </c>
    </row>
    <row r="369" customFormat="false" ht="15" hidden="false" customHeight="false" outlineLevel="0" collapsed="false">
      <c r="V369" s="17" t="n">
        <f aca="false">30+349*$W$5</f>
        <v>73.625</v>
      </c>
      <c r="W369" s="17" t="n">
        <f aca="false">-Delta_c*V369</f>
        <v>-7.45609445137337</v>
      </c>
      <c r="Y369" s="11" t="n">
        <f aca="false">(-W369/$W$5*Y368)/(Rho_a-W369/$W$5)</f>
        <v>-177.742038229075</v>
      </c>
      <c r="Z369" s="11" t="n">
        <f aca="false">IF(V369&lt;Floor_F,MAX((-(Cost_k*Ubar_c+Delay_D)*(1-EXP(-Rho_a*LN((Top_c-V369)/(Top_c-Floor_F))/Delta_c))/Rho_a+EXP(-Rho_a*LN((Top_c-V369)/(Top_c-Floor_F))/Delta_c)*(-Cost_k*Delta_c*Floor_F/Rho_a)),(-Delay_D/Rho_a)),(EXP(-Rho_a*LN(V369/Floor_F)/Delta_c)*(-Cost_k*Delta_c*Floor_F/Rho_a)))</f>
        <v>-177.648896000967</v>
      </c>
      <c r="AA369" s="22" t="n">
        <f aca="false">ABS(Y369-Z369)</f>
        <v>0.0931422281080359</v>
      </c>
      <c r="AC369" s="17" t="n">
        <f aca="false">30+349*$AD$5</f>
        <v>51.8125</v>
      </c>
      <c r="AD369" s="17" t="n">
        <f aca="false">Ubar_c-Delta_c*AC369</f>
        <v>4.88000748897188</v>
      </c>
      <c r="AE369" s="11" t="n">
        <f aca="false">(-(Cost_k*Ubar_c+Delay_D)+AD369/$AD$5*AE370)/(Rho_a+AD369/$AD$5)</f>
        <v>-266.591837915503</v>
      </c>
      <c r="AF369" s="11" t="n">
        <f aca="false">MAX(AE369,-Delay_D/Rho_a)</f>
        <v>-266.591837915503</v>
      </c>
      <c r="AG369" s="11" t="n">
        <f aca="false">IF(AC369&lt;Floor_F,MAX((-(Cost_k*Ubar_c+Delay_D)*(1-EXP(-Rho_a*LN((Top_c-AC369)/(Top_c-Floor_F))/Delta_c))/Rho_a+EXP(-Rho_a*LN((Top_c-AC369)/(Top_c-Floor_F))/Delta_c)*(-Cost_k*Delta_c*Floor_F/Rho_a)),(-Delay_D/Rho_a)),(EXP(-Rho_a*LN(AC369/Floor_F)/Delta_c)*(-Cost_k*Delta_c*Floor_F/Rho_a)))</f>
        <v>-266.63325336495</v>
      </c>
      <c r="AH369" s="22" t="n">
        <f aca="false">ABS(AF369-AG369)</f>
        <v>0.0414154494476975</v>
      </c>
    </row>
    <row r="370" customFormat="false" ht="15" hidden="false" customHeight="false" outlineLevel="0" collapsed="false">
      <c r="V370" s="17" t="n">
        <f aca="false">30+350*$W$5</f>
        <v>73.75</v>
      </c>
      <c r="W370" s="17" t="n">
        <f aca="false">-Delta_c*V370</f>
        <v>-7.46875335536552</v>
      </c>
      <c r="Y370" s="11" t="n">
        <f aca="false">(-W370/$W$5*Y369)/(Rho_a-W370/$W$5)</f>
        <v>-177.458964785676</v>
      </c>
      <c r="Z370" s="11" t="n">
        <f aca="false">IF(V370&lt;Floor_F,MAX((-(Cost_k*Ubar_c+Delay_D)*(1-EXP(-Rho_a*LN((Top_c-V370)/(Top_c-Floor_F))/Delta_c))/Rho_a+EXP(-Rho_a*LN((Top_c-V370)/(Top_c-Floor_F))/Delta_c)*(-Cost_k*Delta_c*Floor_F/Rho_a)),(-Delay_D/Rho_a)),(EXP(-Rho_a*LN(V370/Floor_F)/Delta_c)*(-Cost_k*Delta_c*Floor_F/Rho_a)))</f>
        <v>-177.365505444827</v>
      </c>
      <c r="AA370" s="22" t="n">
        <f aca="false">ABS(Y370-Z370)</f>
        <v>0.0934593408487956</v>
      </c>
      <c r="AC370" s="17" t="n">
        <f aca="false">30+350*$AD$5</f>
        <v>51.875</v>
      </c>
      <c r="AD370" s="17" t="n">
        <f aca="false">Ubar_c-Delta_c*AC370</f>
        <v>4.87367803697581</v>
      </c>
      <c r="AE370" s="11" t="n">
        <f aca="false">(-(Cost_k*Ubar_c+Delay_D)+AD370/$AD$5*AE371)/(Rho_a+AD370/$AD$5)</f>
        <v>-265.988616802687</v>
      </c>
      <c r="AF370" s="11" t="n">
        <f aca="false">MAX(AE370,-Delay_D/Rho_a)</f>
        <v>-265.988616802687</v>
      </c>
      <c r="AG370" s="11" t="n">
        <f aca="false">IF(AC370&lt;Floor_F,MAX((-(Cost_k*Ubar_c+Delay_D)*(1-EXP(-Rho_a*LN((Top_c-AC370)/(Top_c-Floor_F))/Delta_c))/Rho_a+EXP(-Rho_a*LN((Top_c-AC370)/(Top_c-Floor_F))/Delta_c)*(-Cost_k*Delta_c*Floor_F/Rho_a)),(-Delay_D/Rho_a)),(EXP(-Rho_a*LN(AC370/Floor_F)/Delta_c)*(-Cost_k*Delta_c*Floor_F/Rho_a)))</f>
        <v>-266.029322542302</v>
      </c>
      <c r="AH370" s="22" t="n">
        <f aca="false">ABS(AF370-AG370)</f>
        <v>0.0407057396155324</v>
      </c>
    </row>
    <row r="371" customFormat="false" ht="15" hidden="false" customHeight="false" outlineLevel="0" collapsed="false">
      <c r="V371" s="17" t="n">
        <f aca="false">30+351*$W$5</f>
        <v>73.875</v>
      </c>
      <c r="W371" s="17" t="n">
        <f aca="false">-Delta_c*V371</f>
        <v>-7.48141225935767</v>
      </c>
      <c r="Y371" s="11" t="n">
        <f aca="false">(-W371/$W$5*Y370)/(Rho_a-W371/$W$5)</f>
        <v>-177.176819617933</v>
      </c>
      <c r="Z371" s="11" t="n">
        <f aca="false">IF(V371&lt;Floor_F,MAX((-(Cost_k*Ubar_c+Delay_D)*(1-EXP(-Rho_a*LN((Top_c-V371)/(Top_c-Floor_F))/Delta_c))/Rho_a+EXP(-Rho_a*LN((Top_c-V371)/(Top_c-Floor_F))/Delta_c)*(-Cost_k*Delta_c*Floor_F/Rho_a)),(-Delay_D/Rho_a)),(EXP(-Rho_a*LN(V371/Floor_F)/Delta_c)*(-Cost_k*Delta_c*Floor_F/Rho_a)))</f>
        <v>-177.083045730525</v>
      </c>
      <c r="AA371" s="22" t="n">
        <f aca="false">ABS(Y371-Z371)</f>
        <v>0.0937738874081049</v>
      </c>
      <c r="AC371" s="17" t="n">
        <f aca="false">30+351*$AD$5</f>
        <v>51.9375</v>
      </c>
      <c r="AD371" s="17" t="n">
        <f aca="false">Ubar_c-Delta_c*AC371</f>
        <v>4.86734858497973</v>
      </c>
      <c r="AE371" s="11" t="n">
        <f aca="false">(-(Cost_k*Ubar_c+Delay_D)+AD371/$AD$5*AE372)/(Rho_a+AD371/$AD$5)</f>
        <v>-265.383874994707</v>
      </c>
      <c r="AF371" s="11" t="n">
        <f aca="false">MAX(AE371,-Delay_D/Rho_a)</f>
        <v>-265.383874994707</v>
      </c>
      <c r="AG371" s="11" t="n">
        <f aca="false">IF(AC371&lt;Floor_F,MAX((-(Cost_k*Ubar_c+Delay_D)*(1-EXP(-Rho_a*LN((Top_c-AC371)/(Top_c-Floor_F))/Delta_c))/Rho_a+EXP(-Rho_a*LN((Top_c-AC371)/(Top_c-Floor_F))/Delta_c)*(-Cost_k*Delta_c*Floor_F/Rho_a)),(-Delay_D/Rho_a)),(EXP(-Rho_a*LN(AC371/Floor_F)/Delta_c)*(-Cost_k*Delta_c*Floor_F/Rho_a)))</f>
        <v>-265.423867313823</v>
      </c>
      <c r="AH371" s="22" t="n">
        <f aca="false">ABS(AF371-AG371)</f>
        <v>0.0399923191159814</v>
      </c>
    </row>
    <row r="372" customFormat="false" ht="15" hidden="false" customHeight="false" outlineLevel="0" collapsed="false">
      <c r="V372" s="17" t="n">
        <f aca="false">30+352*$W$5</f>
        <v>74</v>
      </c>
      <c r="W372" s="17" t="n">
        <f aca="false">-Delta_c*V372</f>
        <v>-7.49407116334981</v>
      </c>
      <c r="Y372" s="11" t="n">
        <f aca="false">(-W372/$W$5*Y371)/(Rho_a-W372/$W$5)</f>
        <v>-176.895598121365</v>
      </c>
      <c r="Z372" s="11" t="n">
        <f aca="false">IF(V372&lt;Floor_F,MAX((-(Cost_k*Ubar_c+Delay_D)*(1-EXP(-Rho_a*LN((Top_c-V372)/(Top_c-Floor_F))/Delta_c))/Rho_a+EXP(-Rho_a*LN((Top_c-V372)/(Top_c-Floor_F))/Delta_c)*(-Cost_k*Delta_c*Floor_F/Rho_a)),(-Delay_D/Rho_a)),(EXP(-Rho_a*LN(V372/Floor_F)/Delta_c)*(-Cost_k*Delta_c*Floor_F/Rho_a)))</f>
        <v>-176.80151223328</v>
      </c>
      <c r="AA372" s="22" t="n">
        <f aca="false">ABS(Y372-Z372)</f>
        <v>0.0940858880851749</v>
      </c>
      <c r="AC372" s="17" t="n">
        <f aca="false">30+352*$AD$5</f>
        <v>52</v>
      </c>
      <c r="AD372" s="17" t="n">
        <f aca="false">Ubar_c-Delta_c*AC372</f>
        <v>4.86101913298366</v>
      </c>
      <c r="AE372" s="11" t="n">
        <f aca="false">(-(Cost_k*Ubar_c+Delay_D)+AD372/$AD$5*AE373)/(Rho_a+AD372/$AD$5)</f>
        <v>-264.777606675472</v>
      </c>
      <c r="AF372" s="11" t="n">
        <f aca="false">MAX(AE372,-Delay_D/Rho_a)</f>
        <v>-264.777606675472</v>
      </c>
      <c r="AG372" s="11" t="n">
        <f aca="false">IF(AC372&lt;Floor_F,MAX((-(Cost_k*Ubar_c+Delay_D)*(1-EXP(-Rho_a*LN((Top_c-AC372)/(Top_c-Floor_F))/Delta_c))/Rho_a+EXP(-Rho_a*LN((Top_c-AC372)/(Top_c-Floor_F))/Delta_c)*(-Cost_k*Delta_c*Floor_F/Rho_a)),(-Delay_D/Rho_a)),(EXP(-Rho_a*LN(AC372/Floor_F)/Delta_c)*(-Cost_k*Delta_c*Floor_F/Rho_a)))</f>
        <v>-264.81688184186</v>
      </c>
      <c r="AH372" s="22" t="n">
        <f aca="false">ABS(AF372-AG372)</f>
        <v>0.0392751663889044</v>
      </c>
    </row>
    <row r="373" customFormat="false" ht="15" hidden="false" customHeight="false" outlineLevel="0" collapsed="false">
      <c r="V373" s="17" t="n">
        <f aca="false">30+353*$W$5</f>
        <v>74.125</v>
      </c>
      <c r="W373" s="17" t="n">
        <f aca="false">-Delta_c*V373</f>
        <v>-7.50673006734195</v>
      </c>
      <c r="Y373" s="11" t="n">
        <f aca="false">(-W373/$W$5*Y372)/(Rho_a-W373/$W$5)</f>
        <v>-176.615295722044</v>
      </c>
      <c r="Z373" s="11" t="n">
        <f aca="false">IF(V373&lt;Floor_F,MAX((-(Cost_k*Ubar_c+Delay_D)*(1-EXP(-Rho_a*LN((Top_c-V373)/(Top_c-Floor_F))/Delta_c))/Rho_a+EXP(-Rho_a*LN((Top_c-V373)/(Top_c-Floor_F))/Delta_c)*(-Cost_k*Delta_c*Floor_F/Rho_a)),(-Delay_D/Rho_a)),(EXP(-Rho_a*LN(V373/Floor_F)/Delta_c)*(-Cost_k*Delta_c*Floor_F/Rho_a)))</f>
        <v>-176.520900359049</v>
      </c>
      <c r="AA373" s="22" t="n">
        <f aca="false">ABS(Y373-Z373)</f>
        <v>0.0943953629945611</v>
      </c>
      <c r="AC373" s="17" t="n">
        <f aca="false">30+353*$AD$5</f>
        <v>52.0625</v>
      </c>
      <c r="AD373" s="17" t="n">
        <f aca="false">Ubar_c-Delta_c*AC373</f>
        <v>4.85468968098759</v>
      </c>
      <c r="AE373" s="11" t="n">
        <f aca="false">(-(Cost_k*Ubar_c+Delay_D)+AD373/$AD$5*AE374)/(Rho_a+AD373/$AD$5)</f>
        <v>-264.169805999044</v>
      </c>
      <c r="AF373" s="11" t="n">
        <f aca="false">MAX(AE373,-Delay_D/Rho_a)</f>
        <v>-264.169805999044</v>
      </c>
      <c r="AG373" s="11" t="n">
        <f aca="false">IF(AC373&lt;Floor_F,MAX((-(Cost_k*Ubar_c+Delay_D)*(1-EXP(-Rho_a*LN((Top_c-AC373)/(Top_c-Floor_F))/Delta_c))/Rho_a+EXP(-Rho_a*LN((Top_c-AC373)/(Top_c-Floor_F))/Delta_c)*(-Cost_k*Delta_c*Floor_F/Rho_a)),(-Delay_D/Rho_a)),(EXP(-Rho_a*LN(AC373/Floor_F)/Delta_c)*(-Cost_k*Delta_c*Floor_F/Rho_a)))</f>
        <v>-264.20836025877</v>
      </c>
      <c r="AH373" s="22" t="n">
        <f aca="false">ABS(AF373-AG373)</f>
        <v>0.0385542597260269</v>
      </c>
    </row>
    <row r="374" customFormat="false" ht="15" hidden="false" customHeight="false" outlineLevel="0" collapsed="false">
      <c r="V374" s="17" t="n">
        <f aca="false">30+354*$W$5</f>
        <v>74.25</v>
      </c>
      <c r="W374" s="17" t="n">
        <f aca="false">-Delta_c*V374</f>
        <v>-7.5193889713341</v>
      </c>
      <c r="Y374" s="11" t="n">
        <f aca="false">(-W374/$W$5*Y373)/(Rho_a-W374/$W$5)</f>
        <v>-176.335907876341</v>
      </c>
      <c r="Z374" s="11" t="n">
        <f aca="false">IF(V374&lt;Floor_F,MAX((-(Cost_k*Ubar_c+Delay_D)*(1-EXP(-Rho_a*LN((Top_c-V374)/(Top_c-Floor_F))/Delta_c))/Rho_a+EXP(-Rho_a*LN((Top_c-V374)/(Top_c-Floor_F))/Delta_c)*(-Cost_k*Delta_c*Floor_F/Rho_a)),(-Delay_D/Rho_a)),(EXP(-Rho_a*LN(V374/Floor_F)/Delta_c)*(-Cost_k*Delta_c*Floor_F/Rho_a)))</f>
        <v>-176.241205544273</v>
      </c>
      <c r="AA374" s="22" t="n">
        <f aca="false">ABS(Y374-Z374)</f>
        <v>0.0947023320676408</v>
      </c>
      <c r="AC374" s="17" t="n">
        <f aca="false">30+354*$AD$5</f>
        <v>52.125</v>
      </c>
      <c r="AD374" s="17" t="n">
        <f aca="false">Ubar_c-Delta_c*AC374</f>
        <v>4.84836022899152</v>
      </c>
      <c r="AE374" s="11" t="n">
        <f aca="false">(-(Cost_k*Ubar_c+Delay_D)+AD374/$AD$5*AE375)/(Rho_a+AD374/$AD$5)</f>
        <v>-263.560467089448</v>
      </c>
      <c r="AF374" s="11" t="n">
        <f aca="false">MAX(AE374,-Delay_D/Rho_a)</f>
        <v>-263.560467089448</v>
      </c>
      <c r="AG374" s="11" t="n">
        <f aca="false">IF(AC374&lt;Floor_F,MAX((-(Cost_k*Ubar_c+Delay_D)*(1-EXP(-Rho_a*LN((Top_c-AC374)/(Top_c-Floor_F))/Delta_c))/Rho_a+EXP(-Rho_a*LN((Top_c-AC374)/(Top_c-Floor_F))/Delta_c)*(-Cost_k*Delta_c*Floor_F/Rho_a)),(-Delay_D/Rho_a)),(EXP(-Rho_a*LN(AC374/Floor_F)/Delta_c)*(-Cost_k*Delta_c*Floor_F/Rho_a)))</f>
        <v>-263.598296666717</v>
      </c>
      <c r="AH374" s="22" t="n">
        <f aca="false">ABS(AF374-AG374)</f>
        <v>0.0378295772691217</v>
      </c>
    </row>
    <row r="375" customFormat="false" ht="15" hidden="false" customHeight="false" outlineLevel="0" collapsed="false">
      <c r="V375" s="17" t="n">
        <f aca="false">30+355*$W$5</f>
        <v>74.375</v>
      </c>
      <c r="W375" s="17" t="n">
        <f aca="false">-Delta_c*V375</f>
        <v>-7.53204787532625</v>
      </c>
      <c r="Y375" s="11" t="n">
        <f aca="false">(-W375/$W$5*Y374)/(Rho_a-W375/$W$5)</f>
        <v>-176.057430070675</v>
      </c>
      <c r="Z375" s="11" t="n">
        <f aca="false">IF(V375&lt;Floor_F,MAX((-(Cost_k*Ubar_c+Delay_D)*(1-EXP(-Rho_a*LN((Top_c-V375)/(Top_c-Floor_F))/Delta_c))/Rho_a+EXP(-Rho_a*LN((Top_c-V375)/(Top_c-Floor_F))/Delta_c)*(-Cost_k*Delta_c*Floor_F/Rho_a)),(-Delay_D/Rho_a)),(EXP(-Rho_a*LN(V375/Floor_F)/Delta_c)*(-Cost_k*Delta_c*Floor_F/Rho_a)))</f>
        <v>-175.96242325562</v>
      </c>
      <c r="AA375" s="22" t="n">
        <f aca="false">ABS(Y375-Z375)</f>
        <v>0.095006815054802</v>
      </c>
      <c r="AC375" s="17" t="n">
        <f aca="false">30+355*$AD$5</f>
        <v>52.1875</v>
      </c>
      <c r="AD375" s="17" t="n">
        <f aca="false">Ubar_c-Delta_c*AC375</f>
        <v>4.84203077699544</v>
      </c>
      <c r="AE375" s="11" t="n">
        <f aca="false">(-(Cost_k*Ubar_c+Delay_D)+AD375/$AD$5*AE376)/(Rho_a+AD375/$AD$5)</f>
        <v>-262.949584040476</v>
      </c>
      <c r="AF375" s="11" t="n">
        <f aca="false">MAX(AE375,-Delay_D/Rho_a)</f>
        <v>-262.949584040476</v>
      </c>
      <c r="AG375" s="11" t="n">
        <f aca="false">IF(AC375&lt;Floor_F,MAX((-(Cost_k*Ubar_c+Delay_D)*(1-EXP(-Rho_a*LN((Top_c-AC375)/(Top_c-Floor_F))/Delta_c))/Rho_a+EXP(-Rho_a*LN((Top_c-AC375)/(Top_c-Floor_F))/Delta_c)*(-Cost_k*Delta_c*Floor_F/Rho_a)),(-Delay_D/Rho_a)),(EXP(-Rho_a*LN(AC375/Floor_F)/Delta_c)*(-Cost_k*Delta_c*Floor_F/Rho_a)))</f>
        <v>-262.986685137485</v>
      </c>
      <c r="AH375" s="22" t="n">
        <f aca="false">ABS(AF375-AG375)</f>
        <v>0.0371010970089287</v>
      </c>
    </row>
    <row r="376" customFormat="false" ht="15" hidden="false" customHeight="false" outlineLevel="0" collapsed="false">
      <c r="V376" s="17" t="n">
        <f aca="false">30+356*$W$5</f>
        <v>74.5</v>
      </c>
      <c r="W376" s="17" t="n">
        <f aca="false">-Delta_c*V376</f>
        <v>-7.54470677931839</v>
      </c>
      <c r="Y376" s="11" t="n">
        <f aca="false">(-W376/$W$5*Y375)/(Rho_a-W376/$W$5)</f>
        <v>-175.779857821266</v>
      </c>
      <c r="Z376" s="11" t="n">
        <f aca="false">IF(V376&lt;Floor_F,MAX((-(Cost_k*Ubar_c+Delay_D)*(1-EXP(-Rho_a*LN((Top_c-V376)/(Top_c-Floor_F))/Delta_c))/Rho_a+EXP(-Rho_a*LN((Top_c-V376)/(Top_c-Floor_F))/Delta_c)*(-Cost_k*Delta_c*Floor_F/Rho_a)),(-Delay_D/Rho_a)),(EXP(-Rho_a*LN(V376/Floor_F)/Delta_c)*(-Cost_k*Delta_c*Floor_F/Rho_a)))</f>
        <v>-175.684548989739</v>
      </c>
      <c r="AA376" s="22" t="n">
        <f aca="false">ABS(Y376-Z376)</f>
        <v>0.0953088315272623</v>
      </c>
      <c r="AC376" s="17" t="n">
        <f aca="false">30+356*$AD$5</f>
        <v>52.25</v>
      </c>
      <c r="AD376" s="17" t="n">
        <f aca="false">Ubar_c-Delta_c*AC376</f>
        <v>4.83570132499937</v>
      </c>
      <c r="AE376" s="11" t="n">
        <f aca="false">(-(Cost_k*Ubar_c+Delay_D)+AD376/$AD$5*AE377)/(Rho_a+AD376/$AD$5)</f>
        <v>-262.33715091549</v>
      </c>
      <c r="AF376" s="11" t="n">
        <f aca="false">MAX(AE376,-Delay_D/Rho_a)</f>
        <v>-262.33715091549</v>
      </c>
      <c r="AG376" s="11" t="n">
        <f aca="false">IF(AC376&lt;Floor_F,MAX((-(Cost_k*Ubar_c+Delay_D)*(1-EXP(-Rho_a*LN((Top_c-AC376)/(Top_c-Floor_F))/Delta_c))/Rho_a+EXP(-Rho_a*LN((Top_c-AC376)/(Top_c-Floor_F))/Delta_c)*(-Cost_k*Delta_c*Floor_F/Rho_a)),(-Delay_D/Rho_a)),(EXP(-Rho_a*LN(AC376/Floor_F)/Delta_c)*(-Cost_k*Delta_c*Floor_F/Rho_a)))</f>
        <v>-262.373519712274</v>
      </c>
      <c r="AH376" s="22" t="n">
        <f aca="false">ABS(AF376-AG376)</f>
        <v>0.0363687967841315</v>
      </c>
    </row>
    <row r="377" customFormat="false" ht="15" hidden="false" customHeight="false" outlineLevel="0" collapsed="false">
      <c r="V377" s="17" t="n">
        <f aca="false">30+357*$W$5</f>
        <v>74.625</v>
      </c>
      <c r="W377" s="17" t="n">
        <f aca="false">-Delta_c*V377</f>
        <v>-7.55736568331053</v>
      </c>
      <c r="Y377" s="11" t="n">
        <f aca="false">(-W377/$W$5*Y376)/(Rho_a-W377/$W$5)</f>
        <v>-175.503186673887</v>
      </c>
      <c r="Z377" s="11" t="n">
        <f aca="false">IF(V377&lt;Floor_F,MAX((-(Cost_k*Ubar_c+Delay_D)*(1-EXP(-Rho_a*LN((Top_c-V377)/(Top_c-Floor_F))/Delta_c))/Rho_a+EXP(-Rho_a*LN((Top_c-V377)/(Top_c-Floor_F))/Delta_c)*(-Cost_k*Delta_c*Floor_F/Rho_a)),(-Delay_D/Rho_a)),(EXP(-Rho_a*LN(V377/Floor_F)/Delta_c)*(-Cost_k*Delta_c*Floor_F/Rho_a)))</f>
        <v>-175.407578273008</v>
      </c>
      <c r="AA377" s="22" t="n">
        <f aca="false">ABS(Y377-Z377)</f>
        <v>0.0956084008790299</v>
      </c>
      <c r="AC377" s="17" t="n">
        <f aca="false">30+357*$AD$5</f>
        <v>52.3125</v>
      </c>
      <c r="AD377" s="17" t="n">
        <f aca="false">Ubar_c-Delta_c*AC377</f>
        <v>4.8293718730033</v>
      </c>
      <c r="AE377" s="11" t="n">
        <f aca="false">(-(Cost_k*Ubar_c+Delay_D)+AD377/$AD$5*AE378)/(Rho_a+AD377/$AD$5)</f>
        <v>-261.723161747232</v>
      </c>
      <c r="AF377" s="11" t="n">
        <f aca="false">MAX(AE377,-Delay_D/Rho_a)</f>
        <v>-261.723161747232</v>
      </c>
      <c r="AG377" s="11" t="n">
        <f aca="false">IF(AC377&lt;Floor_F,MAX((-(Cost_k*Ubar_c+Delay_D)*(1-EXP(-Rho_a*LN((Top_c-AC377)/(Top_c-Floor_F))/Delta_c))/Rho_a+EXP(-Rho_a*LN((Top_c-AC377)/(Top_c-Floor_F))/Delta_c)*(-Cost_k*Delta_c*Floor_F/Rho_a)),(-Delay_D/Rho_a)),(EXP(-Rho_a*LN(AC377/Floor_F)/Delta_c)*(-Cost_k*Delta_c*Floor_F/Rho_a)))</f>
        <v>-261.758794401511</v>
      </c>
      <c r="AH377" s="22" t="n">
        <f aca="false">ABS(AF377-AG377)</f>
        <v>0.0356326542799366</v>
      </c>
    </row>
    <row r="378" customFormat="false" ht="15" hidden="false" customHeight="false" outlineLevel="0" collapsed="false">
      <c r="V378" s="17" t="n">
        <f aca="false">30+358*$W$5</f>
        <v>74.75</v>
      </c>
      <c r="W378" s="17" t="n">
        <f aca="false">-Delta_c*V378</f>
        <v>-7.57002458730268</v>
      </c>
      <c r="Y378" s="11" t="n">
        <f aca="false">(-W378/$W$5*Y377)/(Rho_a-W378/$W$5)</f>
        <v>-175.22741220362</v>
      </c>
      <c r="Z378" s="11" t="n">
        <f aca="false">IF(V378&lt;Floor_F,MAX((-(Cost_k*Ubar_c+Delay_D)*(1-EXP(-Rho_a*LN((Top_c-V378)/(Top_c-Floor_F))/Delta_c))/Rho_a+EXP(-Rho_a*LN((Top_c-V378)/(Top_c-Floor_F))/Delta_c)*(-Cost_k*Delta_c*Floor_F/Rho_a)),(-Delay_D/Rho_a)),(EXP(-Rho_a*LN(V378/Floor_F)/Delta_c)*(-Cost_k*Delta_c*Floor_F/Rho_a)))</f>
        <v>-175.131506661291</v>
      </c>
      <c r="AA378" s="22" t="n">
        <f aca="false">ABS(Y378-Z378)</f>
        <v>0.0959055423286657</v>
      </c>
      <c r="AC378" s="17" t="n">
        <f aca="false">30+358*$AD$5</f>
        <v>52.375</v>
      </c>
      <c r="AD378" s="17" t="n">
        <f aca="false">Ubar_c-Delta_c*AC378</f>
        <v>4.82304242100723</v>
      </c>
      <c r="AE378" s="11" t="n">
        <f aca="false">(-(Cost_k*Ubar_c+Delay_D)+AD378/$AD$5*AE379)/(Rho_a+AD378/$AD$5)</f>
        <v>-261.107610537616</v>
      </c>
      <c r="AF378" s="11" t="n">
        <f aca="false">MAX(AE378,-Delay_D/Rho_a)</f>
        <v>-261.107610537616</v>
      </c>
      <c r="AG378" s="11" t="n">
        <f aca="false">IF(AC378&lt;Floor_F,MAX((-(Cost_k*Ubar_c+Delay_D)*(1-EXP(-Rho_a*LN((Top_c-AC378)/(Top_c-Floor_F))/Delta_c))/Rho_a+EXP(-Rho_a*LN((Top_c-AC378)/(Top_c-Floor_F))/Delta_c)*(-Cost_k*Delta_c*Floor_F/Rho_a)),(-Delay_D/Rho_a)),(EXP(-Rho_a*LN(AC378/Floor_F)/Delta_c)*(-Cost_k*Delta_c*Floor_F/Rho_a)))</f>
        <v>-261.142503184643</v>
      </c>
      <c r="AH378" s="22" t="n">
        <f aca="false">ABS(AF378-AG378)</f>
        <v>0.034892647026993</v>
      </c>
    </row>
    <row r="379" customFormat="false" ht="15" hidden="false" customHeight="false" outlineLevel="0" collapsed="false">
      <c r="V379" s="17" t="n">
        <f aca="false">30+359*$W$5</f>
        <v>74.875</v>
      </c>
      <c r="W379" s="17" t="n">
        <f aca="false">-Delta_c*V379</f>
        <v>-7.58268349129483</v>
      </c>
      <c r="Y379" s="11" t="n">
        <f aca="false">(-W379/$W$5*Y378)/(Rho_a-W379/$W$5)</f>
        <v>-174.952530014616</v>
      </c>
      <c r="Z379" s="11" t="n">
        <f aca="false">IF(V379&lt;Floor_F,MAX((-(Cost_k*Ubar_c+Delay_D)*(1-EXP(-Rho_a*LN((Top_c-V379)/(Top_c-Floor_F))/Delta_c))/Rho_a+EXP(-Rho_a*LN((Top_c-V379)/(Top_c-Floor_F))/Delta_c)*(-Cost_k*Delta_c*Floor_F/Rho_a)),(-Delay_D/Rho_a)),(EXP(-Rho_a*LN(V379/Floor_F)/Delta_c)*(-Cost_k*Delta_c*Floor_F/Rho_a)))</f>
        <v>-174.856329739694</v>
      </c>
      <c r="AA379" s="22" t="n">
        <f aca="false">ABS(Y379-Z379)</f>
        <v>0.0962002749212161</v>
      </c>
      <c r="AC379" s="17" t="n">
        <f aca="false">30+359*$AD$5</f>
        <v>52.4375</v>
      </c>
      <c r="AD379" s="17" t="n">
        <f aca="false">Ubar_c-Delta_c*AC379</f>
        <v>4.81671296901115</v>
      </c>
      <c r="AE379" s="11" t="n">
        <f aca="false">(-(Cost_k*Ubar_c+Delay_D)+AD379/$AD$5*AE380)/(Rho_a+AD379/$AD$5)</f>
        <v>-260.490491257537</v>
      </c>
      <c r="AF379" s="11" t="n">
        <f aca="false">MAX(AE379,-Delay_D/Rho_a)</f>
        <v>-260.490491257537</v>
      </c>
      <c r="AG379" s="11" t="n">
        <f aca="false">IF(AC379&lt;Floor_F,MAX((-(Cost_k*Ubar_c+Delay_D)*(1-EXP(-Rho_a*LN((Top_c-AC379)/(Top_c-Floor_F))/Delta_c))/Rho_a+EXP(-Rho_a*LN((Top_c-AC379)/(Top_c-Floor_F))/Delta_c)*(-Cost_k*Delta_c*Floor_F/Rho_a)),(-Delay_D/Rho_a)),(EXP(-Rho_a*LN(AC379/Floor_F)/Delta_c)*(-Cost_k*Delta_c*Floor_F/Rho_a)))</f>
        <v>-260.524640009937</v>
      </c>
      <c r="AH379" s="22" t="n">
        <f aca="false">ABS(AF379-AG379)</f>
        <v>0.034148752399858</v>
      </c>
    </row>
    <row r="380" customFormat="false" ht="15" hidden="false" customHeight="false" outlineLevel="0" collapsed="false">
      <c r="V380" s="17" t="n">
        <f aca="false">30+360*$W$5</f>
        <v>75</v>
      </c>
      <c r="W380" s="17" t="n">
        <f aca="false">-Delta_c*V380</f>
        <v>-7.59534239528697</v>
      </c>
      <c r="Y380" s="11" t="n">
        <f aca="false">(-W380/$W$5*Y379)/(Rho_a-W380/$W$5)</f>
        <v>-174.678535739854</v>
      </c>
      <c r="Z380" s="11" t="n">
        <f aca="false">IF(V380&lt;Floor_F,MAX((-(Cost_k*Ubar_c+Delay_D)*(1-EXP(-Rho_a*LN((Top_c-V380)/(Top_c-Floor_F))/Delta_c))/Rho_a+EXP(-Rho_a*LN((Top_c-V380)/(Top_c-Floor_F))/Delta_c)*(-Cost_k*Delta_c*Floor_F/Rho_a)),(-Delay_D/Rho_a)),(EXP(-Rho_a*LN(V380/Floor_F)/Delta_c)*(-Cost_k*Delta_c*Floor_F/Rho_a)))</f>
        <v>-174.582043122324</v>
      </c>
      <c r="AA380" s="22" t="n">
        <f aca="false">ABS(Y380-Z380)</f>
        <v>0.0964926175300036</v>
      </c>
      <c r="AC380" s="17" t="n">
        <f aca="false">30+360*$AD$5</f>
        <v>52.5</v>
      </c>
      <c r="AD380" s="17" t="n">
        <f aca="false">Ubar_c-Delta_c*AC380</f>
        <v>4.81038351701508</v>
      </c>
      <c r="AE380" s="11" t="n">
        <f aca="false">(-(Cost_k*Ubar_c+Delay_D)+AD380/$AD$5*AE381)/(Rho_a+AD380/$AD$5)</f>
        <v>-259.871797846666</v>
      </c>
      <c r="AF380" s="11" t="n">
        <f aca="false">MAX(AE380,-Delay_D/Rho_a)</f>
        <v>-259.871797846666</v>
      </c>
      <c r="AG380" s="11" t="n">
        <f aca="false">IF(AC380&lt;Floor_F,MAX((-(Cost_k*Ubar_c+Delay_D)*(1-EXP(-Rho_a*LN((Top_c-AC380)/(Top_c-Floor_F))/Delta_c))/Rho_a+EXP(-Rho_a*LN((Top_c-AC380)/(Top_c-Floor_F))/Delta_c)*(-Cost_k*Delta_c*Floor_F/Rho_a)),(-Delay_D/Rho_a)),(EXP(-Rho_a*LN(AC380/Floor_F)/Delta_c)*(-Cost_k*Delta_c*Floor_F/Rho_a)))</f>
        <v>-259.905198794282</v>
      </c>
      <c r="AH380" s="22" t="n">
        <f aca="false">ABS(AF380-AG380)</f>
        <v>0.0334009476159167</v>
      </c>
    </row>
    <row r="381" customFormat="false" ht="15" hidden="false" customHeight="false" outlineLevel="0" collapsed="false">
      <c r="V381" s="17" t="n">
        <f aca="false">30+361*$W$5</f>
        <v>75.125</v>
      </c>
      <c r="W381" s="17" t="n">
        <f aca="false">-Delta_c*V381</f>
        <v>-7.60800129927911</v>
      </c>
      <c r="Y381" s="11" t="n">
        <f aca="false">(-W381/$W$5*Y380)/(Rho_a-W381/$W$5)</f>
        <v>-174.405425040907</v>
      </c>
      <c r="Z381" s="11" t="n">
        <f aca="false">IF(V381&lt;Floor_F,MAX((-(Cost_k*Ubar_c+Delay_D)*(1-EXP(-Rho_a*LN((Top_c-V381)/(Top_c-Floor_F))/Delta_c))/Rho_a+EXP(-Rho_a*LN((Top_c-V381)/(Top_c-Floor_F))/Delta_c)*(-Cost_k*Delta_c*Floor_F/Rho_a)),(-Delay_D/Rho_a)),(EXP(-Rho_a*LN(V381/Floor_F)/Delta_c)*(-Cost_k*Delta_c*Floor_F/Rho_a)))</f>
        <v>-174.308642452048</v>
      </c>
      <c r="AA381" s="22" t="n">
        <f aca="false">ABS(Y381-Z381)</f>
        <v>0.0967825888583604</v>
      </c>
      <c r="AC381" s="17" t="n">
        <f aca="false">30+361*$AD$5</f>
        <v>52.5625</v>
      </c>
      <c r="AD381" s="17" t="n">
        <f aca="false">Ubar_c-Delta_c*AC381</f>
        <v>4.80405406501901</v>
      </c>
      <c r="AE381" s="11" t="n">
        <f aca="false">(-(Cost_k*Ubar_c+Delay_D)+AD381/$AD$5*AE382)/(Rho_a+AD381/$AD$5)</f>
        <v>-259.251524213244</v>
      </c>
      <c r="AF381" s="11" t="n">
        <f aca="false">MAX(AE381,-Delay_D/Rho_a)</f>
        <v>-259.251524213244</v>
      </c>
      <c r="AG381" s="11" t="n">
        <f aca="false">IF(AC381&lt;Floor_F,MAX((-(Cost_k*Ubar_c+Delay_D)*(1-EXP(-Rho_a*LN((Top_c-AC381)/(Top_c-Floor_F))/Delta_c))/Rho_a+EXP(-Rho_a*LN((Top_c-AC381)/(Top_c-Floor_F))/Delta_c)*(-Cost_k*Delta_c*Floor_F/Rho_a)),(-Delay_D/Rho_a)),(EXP(-Rho_a*LN(AC381/Floor_F)/Delta_c)*(-Cost_k*Delta_c*Floor_F/Rho_a)))</f>
        <v>-259.284173422978</v>
      </c>
      <c r="AH381" s="22" t="n">
        <f aca="false">ABS(AF381-AG381)</f>
        <v>0.0326492097341884</v>
      </c>
    </row>
    <row r="382" customFormat="false" ht="15" hidden="false" customHeight="false" outlineLevel="0" collapsed="false">
      <c r="V382" s="17" t="n">
        <f aca="false">30+362*$W$5</f>
        <v>75.25</v>
      </c>
      <c r="W382" s="17" t="n">
        <f aca="false">-Delta_c*V382</f>
        <v>-7.62066020327126</v>
      </c>
      <c r="Y382" s="11" t="n">
        <f aca="false">(-W382/$W$5*Y381)/(Rho_a-W382/$W$5)</f>
        <v>-174.133193607705</v>
      </c>
      <c r="Z382" s="11" t="n">
        <f aca="false">IF(V382&lt;Floor_F,MAX((-(Cost_k*Ubar_c+Delay_D)*(1-EXP(-Rho_a*LN((Top_c-V382)/(Top_c-Floor_F))/Delta_c))/Rho_a+EXP(-Rho_a*LN((Top_c-V382)/(Top_c-Floor_F))/Delta_c)*(-Cost_k*Delta_c*Floor_F/Rho_a)),(-Delay_D/Rho_a)),(EXP(-Rho_a*LN(V382/Floor_F)/Delta_c)*(-Cost_k*Delta_c*Floor_F/Rho_a)))</f>
        <v>-174.036123400263</v>
      </c>
      <c r="AA382" s="22" t="n">
        <f aca="false">ABS(Y382-Z382)</f>
        <v>0.0970702074414191</v>
      </c>
      <c r="AC382" s="17" t="n">
        <f aca="false">30+362*$AD$5</f>
        <v>52.625</v>
      </c>
      <c r="AD382" s="17" t="n">
        <f aca="false">Ubar_c-Delta_c*AC382</f>
        <v>4.79772461302294</v>
      </c>
      <c r="AE382" s="11" t="n">
        <f aca="false">(-(Cost_k*Ubar_c+Delay_D)+AD382/$AD$5*AE383)/(Rho_a+AD382/$AD$5)</f>
        <v>-258.629664233883</v>
      </c>
      <c r="AF382" s="11" t="n">
        <f aca="false">MAX(AE382,-Delay_D/Rho_a)</f>
        <v>-258.629664233883</v>
      </c>
      <c r="AG382" s="11" t="n">
        <f aca="false">IF(AC382&lt;Floor_F,MAX((-(Cost_k*Ubar_c+Delay_D)*(1-EXP(-Rho_a*LN((Top_c-AC382)/(Top_c-Floor_F))/Delta_c))/Rho_a+EXP(-Rho_a*LN((Top_c-AC382)/(Top_c-Floor_F))/Delta_c)*(-Cost_k*Delta_c*Floor_F/Rho_a)),(-Delay_D/Rho_a)),(EXP(-Rho_a*LN(AC382/Floor_F)/Delta_c)*(-Cost_k*Delta_c*Floor_F/Rho_a)))</f>
        <v>-258.661557749537</v>
      </c>
      <c r="AH382" s="22" t="n">
        <f aca="false">ABS(AF382-AG382)</f>
        <v>0.0318935156538487</v>
      </c>
    </row>
    <row r="383" customFormat="false" ht="15" hidden="false" customHeight="false" outlineLevel="0" collapsed="false">
      <c r="V383" s="17" t="n">
        <f aca="false">30+363*$W$5</f>
        <v>75.375</v>
      </c>
      <c r="W383" s="17" t="n">
        <f aca="false">-Delta_c*V383</f>
        <v>-7.6333191072634</v>
      </c>
      <c r="Y383" s="11" t="n">
        <f aca="false">(-W383/$W$5*Y382)/(Rho_a-W383/$W$5)</f>
        <v>-173.861837158305</v>
      </c>
      <c r="Z383" s="11" t="n">
        <f aca="false">IF(V383&lt;Floor_F,MAX((-(Cost_k*Ubar_c+Delay_D)*(1-EXP(-Rho_a*LN((Top_c-V383)/(Top_c-Floor_F))/Delta_c))/Rho_a+EXP(-Rho_a*LN((Top_c-V383)/(Top_c-Floor_F))/Delta_c)*(-Cost_k*Delta_c*Floor_F/Rho_a)),(-Delay_D/Rho_a)),(EXP(-Rho_a*LN(V383/Floor_F)/Delta_c)*(-Cost_k*Delta_c*Floor_F/Rho_a)))</f>
        <v>-173.764481666657</v>
      </c>
      <c r="AA383" s="22" t="n">
        <f aca="false">ABS(Y383-Z383)</f>
        <v>0.0973554916478747</v>
      </c>
      <c r="AC383" s="17" t="n">
        <f aca="false">30+363*$AD$5</f>
        <v>52.6875</v>
      </c>
      <c r="AD383" s="17" t="n">
        <f aca="false">Ubar_c-Delta_c*AC383</f>
        <v>4.79139516102686</v>
      </c>
      <c r="AE383" s="11" t="n">
        <f aca="false">(-(Cost_k*Ubar_c+Delay_D)+AD383/$AD$5*AE384)/(Rho_a+AD383/$AD$5)</f>
        <v>-258.006211753356</v>
      </c>
      <c r="AF383" s="11" t="n">
        <f aca="false">MAX(AE383,-Delay_D/Rho_a)</f>
        <v>-258.006211753356</v>
      </c>
      <c r="AG383" s="11" t="n">
        <f aca="false">IF(AC383&lt;Floor_F,MAX((-(Cost_k*Ubar_c+Delay_D)*(1-EXP(-Rho_a*LN((Top_c-AC383)/(Top_c-Floor_F))/Delta_c))/Rho_a+EXP(-Rho_a*LN((Top_c-AC383)/(Top_c-Floor_F))/Delta_c)*(-Cost_k*Delta_c*Floor_F/Rho_a)),(-Delay_D/Rho_a)),(EXP(-Rho_a*LN(AC383/Floor_F)/Delta_c)*(-Cost_k*Delta_c*Floor_F/Rho_a)))</f>
        <v>-258.037345595469</v>
      </c>
      <c r="AH383" s="22" t="n">
        <f aca="false">ABS(AF383-AG383)</f>
        <v>0.0311338421128653</v>
      </c>
    </row>
    <row r="384" customFormat="false" ht="15" hidden="false" customHeight="false" outlineLevel="0" collapsed="false">
      <c r="V384" s="17" t="n">
        <f aca="false">30+364*$W$5</f>
        <v>75.5</v>
      </c>
      <c r="W384" s="17" t="n">
        <f aca="false">-Delta_c*V384</f>
        <v>-7.64597801125555</v>
      </c>
      <c r="Y384" s="11" t="n">
        <f aca="false">(-W384/$W$5*Y383)/(Rho_a-W384/$W$5)</f>
        <v>-173.59135143866</v>
      </c>
      <c r="Z384" s="11" t="n">
        <f aca="false">IF(V384&lt;Floor_F,MAX((-(Cost_k*Ubar_c+Delay_D)*(1-EXP(-Rho_a*LN((Top_c-V384)/(Top_c-Floor_F))/Delta_c))/Rho_a+EXP(-Rho_a*LN((Top_c-V384)/(Top_c-Floor_F))/Delta_c)*(-Cost_k*Delta_c*Floor_F/Rho_a)),(-Delay_D/Rho_a)),(EXP(-Rho_a*LN(V384/Floor_F)/Delta_c)*(-Cost_k*Delta_c*Floor_F/Rho_a)))</f>
        <v>-173.493712978978</v>
      </c>
      <c r="AA384" s="22" t="n">
        <f aca="false">ABS(Y384-Z384)</f>
        <v>0.0976384596818605</v>
      </c>
      <c r="AC384" s="17" t="n">
        <f aca="false">30+364*$AD$5</f>
        <v>52.75</v>
      </c>
      <c r="AD384" s="17" t="n">
        <f aca="false">Ubar_c-Delta_c*AC384</f>
        <v>4.78506570903079</v>
      </c>
      <c r="AE384" s="11" t="n">
        <f aca="false">(-(Cost_k*Ubar_c+Delay_D)+AD384/$AD$5*AE385)/(Rho_a+AD384/$AD$5)</f>
        <v>-257.38116058439</v>
      </c>
      <c r="AF384" s="11" t="n">
        <f aca="false">MAX(AE384,-Delay_D/Rho_a)</f>
        <v>-257.38116058439</v>
      </c>
      <c r="AG384" s="11" t="n">
        <f aca="false">IF(AC384&lt;Floor_F,MAX((-(Cost_k*Ubar_c+Delay_D)*(1-EXP(-Rho_a*LN((Top_c-AC384)/(Top_c-Floor_F))/Delta_c))/Rho_a+EXP(-Rho_a*LN((Top_c-AC384)/(Top_c-Floor_F))/Delta_c)*(-Cost_k*Delta_c*Floor_F/Rho_a)),(-Delay_D/Rho_a)),(EXP(-Rho_a*LN(AC384/Floor_F)/Delta_c)*(-Cost_k*Delta_c*Floor_F/Rho_a)))</f>
        <v>-257.411530750077</v>
      </c>
      <c r="AH384" s="22" t="n">
        <f aca="false">ABS(AF384-AG384)</f>
        <v>0.0303701656871453</v>
      </c>
    </row>
    <row r="385" customFormat="false" ht="15" hidden="false" customHeight="false" outlineLevel="0" collapsed="false">
      <c r="V385" s="17" t="n">
        <f aca="false">30+365*$W$5</f>
        <v>75.625</v>
      </c>
      <c r="W385" s="17" t="n">
        <f aca="false">-Delta_c*V385</f>
        <v>-7.65863691524769</v>
      </c>
      <c r="Y385" s="11" t="n">
        <f aca="false">(-W385/$W$5*Y384)/(Rho_a-W385/$W$5)</f>
        <v>-173.321732222393</v>
      </c>
      <c r="Z385" s="11" t="n">
        <f aca="false">IF(V385&lt;Floor_F,MAX((-(Cost_k*Ubar_c+Delay_D)*(1-EXP(-Rho_a*LN((Top_c-V385)/(Top_c-Floor_F))/Delta_c))/Rho_a+EXP(-Rho_a*LN((Top_c-V385)/(Top_c-Floor_F))/Delta_c)*(-Cost_k*Delta_c*Floor_F/Rho_a)),(-Delay_D/Rho_a)),(EXP(-Rho_a*LN(V385/Floor_F)/Delta_c)*(-Cost_k*Delta_c*Floor_F/Rho_a)))</f>
        <v>-173.223813092808</v>
      </c>
      <c r="AA385" s="22" t="n">
        <f aca="false">ABS(Y385-Z385)</f>
        <v>0.0979191295843407</v>
      </c>
      <c r="AC385" s="17" t="n">
        <f aca="false">30+365*$AD$5</f>
        <v>52.8125</v>
      </c>
      <c r="AD385" s="17" t="n">
        <f aca="false">Ubar_c-Delta_c*AC385</f>
        <v>4.77873625703472</v>
      </c>
      <c r="AE385" s="11" t="n">
        <f aca="false">(-(Cost_k*Ubar_c+Delay_D)+AD385/$AD$5*AE386)/(Rho_a+AD385/$AD$5)</f>
        <v>-256.754504507458</v>
      </c>
      <c r="AF385" s="11" t="n">
        <f aca="false">MAX(AE385,-Delay_D/Rho_a)</f>
        <v>-256.754504507458</v>
      </c>
      <c r="AG385" s="11" t="n">
        <f aca="false">IF(AC385&lt;Floor_F,MAX((-(Cost_k*Ubar_c+Delay_D)*(1-EXP(-Rho_a*LN((Top_c-AC385)/(Top_c-Floor_F))/Delta_c))/Rho_a+EXP(-Rho_a*LN((Top_c-AC385)/(Top_c-Floor_F))/Delta_c)*(-Cost_k*Delta_c*Floor_F/Rho_a)),(-Delay_D/Rho_a)),(EXP(-Rho_a*LN(AC385/Floor_F)/Delta_c)*(-Cost_k*Delta_c*Floor_F/Rho_a)))</f>
        <v>-256.784106970246</v>
      </c>
      <c r="AH385" s="22" t="n">
        <f aca="false">ABS(AF385-AG385)</f>
        <v>0.0296024627883753</v>
      </c>
    </row>
    <row r="386" customFormat="false" ht="15" hidden="false" customHeight="false" outlineLevel="0" collapsed="false">
      <c r="V386" s="17" t="n">
        <f aca="false">30+366*$W$5</f>
        <v>75.75</v>
      </c>
      <c r="W386" s="17" t="n">
        <f aca="false">-Delta_c*V386</f>
        <v>-7.67129581923984</v>
      </c>
      <c r="Y386" s="11" t="n">
        <f aca="false">(-W386/$W$5*Y385)/(Rho_a-W386/$W$5)</f>
        <v>-173.052975310569</v>
      </c>
      <c r="Z386" s="11" t="n">
        <f aca="false">IF(V386&lt;Floor_F,MAX((-(Cost_k*Ubar_c+Delay_D)*(1-EXP(-Rho_a*LN((Top_c-V386)/(Top_c-Floor_F))/Delta_c))/Rho_a+EXP(-Rho_a*LN((Top_c-V386)/(Top_c-Floor_F))/Delta_c)*(-Cost_k*Delta_c*Floor_F/Rho_a)),(-Delay_D/Rho_a)),(EXP(-Rho_a*LN(V386/Floor_F)/Delta_c)*(-Cost_k*Delta_c*Floor_F/Rho_a)))</f>
        <v>-172.954777791334</v>
      </c>
      <c r="AA386" s="22" t="n">
        <f aca="false">ABS(Y386-Z386)</f>
        <v>0.0981975192351285</v>
      </c>
      <c r="AC386" s="17" t="n">
        <f aca="false">30+366*$AD$5</f>
        <v>52.875</v>
      </c>
      <c r="AD386" s="17" t="n">
        <f aca="false">Ubar_c-Delta_c*AC386</f>
        <v>4.77240680503865</v>
      </c>
      <c r="AE386" s="11" t="n">
        <f aca="false">(-(Cost_k*Ubar_c+Delay_D)+AD386/$AD$5*AE387)/(Rho_a+AD386/$AD$5)</f>
        <v>-256.126237270566</v>
      </c>
      <c r="AF386" s="11" t="n">
        <f aca="false">MAX(AE386,-Delay_D/Rho_a)</f>
        <v>-256.126237270566</v>
      </c>
      <c r="AG386" s="11" t="n">
        <f aca="false">IF(AC386&lt;Floor_F,MAX((-(Cost_k*Ubar_c+Delay_D)*(1-EXP(-Rho_a*LN((Top_c-AC386)/(Top_c-Floor_F))/Delta_c))/Rho_a+EXP(-Rho_a*LN((Top_c-AC386)/(Top_c-Floor_F))/Delta_c)*(-Cost_k*Delta_c*Floor_F/Rho_a)),(-Delay_D/Rho_a)),(EXP(-Rho_a*LN(AC386/Floor_F)/Delta_c)*(-Cost_k*Delta_c*Floor_F/Rho_a)))</f>
        <v>-256.15506798023</v>
      </c>
      <c r="AH386" s="22" t="n">
        <f aca="false">ABS(AF386-AG386)</f>
        <v>0.0288307096636231</v>
      </c>
    </row>
    <row r="387" customFormat="false" ht="15" hidden="false" customHeight="false" outlineLevel="0" collapsed="false">
      <c r="V387" s="17" t="n">
        <f aca="false">30+367*$W$5</f>
        <v>75.875</v>
      </c>
      <c r="W387" s="17" t="n">
        <f aca="false">-Delta_c*V387</f>
        <v>-7.68395472323198</v>
      </c>
      <c r="Y387" s="11" t="n">
        <f aca="false">(-W387/$W$5*Y386)/(Rho_a-W387/$W$5)</f>
        <v>-172.785076531475</v>
      </c>
      <c r="Z387" s="11" t="n">
        <f aca="false">IF(V387&lt;Floor_F,MAX((-(Cost_k*Ubar_c+Delay_D)*(1-EXP(-Rho_a*LN((Top_c-V387)/(Top_c-Floor_F))/Delta_c))/Rho_a+EXP(-Rho_a*LN((Top_c-V387)/(Top_c-Floor_F))/Delta_c)*(-Cost_k*Delta_c*Floor_F/Rho_a)),(-Delay_D/Rho_a)),(EXP(-Rho_a*LN(V387/Floor_F)/Delta_c)*(-Cost_k*Delta_c*Floor_F/Rho_a)))</f>
        <v>-172.686602885121</v>
      </c>
      <c r="AA387" s="22" t="n">
        <f aca="false">ABS(Y387-Z387)</f>
        <v>0.0984736463543925</v>
      </c>
      <c r="AC387" s="17" t="n">
        <f aca="false">30+367*$AD$5</f>
        <v>52.9375</v>
      </c>
      <c r="AD387" s="17" t="n">
        <f aca="false">Ubar_c-Delta_c*AC387</f>
        <v>4.76607735304257</v>
      </c>
      <c r="AE387" s="11" t="n">
        <f aca="false">(-(Cost_k*Ubar_c+Delay_D)+AD387/$AD$5*AE388)/(Rho_a+AD387/$AD$5)</f>
        <v>-255.496352589041</v>
      </c>
      <c r="AF387" s="11" t="n">
        <f aca="false">MAX(AE387,-Delay_D/Rho_a)</f>
        <v>-255.496352589041</v>
      </c>
      <c r="AG387" s="11" t="n">
        <f aca="false">IF(AC387&lt;Floor_F,MAX((-(Cost_k*Ubar_c+Delay_D)*(1-EXP(-Rho_a*LN((Top_c-AC387)/(Top_c-Floor_F))/Delta_c))/Rho_a+EXP(-Rho_a*LN((Top_c-AC387)/(Top_c-Floor_F))/Delta_c)*(-Cost_k*Delta_c*Floor_F/Rho_a)),(-Delay_D/Rho_a)),(EXP(-Rho_a*LN(AC387/Floor_F)/Delta_c)*(-Cost_k*Delta_c*Floor_F/Rho_a)))</f>
        <v>-255.524407471434</v>
      </c>
      <c r="AH387" s="22" t="n">
        <f aca="false">ABS(AF387-AG387)</f>
        <v>0.0280548823931497</v>
      </c>
    </row>
    <row r="388" customFormat="false" ht="15" hidden="false" customHeight="false" outlineLevel="0" collapsed="false">
      <c r="V388" s="17" t="n">
        <f aca="false">30+368*$W$5</f>
        <v>76</v>
      </c>
      <c r="W388" s="17" t="n">
        <f aca="false">-Delta_c*V388</f>
        <v>-7.69661362722413</v>
      </c>
      <c r="Y388" s="11" t="n">
        <f aca="false">(-W388/$W$5*Y387)/(Rho_a-W388/$W$5)</f>
        <v>-172.518031740398</v>
      </c>
      <c r="Z388" s="11" t="n">
        <f aca="false">IF(V388&lt;Floor_F,MAX((-(Cost_k*Ubar_c+Delay_D)*(1-EXP(-Rho_a*LN((Top_c-V388)/(Top_c-Floor_F))/Delta_c))/Rho_a+EXP(-Rho_a*LN((Top_c-V388)/(Top_c-Floor_F))/Delta_c)*(-Cost_k*Delta_c*Floor_F/Rho_a)),(-Delay_D/Rho_a)),(EXP(-Rho_a*LN(V388/Floor_F)/Delta_c)*(-Cost_k*Delta_c*Floor_F/Rho_a)))</f>
        <v>-172.419284211894</v>
      </c>
      <c r="AA388" s="22" t="n">
        <f aca="false">ABS(Y388-Z388)</f>
        <v>0.0987475285042763</v>
      </c>
      <c r="AC388" s="17" t="n">
        <f aca="false">30+368*$AD$5</f>
        <v>53</v>
      </c>
      <c r="AD388" s="17" t="n">
        <f aca="false">Ubar_c-Delta_c*AC388</f>
        <v>4.7597479010465</v>
      </c>
      <c r="AE388" s="11" t="n">
        <f aca="false">(-(Cost_k*Ubar_c+Delay_D)+AD388/$AD$5*AE389)/(Rho_a+AD388/$AD$5)</f>
        <v>-254.864844145316</v>
      </c>
      <c r="AF388" s="11" t="n">
        <f aca="false">MAX(AE388,-Delay_D/Rho_a)</f>
        <v>-254.864844145316</v>
      </c>
      <c r="AG388" s="11" t="n">
        <f aca="false">IF(AC388&lt;Floor_F,MAX((-(Cost_k*Ubar_c+Delay_D)*(1-EXP(-Rho_a*LN((Top_c-AC388)/(Top_c-Floor_F))/Delta_c))/Rho_a+EXP(-Rho_a*LN((Top_c-AC388)/(Top_c-Floor_F))/Delta_c)*(-Cost_k*Delta_c*Floor_F/Rho_a)),(-Delay_D/Rho_a)),(EXP(-Rho_a*LN(AC388/Floor_F)/Delta_c)*(-Cost_k*Delta_c*Floor_F/Rho_a)))</f>
        <v>-254.892119102206</v>
      </c>
      <c r="AH388" s="22" t="n">
        <f aca="false">ABS(AF388-AG388)</f>
        <v>0.02727495688967</v>
      </c>
    </row>
    <row r="389" customFormat="false" ht="15" hidden="false" customHeight="false" outlineLevel="0" collapsed="false">
      <c r="V389" s="17" t="n">
        <f aca="false">30+369*$W$5</f>
        <v>76.125</v>
      </c>
      <c r="W389" s="17" t="n">
        <f aca="false">-Delta_c*V389</f>
        <v>-7.70927253121627</v>
      </c>
      <c r="Y389" s="11" t="n">
        <f aca="false">(-W389/$W$5*Y388)/(Rho_a-W389/$W$5)</f>
        <v>-172.251836819405</v>
      </c>
      <c r="Z389" s="11" t="n">
        <f aca="false">IF(V389&lt;Floor_F,MAX((-(Cost_k*Ubar_c+Delay_D)*(1-EXP(-Rho_a*LN((Top_c-V389)/(Top_c-Floor_F))/Delta_c))/Rho_a+EXP(-Rho_a*LN((Top_c-V389)/(Top_c-Floor_F))/Delta_c)*(-Cost_k*Delta_c*Floor_F/Rho_a)),(-Delay_D/Rho_a)),(EXP(-Rho_a*LN(V389/Floor_F)/Delta_c)*(-Cost_k*Delta_c*Floor_F/Rho_a)))</f>
        <v>-172.152817636315</v>
      </c>
      <c r="AA389" s="22" t="n">
        <f aca="false">ABS(Y389-Z389)</f>
        <v>0.0990191830906042</v>
      </c>
      <c r="AC389" s="17" t="n">
        <f aca="false">30+369*$AD$5</f>
        <v>53.0625</v>
      </c>
      <c r="AD389" s="17" t="n">
        <f aca="false">Ubar_c-Delta_c*AC389</f>
        <v>4.75341844905043</v>
      </c>
      <c r="AE389" s="11" t="n">
        <f aca="false">(-(Cost_k*Ubar_c+Delay_D)+AD389/$AD$5*AE390)/(Rho_a+AD389/$AD$5)</f>
        <v>-254.231705588716</v>
      </c>
      <c r="AF389" s="11" t="n">
        <f aca="false">MAX(AE389,-Delay_D/Rho_a)</f>
        <v>-254.231705588716</v>
      </c>
      <c r="AG389" s="11" t="n">
        <f aca="false">IF(AC389&lt;Floor_F,MAX((-(Cost_k*Ubar_c+Delay_D)*(1-EXP(-Rho_a*LN((Top_c-AC389)/(Top_c-Floor_F))/Delta_c))/Rho_a+EXP(-Rho_a*LN((Top_c-AC389)/(Top_c-Floor_F))/Delta_c)*(-Cost_k*Delta_c*Floor_F/Rho_a)),(-Delay_D/Rho_a)),(EXP(-Rho_a*LN(AC389/Floor_F)/Delta_c)*(-Cost_k*Delta_c*Floor_F/Rho_a)))</f>
        <v>-254.258196497613</v>
      </c>
      <c r="AH389" s="22" t="n">
        <f aca="false">ABS(AF389-AG389)</f>
        <v>0.0264909088965624</v>
      </c>
    </row>
    <row r="390" customFormat="false" ht="15" hidden="false" customHeight="false" outlineLevel="0" collapsed="false">
      <c r="V390" s="17" t="n">
        <f aca="false">30+370*$W$5</f>
        <v>76.25</v>
      </c>
      <c r="W390" s="17" t="n">
        <f aca="false">-Delta_c*V390</f>
        <v>-7.72193143520842</v>
      </c>
      <c r="Y390" s="11" t="n">
        <f aca="false">(-W390/$W$5*Y389)/(Rho_a-W390/$W$5)</f>
        <v>-171.986487677129</v>
      </c>
      <c r="Z390" s="11" t="n">
        <f aca="false">IF(V390&lt;Floor_F,MAX((-(Cost_k*Ubar_c+Delay_D)*(1-EXP(-Rho_a*LN((Top_c-V390)/(Top_c-Floor_F))/Delta_c))/Rho_a+EXP(-Rho_a*LN((Top_c-V390)/(Top_c-Floor_F))/Delta_c)*(-Cost_k*Delta_c*Floor_F/Rho_a)),(-Delay_D/Rho_a)),(EXP(-Rho_a*LN(V390/Floor_F)/Delta_c)*(-Cost_k*Delta_c*Floor_F/Rho_a)))</f>
        <v>-171.887199049764</v>
      </c>
      <c r="AA390" s="22" t="n">
        <f aca="false">ABS(Y390-Z390)</f>
        <v>0.0992886273644444</v>
      </c>
      <c r="AC390" s="17" t="n">
        <f aca="false">30+370*$AD$5</f>
        <v>53.125</v>
      </c>
      <c r="AD390" s="17" t="n">
        <f aca="false">Ubar_c-Delta_c*AC390</f>
        <v>4.74708899705436</v>
      </c>
      <c r="AE390" s="11" t="n">
        <f aca="false">(-(Cost_k*Ubar_c+Delay_D)+AD390/$AD$5*AE391)/(Rho_a+AD390/$AD$5)</f>
        <v>-253.596930535238</v>
      </c>
      <c r="AF390" s="11" t="n">
        <f aca="false">MAX(AE390,-Delay_D/Rho_a)</f>
        <v>-253.596930535238</v>
      </c>
      <c r="AG390" s="11" t="n">
        <f aca="false">IF(AC390&lt;Floor_F,MAX((-(Cost_k*Ubar_c+Delay_D)*(1-EXP(-Rho_a*LN((Top_c-AC390)/(Top_c-Floor_F))/Delta_c))/Rho_a+EXP(-Rho_a*LN((Top_c-AC390)/(Top_c-Floor_F))/Delta_c)*(-Cost_k*Delta_c*Floor_F/Rho_a)),(-Delay_D/Rho_a)),(EXP(-Rho_a*LN(AC390/Floor_F)/Delta_c)*(-Cost_k*Delta_c*Floor_F/Rho_a)))</f>
        <v>-253.622633249224</v>
      </c>
      <c r="AH390" s="22" t="n">
        <f aca="false">ABS(AF390-AG390)</f>
        <v>0.0257027139867603</v>
      </c>
    </row>
    <row r="391" customFormat="false" ht="15" hidden="false" customHeight="false" outlineLevel="0" collapsed="false">
      <c r="V391" s="17" t="n">
        <f aca="false">30+371*$W$5</f>
        <v>76.375</v>
      </c>
      <c r="W391" s="17" t="n">
        <f aca="false">-Delta_c*V391</f>
        <v>-7.73459033920056</v>
      </c>
      <c r="Y391" s="11" t="n">
        <f aca="false">(-W391/$W$5*Y390)/(Rho_a-W391/$W$5)</f>
        <v>-171.72198024855</v>
      </c>
      <c r="Z391" s="11" t="n">
        <f aca="false">IF(V391&lt;Floor_F,MAX((-(Cost_k*Ubar_c+Delay_D)*(1-EXP(-Rho_a*LN((Top_c-V391)/(Top_c-Floor_F))/Delta_c))/Rho_a+EXP(-Rho_a*LN((Top_c-V391)/(Top_c-Floor_F))/Delta_c)*(-Cost_k*Delta_c*Floor_F/Rho_a)),(-Delay_D/Rho_a)),(EXP(-Rho_a*LN(V391/Floor_F)/Delta_c)*(-Cost_k*Delta_c*Floor_F/Rho_a)))</f>
        <v>-171.622424370126</v>
      </c>
      <c r="AA391" s="22" t="n">
        <f aca="false">ABS(Y391-Z391)</f>
        <v>0.0995558784237005</v>
      </c>
      <c r="AC391" s="17" t="n">
        <f aca="false">30+371*$AD$5</f>
        <v>53.1875</v>
      </c>
      <c r="AD391" s="17" t="n">
        <f aca="false">Ubar_c-Delta_c*AC391</f>
        <v>4.74075954505828</v>
      </c>
      <c r="AE391" s="11" t="n">
        <f aca="false">(-(Cost_k*Ubar_c+Delay_D)+AD391/$AD$5*AE392)/(Rho_a+AD391/$AD$5)</f>
        <v>-252.96051256733</v>
      </c>
      <c r="AF391" s="11" t="n">
        <f aca="false">MAX(AE391,-Delay_D/Rho_a)</f>
        <v>-252.96051256733</v>
      </c>
      <c r="AG391" s="11" t="n">
        <f aca="false">IF(AC391&lt;Floor_F,MAX((-(Cost_k*Ubar_c+Delay_D)*(1-EXP(-Rho_a*LN((Top_c-AC391)/(Top_c-Floor_F))/Delta_c))/Rho_a+EXP(-Rho_a*LN((Top_c-AC391)/(Top_c-Floor_F))/Delta_c)*(-Cost_k*Delta_c*Floor_F/Rho_a)),(-Delay_D/Rho_a)),(EXP(-Rho_a*LN(AC391/Floor_F)/Delta_c)*(-Cost_k*Delta_c*Floor_F/Rho_a)))</f>
        <v>-252.985422914891</v>
      </c>
      <c r="AH391" s="22" t="n">
        <f aca="false">ABS(AF391-AG391)</f>
        <v>0.02491034756099</v>
      </c>
    </row>
    <row r="392" customFormat="false" ht="15" hidden="false" customHeight="false" outlineLevel="0" collapsed="false">
      <c r="V392" s="17" t="n">
        <f aca="false">30+372*$W$5</f>
        <v>76.5</v>
      </c>
      <c r="W392" s="17" t="n">
        <f aca="false">-Delta_c*V392</f>
        <v>-7.74724924319271</v>
      </c>
      <c r="Y392" s="11" t="n">
        <f aca="false">(-W392/$W$5*Y391)/(Rho_a-W392/$W$5)</f>
        <v>-171.458310494789</v>
      </c>
      <c r="Z392" s="11" t="n">
        <f aca="false">IF(V392&lt;Floor_F,MAX((-(Cost_k*Ubar_c+Delay_D)*(1-EXP(-Rho_a*LN((Top_c-V392)/(Top_c-Floor_F))/Delta_c))/Rho_a+EXP(-Rho_a*LN((Top_c-V392)/(Top_c-Floor_F))/Delta_c)*(-Cost_k*Delta_c*Floor_F/Rho_a)),(-Delay_D/Rho_a)),(EXP(-Rho_a*LN(V392/Floor_F)/Delta_c)*(-Cost_k*Delta_c*Floor_F/Rho_a)))</f>
        <v>-171.358489541575</v>
      </c>
      <c r="AA392" s="22" t="n">
        <f aca="false">ABS(Y392-Z392)</f>
        <v>0.0998209532148451</v>
      </c>
      <c r="AC392" s="17" t="n">
        <f aca="false">30+372*$AD$5</f>
        <v>53.25</v>
      </c>
      <c r="AD392" s="17" t="n">
        <f aca="false">Ubar_c-Delta_c*AC392</f>
        <v>4.73443009306221</v>
      </c>
      <c r="AE392" s="11" t="n">
        <f aca="false">(-(Cost_k*Ubar_c+Delay_D)+AD392/$AD$5*AE393)/(Rho_a+AD392/$AD$5)</f>
        <v>-252.322445233674</v>
      </c>
      <c r="AF392" s="11" t="n">
        <f aca="false">MAX(AE392,-Delay_D/Rho_a)</f>
        <v>-252.322445233674</v>
      </c>
      <c r="AG392" s="11" t="n">
        <f aca="false">IF(AC392&lt;Floor_F,MAX((-(Cost_k*Ubar_c+Delay_D)*(1-EXP(-Rho_a*LN((Top_c-AC392)/(Top_c-Floor_F))/Delta_c))/Rho_a+EXP(-Rho_a*LN((Top_c-AC392)/(Top_c-Floor_F))/Delta_c)*(-Cost_k*Delta_c*Floor_F/Rho_a)),(-Delay_D/Rho_a)),(EXP(-Rho_a*LN(AC392/Floor_F)/Delta_c)*(-Cost_k*Delta_c*Floor_F/Rho_a)))</f>
        <v>-252.346559018521</v>
      </c>
      <c r="AH392" s="22" t="n">
        <f aca="false">ABS(AF392-AG392)</f>
        <v>0.024113784846719</v>
      </c>
    </row>
    <row r="393" customFormat="false" ht="15" hidden="false" customHeight="false" outlineLevel="0" collapsed="false">
      <c r="V393" s="17" t="n">
        <f aca="false">30+373*$W$5</f>
        <v>76.625</v>
      </c>
      <c r="W393" s="17" t="n">
        <f aca="false">-Delta_c*V393</f>
        <v>-7.75990814718485</v>
      </c>
      <c r="Y393" s="11" t="n">
        <f aca="false">(-W393/$W$5*Y392)/(Rho_a-W393/$W$5)</f>
        <v>-171.195474402893</v>
      </c>
      <c r="Z393" s="11" t="n">
        <f aca="false">IF(V393&lt;Floor_F,MAX((-(Cost_k*Ubar_c+Delay_D)*(1-EXP(-Rho_a*LN((Top_c-V393)/(Top_c-Floor_F))/Delta_c))/Rho_a+EXP(-Rho_a*LN((Top_c-V393)/(Top_c-Floor_F))/Delta_c)*(-Cost_k*Delta_c*Floor_F/Rho_a)),(-Delay_D/Rho_a)),(EXP(-Rho_a*LN(V393/Floor_F)/Delta_c)*(-Cost_k*Delta_c*Floor_F/Rho_a)))</f>
        <v>-171.095390534359</v>
      </c>
      <c r="AA393" s="22" t="n">
        <f aca="false">ABS(Y393-Z393)</f>
        <v>0.100083868534171</v>
      </c>
      <c r="AC393" s="17" t="n">
        <f aca="false">30+373*$AD$5</f>
        <v>53.3125</v>
      </c>
      <c r="AD393" s="17" t="n">
        <f aca="false">Ubar_c-Delta_c*AC393</f>
        <v>4.72810064106614</v>
      </c>
      <c r="AE393" s="11" t="n">
        <f aca="false">(-(Cost_k*Ubar_c+Delay_D)+AD393/$AD$5*AE394)/(Rho_a+AD393/$AD$5)</f>
        <v>-251.682722048961</v>
      </c>
      <c r="AF393" s="11" t="n">
        <f aca="false">MAX(AE393,-Delay_D/Rho_a)</f>
        <v>-251.682722048961</v>
      </c>
      <c r="AG393" s="11" t="n">
        <f aca="false">IF(AC393&lt;Floor_F,MAX((-(Cost_k*Ubar_c+Delay_D)*(1-EXP(-Rho_a*LN((Top_c-AC393)/(Top_c-Floor_F))/Delta_c))/Rho_a+EXP(-Rho_a*LN((Top_c-AC393)/(Top_c-Floor_F))/Delta_c)*(-Cost_k*Delta_c*Floor_F/Rho_a)),(-Delay_D/Rho_a)),(EXP(-Rho_a*LN(AC393/Floor_F)/Delta_c)*(-Cost_k*Delta_c*Floor_F/Rho_a)))</f>
        <v>-251.706035049858</v>
      </c>
      <c r="AH393" s="22" t="n">
        <f aca="false">ABS(AF393-AG393)</f>
        <v>0.0233130008965361</v>
      </c>
    </row>
    <row r="394" customFormat="false" ht="15" hidden="false" customHeight="false" outlineLevel="0" collapsed="false">
      <c r="V394" s="17" t="n">
        <f aca="false">30+374*$W$5</f>
        <v>76.75</v>
      </c>
      <c r="W394" s="17" t="n">
        <f aca="false">-Delta_c*V394</f>
        <v>-7.772567051177</v>
      </c>
      <c r="Y394" s="11" t="n">
        <f aca="false">(-W394/$W$5*Y393)/(Rho_a-W394/$W$5)</f>
        <v>-170.933467985628</v>
      </c>
      <c r="Z394" s="11" t="n">
        <f aca="false">IF(V394&lt;Floor_F,MAX((-(Cost_k*Ubar_c+Delay_D)*(1-EXP(-Rho_a*LN((Top_c-V394)/(Top_c-Floor_F))/Delta_c))/Rho_a+EXP(-Rho_a*LN((Top_c-V394)/(Top_c-Floor_F))/Delta_c)*(-Cost_k*Delta_c*Floor_F/Rho_a)),(-Delay_D/Rho_a)),(EXP(-Rho_a*LN(V394/Floor_F)/Delta_c)*(-Cost_k*Delta_c*Floor_F/Rho_a)))</f>
        <v>-170.833123344598</v>
      </c>
      <c r="AA394" s="22" t="n">
        <f aca="false">ABS(Y394-Z394)</f>
        <v>0.100344641029665</v>
      </c>
      <c r="AC394" s="17" t="n">
        <f aca="false">30+374*$AD$5</f>
        <v>53.375</v>
      </c>
      <c r="AD394" s="17" t="n">
        <f aca="false">Ubar_c-Delta_c*AC394</f>
        <v>4.72177118907007</v>
      </c>
      <c r="AE394" s="11" t="n">
        <f aca="false">(-(Cost_k*Ubar_c+Delay_D)+AD394/$AD$5*AE395)/(Rho_a+AD394/$AD$5)</f>
        <v>-251.041336493664</v>
      </c>
      <c r="AF394" s="11" t="n">
        <f aca="false">MAX(AE394,-Delay_D/Rho_a)</f>
        <v>-251.041336493664</v>
      </c>
      <c r="AG394" s="11" t="n">
        <f aca="false">IF(AC394&lt;Floor_F,MAX((-(Cost_k*Ubar_c+Delay_D)*(1-EXP(-Rho_a*LN((Top_c-AC394)/(Top_c-Floor_F))/Delta_c))/Rho_a+EXP(-Rho_a*LN((Top_c-AC394)/(Top_c-Floor_F))/Delta_c)*(-Cost_k*Delta_c*Floor_F/Rho_a)),(-Delay_D/Rho_a)),(EXP(-Rho_a*LN(AC394/Floor_F)/Delta_c)*(-Cost_k*Delta_c*Floor_F/Rho_a)))</f>
        <v>-251.063844464251</v>
      </c>
      <c r="AH394" s="22" t="n">
        <f aca="false">ABS(AF394-AG394)</f>
        <v>0.0225079705867586</v>
      </c>
    </row>
    <row r="395" customFormat="false" ht="15" hidden="false" customHeight="false" outlineLevel="0" collapsed="false">
      <c r="V395" s="17" t="n">
        <f aca="false">30+375*$W$5</f>
        <v>76.875</v>
      </c>
      <c r="W395" s="17" t="n">
        <f aca="false">-Delta_c*V395</f>
        <v>-7.78522595516914</v>
      </c>
      <c r="Y395" s="11" t="n">
        <f aca="false">(-W395/$W$5*Y394)/(Rho_a-W395/$W$5)</f>
        <v>-170.672287281271</v>
      </c>
      <c r="Z395" s="11" t="n">
        <f aca="false">IF(V395&lt;Floor_F,MAX((-(Cost_k*Ubar_c+Delay_D)*(1-EXP(-Rho_a*LN((Top_c-V395)/(Top_c-Floor_F))/Delta_c))/Rho_a+EXP(-Rho_a*LN((Top_c-V395)/(Top_c-Floor_F))/Delta_c)*(-Cost_k*Delta_c*Floor_F/Rho_a)),(-Delay_D/Rho_a)),(EXP(-Rho_a*LN(V395/Floor_F)/Delta_c)*(-Cost_k*Delta_c*Floor_F/Rho_a)))</f>
        <v>-170.571683994069</v>
      </c>
      <c r="AA395" s="22" t="n">
        <f aca="false">ABS(Y395-Z395)</f>
        <v>0.100603287202119</v>
      </c>
      <c r="AC395" s="17" t="n">
        <f aca="false">30+375*$AD$5</f>
        <v>53.4375</v>
      </c>
      <c r="AD395" s="17" t="n">
        <f aca="false">Ubar_c-Delta_c*AC395</f>
        <v>4.71544173707399</v>
      </c>
      <c r="AE395" s="11" t="n">
        <f aca="false">(-(Cost_k*Ubar_c+Delay_D)+AD395/$AD$5*AE396)/(Rho_a+AD395/$AD$5)</f>
        <v>-250.398282013814</v>
      </c>
      <c r="AF395" s="11" t="n">
        <f aca="false">MAX(AE395,-Delay_D/Rho_a)</f>
        <v>-250.398282013814</v>
      </c>
      <c r="AG395" s="11" t="n">
        <f aca="false">IF(AC395&lt;Floor_F,MAX((-(Cost_k*Ubar_c+Delay_D)*(1-EXP(-Rho_a*LN((Top_c-AC395)/(Top_c-Floor_F))/Delta_c))/Rho_a+EXP(-Rho_a*LN((Top_c-AC395)/(Top_c-Floor_F))/Delta_c)*(-Cost_k*Delta_c*Floor_F/Rho_a)),(-Delay_D/Rho_a)),(EXP(-Rho_a*LN(AC395/Floor_F)/Delta_c)*(-Cost_k*Delta_c*Floor_F/Rho_a)))</f>
        <v>-250.41998068243</v>
      </c>
      <c r="AH395" s="22" t="n">
        <f aca="false">ABS(AF395-AG395)</f>
        <v>0.0216986686156702</v>
      </c>
    </row>
    <row r="396" customFormat="false" ht="15" hidden="false" customHeight="false" outlineLevel="0" collapsed="false">
      <c r="V396" s="17" t="n">
        <f aca="false">30+376*$W$5</f>
        <v>77</v>
      </c>
      <c r="W396" s="17" t="n">
        <f aca="false">-Delta_c*V396</f>
        <v>-7.79788485916129</v>
      </c>
      <c r="Y396" s="11" t="n">
        <f aca="false">(-W396/$W$5*Y395)/(Rho_a-W396/$W$5)</f>
        <v>-170.411928353409</v>
      </c>
      <c r="Z396" s="11" t="n">
        <f aca="false">IF(V396&lt;Floor_F,MAX((-(Cost_k*Ubar_c+Delay_D)*(1-EXP(-Rho_a*LN((Top_c-V396)/(Top_c-Floor_F))/Delta_c))/Rho_a+EXP(-Rho_a*LN((Top_c-V396)/(Top_c-Floor_F))/Delta_c)*(-Cost_k*Delta_c*Floor_F/Rho_a)),(-Delay_D/Rho_a)),(EXP(-Rho_a*LN(V396/Floor_F)/Delta_c)*(-Cost_k*Delta_c*Floor_F/Rho_a)))</f>
        <v>-170.311068530002</v>
      </c>
      <c r="AA396" s="22" t="n">
        <f aca="false">ABS(Y396-Z396)</f>
        <v>0.10085982340712</v>
      </c>
      <c r="AC396" s="17" t="n">
        <f aca="false">30+376*$AD$5</f>
        <v>53.5</v>
      </c>
      <c r="AD396" s="17" t="n">
        <f aca="false">Ubar_c-Delta_c*AC396</f>
        <v>4.70911228507792</v>
      </c>
      <c r="AE396" s="11" t="n">
        <f aca="false">(-(Cost_k*Ubar_c+Delay_D)+AD396/$AD$5*AE397)/(Rho_a+AD396/$AD$5)</f>
        <v>-249.753552020771</v>
      </c>
      <c r="AF396" s="11" t="n">
        <f aca="false">MAX(AE396,-Delay_D/Rho_a)</f>
        <v>-249.753552020771</v>
      </c>
      <c r="AG396" s="11" t="n">
        <f aca="false">IF(AC396&lt;Floor_F,MAX((-(Cost_k*Ubar_c+Delay_D)*(1-EXP(-Rho_a*LN((Top_c-AC396)/(Top_c-Floor_F))/Delta_c))/Rho_a+EXP(-Rho_a*LN((Top_c-AC396)/(Top_c-Floor_F))/Delta_c)*(-Cost_k*Delta_c*Floor_F/Rho_a)),(-Delay_D/Rho_a)),(EXP(-Rho_a*LN(AC396/Floor_F)/Delta_c)*(-Cost_k*Delta_c*Floor_F/Rho_a)))</f>
        <v>-249.774437090273</v>
      </c>
      <c r="AH396" s="22" t="n">
        <f aca="false">ABS(AF396-AG396)</f>
        <v>0.0208850695026683</v>
      </c>
    </row>
    <row r="397" customFormat="false" ht="15" hidden="false" customHeight="false" outlineLevel="0" collapsed="false">
      <c r="V397" s="17" t="n">
        <f aca="false">30+377*$W$5</f>
        <v>77.125</v>
      </c>
      <c r="W397" s="17" t="n">
        <f aca="false">-Delta_c*V397</f>
        <v>-7.81054376315343</v>
      </c>
      <c r="Y397" s="11" t="n">
        <f aca="false">(-W397/$W$5*Y396)/(Rho_a-W397/$W$5)</f>
        <v>-170.152387290735</v>
      </c>
      <c r="Z397" s="11" t="n">
        <f aca="false">IF(V397&lt;Floor_F,MAX((-(Cost_k*Ubar_c+Delay_D)*(1-EXP(-Rho_a*LN((Top_c-V397)/(Top_c-Floor_F))/Delta_c))/Rho_a+EXP(-Rho_a*LN((Top_c-V397)/(Top_c-Floor_F))/Delta_c)*(-Cost_k*Delta_c*Floor_F/Rho_a)),(-Delay_D/Rho_a)),(EXP(-Rho_a*LN(V397/Floor_F)/Delta_c)*(-Cost_k*Delta_c*Floor_F/Rho_a)))</f>
        <v>-170.051273024879</v>
      </c>
      <c r="AA397" s="22" t="n">
        <f aca="false">ABS(Y397-Z397)</f>
        <v>0.101114265856211</v>
      </c>
      <c r="AC397" s="17" t="n">
        <f aca="false">30+377*$AD$5</f>
        <v>53.5625</v>
      </c>
      <c r="AD397" s="17" t="n">
        <f aca="false">Ubar_c-Delta_c*AC397</f>
        <v>4.70278283308185</v>
      </c>
      <c r="AE397" s="11" t="n">
        <f aca="false">(-(Cost_k*Ubar_c+Delay_D)+AD397/$AD$5*AE398)/(Rho_a+AD397/$AD$5)</f>
        <v>-249.107139890992</v>
      </c>
      <c r="AF397" s="11" t="n">
        <f aca="false">MAX(AE397,-Delay_D/Rho_a)</f>
        <v>-249.107139890992</v>
      </c>
      <c r="AG397" s="11" t="n">
        <f aca="false">IF(AC397&lt;Floor_F,MAX((-(Cost_k*Ubar_c+Delay_D)*(1-EXP(-Rho_a*LN((Top_c-AC397)/(Top_c-Floor_F))/Delta_c))/Rho_a+EXP(-Rho_a*LN((Top_c-AC397)/(Top_c-Floor_F))/Delta_c)*(-Cost_k*Delta_c*Floor_F/Rho_a)),(-Delay_D/Rho_a)),(EXP(-Rho_a*LN(AC397/Floor_F)/Delta_c)*(-Cost_k*Delta_c*Floor_F/Rho_a)))</f>
        <v>-249.127207038579</v>
      </c>
      <c r="AH397" s="22" t="n">
        <f aca="false">ABS(AF397-AG397)</f>
        <v>0.0200671475861327</v>
      </c>
    </row>
    <row r="398" customFormat="false" ht="15" hidden="false" customHeight="false" outlineLevel="0" collapsed="false">
      <c r="V398" s="17" t="n">
        <f aca="false">30+378*$W$5</f>
        <v>77.25</v>
      </c>
      <c r="W398" s="17" t="n">
        <f aca="false">-Delta_c*V398</f>
        <v>-7.82320266714558</v>
      </c>
      <c r="Y398" s="11" t="n">
        <f aca="false">(-W398/$W$5*Y397)/(Rho_a-W398/$W$5)</f>
        <v>-169.893660206846</v>
      </c>
      <c r="Z398" s="11" t="n">
        <f aca="false">IF(V398&lt;Floor_F,MAX((-(Cost_k*Ubar_c+Delay_D)*(1-EXP(-Rho_a*LN((Top_c-V398)/(Top_c-Floor_F))/Delta_c))/Rho_a+EXP(-Rho_a*LN((Top_c-V398)/(Top_c-Floor_F))/Delta_c)*(-Cost_k*Delta_c*Floor_F/Rho_a)),(-Delay_D/Rho_a)),(EXP(-Rho_a*LN(V398/Floor_F)/Delta_c)*(-Cost_k*Delta_c*Floor_F/Rho_a)))</f>
        <v>-169.792293576228</v>
      </c>
      <c r="AA398" s="22" t="n">
        <f aca="false">ABS(Y398-Z398)</f>
        <v>0.101366630618315</v>
      </c>
      <c r="AC398" s="17" t="n">
        <f aca="false">30+378*$AD$5</f>
        <v>53.625</v>
      </c>
      <c r="AD398" s="17" t="n">
        <f aca="false">Ubar_c-Delta_c*AC398</f>
        <v>4.69645338108578</v>
      </c>
      <c r="AE398" s="11" t="n">
        <f aca="false">(-(Cost_k*Ubar_c+Delay_D)+AD398/$AD$5*AE399)/(Rho_a+AD398/$AD$5)</f>
        <v>-248.459038965804</v>
      </c>
      <c r="AF398" s="11" t="n">
        <f aca="false">MAX(AE398,-Delay_D/Rho_a)</f>
        <v>-248.459038965804</v>
      </c>
      <c r="AG398" s="11" t="n">
        <f aca="false">IF(AC398&lt;Floor_F,MAX((-(Cost_k*Ubar_c+Delay_D)*(1-EXP(-Rho_a*LN((Top_c-AC398)/(Top_c-Floor_F))/Delta_c))/Rho_a+EXP(-Rho_a*LN((Top_c-AC398)/(Top_c-Floor_F))/Delta_c)*(-Cost_k*Delta_c*Floor_F/Rho_a)),(-Delay_D/Rho_a)),(EXP(-Rho_a*LN(AC398/Floor_F)/Delta_c)*(-Cost_k*Delta_c*Floor_F/Rho_a)))</f>
        <v>-248.478283842826</v>
      </c>
      <c r="AH398" s="22" t="n">
        <f aca="false">ABS(AF398-AG398)</f>
        <v>0.0192448770222029</v>
      </c>
    </row>
    <row r="399" customFormat="false" ht="15" hidden="false" customHeight="false" outlineLevel="0" collapsed="false">
      <c r="V399" s="17" t="n">
        <f aca="false">30+379*$W$5</f>
        <v>77.375</v>
      </c>
      <c r="W399" s="17" t="n">
        <f aca="false">-Delta_c*V399</f>
        <v>-7.83586157113772</v>
      </c>
      <c r="Y399" s="11" t="n">
        <f aca="false">(-W399/$W$5*Y398)/(Rho_a-W399/$W$5)</f>
        <v>-169.635743240048</v>
      </c>
      <c r="Z399" s="11" t="n">
        <f aca="false">IF(V399&lt;Floor_F,MAX((-(Cost_k*Ubar_c+Delay_D)*(1-EXP(-Rho_a*LN((Top_c-V399)/(Top_c-Floor_F))/Delta_c))/Rho_a+EXP(-Rho_a*LN((Top_c-V399)/(Top_c-Floor_F))/Delta_c)*(-Cost_k*Delta_c*Floor_F/Rho_a)),(-Delay_D/Rho_a)),(EXP(-Rho_a*LN(V399/Floor_F)/Delta_c)*(-Cost_k*Delta_c*Floor_F/Rho_a)))</f>
        <v>-169.534126306426</v>
      </c>
      <c r="AA399" s="22" t="n">
        <f aca="false">ABS(Y399-Z399)</f>
        <v>0.10161693362133</v>
      </c>
      <c r="AC399" s="17" t="n">
        <f aca="false">30+379*$AD$5</f>
        <v>53.6875</v>
      </c>
      <c r="AD399" s="17" t="n">
        <f aca="false">Ubar_c-Delta_c*AC399</f>
        <v>4.6901239290897</v>
      </c>
      <c r="AE399" s="11" t="n">
        <f aca="false">(-(Cost_k*Ubar_c+Delay_D)+AD399/$AD$5*AE400)/(Rho_a+AD399/$AD$5)</f>
        <v>-247.809242551161</v>
      </c>
      <c r="AF399" s="11" t="n">
        <f aca="false">MAX(AE399,-Delay_D/Rho_a)</f>
        <v>-247.809242551161</v>
      </c>
      <c r="AG399" s="11" t="n">
        <f aca="false">IF(AC399&lt;Floor_F,MAX((-(Cost_k*Ubar_c+Delay_D)*(1-EXP(-Rho_a*LN((Top_c-AC399)/(Top_c-Floor_F))/Delta_c))/Rho_a+EXP(-Rho_a*LN((Top_c-AC399)/(Top_c-Floor_F))/Delta_c)*(-Cost_k*Delta_c*Floor_F/Rho_a)),(-Delay_D/Rho_a)),(EXP(-Rho_a*LN(AC399/Floor_F)/Delta_c)*(-Cost_k*Delta_c*Floor_F/Rho_a)))</f>
        <v>-247.827660782945</v>
      </c>
      <c r="AH399" s="22" t="n">
        <f aca="false">ABS(AF399-AG399)</f>
        <v>0.0184182317835848</v>
      </c>
    </row>
    <row r="400" customFormat="false" ht="15" hidden="false" customHeight="false" outlineLevel="0" collapsed="false">
      <c r="V400" s="17" t="n">
        <f aca="false">30+380*$W$5</f>
        <v>77.5</v>
      </c>
      <c r="W400" s="17" t="n">
        <f aca="false">-Delta_c*V400</f>
        <v>-7.84852047512987</v>
      </c>
      <c r="Y400" s="11" t="n">
        <f aca="false">(-W400/$W$5*Y399)/(Rho_a-W400/$W$5)</f>
        <v>-169.378632553154</v>
      </c>
      <c r="Z400" s="11" t="n">
        <f aca="false">IF(V400&lt;Floor_F,MAX((-(Cost_k*Ubar_c+Delay_D)*(1-EXP(-Rho_a*LN((Top_c-V400)/(Top_c-Floor_F))/Delta_c))/Rho_a+EXP(-Rho_a*LN((Top_c-V400)/(Top_c-Floor_F))/Delta_c)*(-Cost_k*Delta_c*Floor_F/Rho_a)),(-Delay_D/Rho_a)),(EXP(-Rho_a*LN(V400/Floor_F)/Delta_c)*(-Cost_k*Delta_c*Floor_F/Rho_a)))</f>
        <v>-169.276767362501</v>
      </c>
      <c r="AA400" s="22" t="n">
        <f aca="false">ABS(Y400-Z400)</f>
        <v>0.101865190653683</v>
      </c>
      <c r="AC400" s="17" t="n">
        <f aca="false">30+380*$AD$5</f>
        <v>53.75</v>
      </c>
      <c r="AD400" s="17" t="n">
        <f aca="false">Ubar_c-Delta_c*AC400</f>
        <v>4.68379447709363</v>
      </c>
      <c r="AE400" s="11" t="n">
        <f aca="false">(-(Cost_k*Ubar_c+Delay_D)+AD400/$AD$5*AE401)/(Rho_a+AD400/$AD$5)</f>
        <v>-247.157743917419</v>
      </c>
      <c r="AF400" s="11" t="n">
        <f aca="false">MAX(AE400,-Delay_D/Rho_a)</f>
        <v>-247.157743917419</v>
      </c>
      <c r="AG400" s="11" t="n">
        <f aca="false">IF(AC400&lt;Floor_F,MAX((-(Cost_k*Ubar_c+Delay_D)*(1-EXP(-Rho_a*LN((Top_c-AC400)/(Top_c-Floor_F))/Delta_c))/Rho_a+EXP(-Rho_a*LN((Top_c-AC400)/(Top_c-Floor_F))/Delta_c)*(-Cost_k*Delta_c*Floor_F/Rho_a)),(-Delay_D/Rho_a)),(EXP(-Rho_a*LN(AC400/Floor_F)/Delta_c)*(-Cost_k*Delta_c*Floor_F/Rho_a)))</f>
        <v>-247.175331103077</v>
      </c>
      <c r="AH400" s="22" t="n">
        <f aca="false">ABS(AF400-AG400)</f>
        <v>0.0175871856573622</v>
      </c>
    </row>
    <row r="401" customFormat="false" ht="15" hidden="false" customHeight="false" outlineLevel="0" collapsed="false">
      <c r="V401" s="17" t="n">
        <f aca="false">30+381*$W$5</f>
        <v>77.625</v>
      </c>
      <c r="W401" s="17" t="n">
        <f aca="false">-Delta_c*V401</f>
        <v>-7.86117937912201</v>
      </c>
      <c r="Y401" s="11" t="n">
        <f aca="false">(-W401/$W$5*Y400)/(Rho_a-W401/$W$5)</f>
        <v>-169.122324333297</v>
      </c>
      <c r="Z401" s="11" t="n">
        <f aca="false">IF(V401&lt;Floor_F,MAX((-(Cost_k*Ubar_c+Delay_D)*(1-EXP(-Rho_a*LN((Top_c-V401)/(Top_c-Floor_F))/Delta_c))/Rho_a+EXP(-Rho_a*LN((Top_c-V401)/(Top_c-Floor_F))/Delta_c)*(-Cost_k*Delta_c*Floor_F/Rho_a)),(-Delay_D/Rho_a)),(EXP(-Rho_a*LN(V401/Floor_F)/Delta_c)*(-Cost_k*Delta_c*Floor_F/Rho_a)))</f>
        <v>-169.020212915932</v>
      </c>
      <c r="AA401" s="22" t="n">
        <f aca="false">ABS(Y401-Z401)</f>
        <v>0.102111417365421</v>
      </c>
      <c r="AC401" s="17" t="n">
        <f aca="false">30+381*$AD$5</f>
        <v>53.8125</v>
      </c>
      <c r="AD401" s="17" t="n">
        <f aca="false">Ubar_c-Delta_c*AC401</f>
        <v>4.67746502509756</v>
      </c>
      <c r="AE401" s="11" t="n">
        <f aca="false">(-(Cost_k*Ubar_c+Delay_D)+AD401/$AD$5*AE402)/(Rho_a+AD401/$AD$5)</f>
        <v>-246.504536299089</v>
      </c>
      <c r="AF401" s="11" t="n">
        <f aca="false">MAX(AE401,-Delay_D/Rho_a)</f>
        <v>-246.504536299089</v>
      </c>
      <c r="AG401" s="11" t="n">
        <f aca="false">IF(AC401&lt;Floor_F,MAX((-(Cost_k*Ubar_c+Delay_D)*(1-EXP(-Rho_a*LN((Top_c-AC401)/(Top_c-Floor_F))/Delta_c))/Rho_a+EXP(-Rho_a*LN((Top_c-AC401)/(Top_c-Floor_F))/Delta_c)*(-Cost_k*Delta_c*Floor_F/Rho_a)),(-Delay_D/Rho_a)),(EXP(-Rho_a*LN(AC401/Floor_F)/Delta_c)*(-Cost_k*Delta_c*Floor_F/Rho_a)))</f>
        <v>-246.521288011333</v>
      </c>
      <c r="AH401" s="22" t="n">
        <f aca="false">ABS(AF401-AG401)</f>
        <v>0.0167517122438028</v>
      </c>
    </row>
    <row r="402" customFormat="false" ht="15" hidden="false" customHeight="false" outlineLevel="0" collapsed="false">
      <c r="V402" s="17" t="n">
        <f aca="false">30+382*$W$5</f>
        <v>77.75</v>
      </c>
      <c r="W402" s="17" t="n">
        <f aca="false">-Delta_c*V402</f>
        <v>-7.87383828311416</v>
      </c>
      <c r="Y402" s="11" t="n">
        <f aca="false">(-W402/$W$5*Y401)/(Rho_a-W402/$W$5)</f>
        <v>-168.866814791729</v>
      </c>
      <c r="Z402" s="11" t="n">
        <f aca="false">IF(V402&lt;Floor_F,MAX((-(Cost_k*Ubar_c+Delay_D)*(1-EXP(-Rho_a*LN((Top_c-V402)/(Top_c-Floor_F))/Delta_c))/Rho_a+EXP(-Rho_a*LN((Top_c-V402)/(Top_c-Floor_F))/Delta_c)*(-Cost_k*Delta_c*Floor_F/Rho_a)),(-Delay_D/Rho_a)),(EXP(-Rho_a*LN(V402/Floor_F)/Delta_c)*(-Cost_k*Delta_c*Floor_F/Rho_a)))</f>
        <v>-168.764459162459</v>
      </c>
      <c r="AA402" s="22" t="n">
        <f aca="false">ABS(Y402-Z402)</f>
        <v>0.102355629269766</v>
      </c>
      <c r="AC402" s="17" t="n">
        <f aca="false">30+382*$AD$5</f>
        <v>53.875</v>
      </c>
      <c r="AD402" s="17" t="n">
        <f aca="false">Ubar_c-Delta_c*AC402</f>
        <v>4.67113557310149</v>
      </c>
      <c r="AE402" s="11" t="n">
        <f aca="false">(-(Cost_k*Ubar_c+Delay_D)+AD402/$AD$5*AE403)/(Rho_a+AD402/$AD$5)</f>
        <v>-245.849612894603</v>
      </c>
      <c r="AF402" s="11" t="n">
        <f aca="false">MAX(AE402,-Delay_D/Rho_a)</f>
        <v>-245.849612894603</v>
      </c>
      <c r="AG402" s="11" t="n">
        <f aca="false">IF(AC402&lt;Floor_F,MAX((-(Cost_k*Ubar_c+Delay_D)*(1-EXP(-Rho_a*LN((Top_c-AC402)/(Top_c-Floor_F))/Delta_c))/Rho_a+EXP(-Rho_a*LN((Top_c-AC402)/(Top_c-Floor_F))/Delta_c)*(-Cost_k*Delta_c*Floor_F/Rho_a)),(-Delay_D/Rho_a)),(EXP(-Rho_a*LN(AC402/Floor_F)/Delta_c)*(-Cost_k*Delta_c*Floor_F/Rho_a)))</f>
        <v>-245.865524679558</v>
      </c>
      <c r="AH402" s="22" t="n">
        <f aca="false">ABS(AF402-AG402)</f>
        <v>0.0159117849545964</v>
      </c>
    </row>
    <row r="403" customFormat="false" ht="15" hidden="false" customHeight="false" outlineLevel="0" collapsed="false">
      <c r="V403" s="17" t="n">
        <f aca="false">30+383*$W$5</f>
        <v>77.875</v>
      </c>
      <c r="W403" s="17" t="n">
        <f aca="false">-Delta_c*V403</f>
        <v>-7.8864971871063</v>
      </c>
      <c r="Y403" s="11" t="n">
        <f aca="false">(-W403/$W$5*Y402)/(Rho_a-W403/$W$5)</f>
        <v>-168.612100163636</v>
      </c>
      <c r="Z403" s="11" t="n">
        <f aca="false">IF(V403&lt;Floor_F,MAX((-(Cost_k*Ubar_c+Delay_D)*(1-EXP(-Rho_a*LN((Top_c-V403)/(Top_c-Floor_F))/Delta_c))/Rho_a+EXP(-Rho_a*LN((Top_c-V403)/(Top_c-Floor_F))/Delta_c)*(-Cost_k*Delta_c*Floor_F/Rho_a)),(-Delay_D/Rho_a)),(EXP(-Rho_a*LN(V403/Floor_F)/Delta_c)*(-Cost_k*Delta_c*Floor_F/Rho_a)))</f>
        <v>-168.509502321891</v>
      </c>
      <c r="AA403" s="22" t="n">
        <f aca="false">ABS(Y403-Z403)</f>
        <v>0.102597841744711</v>
      </c>
      <c r="AC403" s="17" t="n">
        <f aca="false">30+383*$AD$5</f>
        <v>53.9375</v>
      </c>
      <c r="AD403" s="17" t="n">
        <f aca="false">Ubar_c-Delta_c*AC403</f>
        <v>4.66480612110541</v>
      </c>
      <c r="AE403" s="11" t="n">
        <f aca="false">(-(Cost_k*Ubar_c+Delay_D)+AD403/$AD$5*AE404)/(Rho_a+AD403/$AD$5)</f>
        <v>-245.19296686607</v>
      </c>
      <c r="AF403" s="11" t="n">
        <f aca="false">MAX(AE403,-Delay_D/Rho_a)</f>
        <v>-245.19296686607</v>
      </c>
      <c r="AG403" s="11" t="n">
        <f aca="false">IF(AC403&lt;Floor_F,MAX((-(Cost_k*Ubar_c+Delay_D)*(1-EXP(-Rho_a*LN((Top_c-AC403)/(Top_c-Floor_F))/Delta_c))/Rho_a+EXP(-Rho_a*LN((Top_c-AC403)/(Top_c-Floor_F))/Delta_c)*(-Cost_k*Delta_c*Floor_F/Rho_a)),(-Delay_D/Rho_a)),(EXP(-Rho_a*LN(AC403/Floor_F)/Delta_c)*(-Cost_k*Delta_c*Floor_F/Rho_a)))</f>
        <v>-245.208034243082</v>
      </c>
      <c r="AH403" s="22" t="n">
        <f aca="false">ABS(AF403-AG403)</f>
        <v>0.0150673770118601</v>
      </c>
    </row>
    <row r="404" customFormat="false" ht="15" hidden="false" customHeight="false" outlineLevel="0" collapsed="false">
      <c r="V404" s="17" t="n">
        <f aca="false">30+384*$W$5</f>
        <v>78</v>
      </c>
      <c r="W404" s="17" t="n">
        <f aca="false">-Delta_c*V404</f>
        <v>-7.89915609109845</v>
      </c>
      <c r="Y404" s="11" t="n">
        <f aca="false">(-W404/$W$5*Y403)/(Rho_a-W404/$W$5)</f>
        <v>-168.358176707945</v>
      </c>
      <c r="Z404" s="11" t="n">
        <f aca="false">IF(V404&lt;Floor_F,MAX((-(Cost_k*Ubar_c+Delay_D)*(1-EXP(-Rho_a*LN((Top_c-V404)/(Top_c-Floor_F))/Delta_c))/Rho_a+EXP(-Rho_a*LN((Top_c-V404)/(Top_c-Floor_F))/Delta_c)*(-Cost_k*Delta_c*Floor_F/Rho_a)),(-Delay_D/Rho_a)),(EXP(-Rho_a*LN(V404/Floor_F)/Delta_c)*(-Cost_k*Delta_c*Floor_F/Rho_a)))</f>
        <v>-168.255338637911</v>
      </c>
      <c r="AA404" s="22" t="n">
        <f aca="false">ABS(Y404-Z404)</f>
        <v>0.102838070033954</v>
      </c>
      <c r="AC404" s="17" t="n">
        <f aca="false">30+384*$AD$5</f>
        <v>54</v>
      </c>
      <c r="AD404" s="17" t="n">
        <f aca="false">Ubar_c-Delta_c*AC404</f>
        <v>4.65847666910934</v>
      </c>
      <c r="AE404" s="11" t="n">
        <f aca="false">(-(Cost_k*Ubar_c+Delay_D)+AD404/$AD$5*AE405)/(Rho_a+AD404/$AD$5)</f>
        <v>-244.534591339034</v>
      </c>
      <c r="AF404" s="11" t="n">
        <f aca="false">MAX(AE404,-Delay_D/Rho_a)</f>
        <v>-244.534591339034</v>
      </c>
      <c r="AG404" s="11" t="n">
        <f aca="false">IF(AC404&lt;Floor_F,MAX((-(Cost_k*Ubar_c+Delay_D)*(1-EXP(-Rho_a*LN((Top_c-AC404)/(Top_c-Floor_F))/Delta_c))/Rho_a+EXP(-Rho_a*LN((Top_c-AC404)/(Top_c-Floor_F))/Delta_c)*(-Cost_k*Delta_c*Floor_F/Rho_a)),(-Delay_D/Rho_a)),(EXP(-Rho_a*LN(AC404/Floor_F)/Delta_c)*(-Cost_k*Delta_c*Floor_F/Rho_a)))</f>
        <v>-244.548809800479</v>
      </c>
      <c r="AH404" s="22" t="n">
        <f aca="false">ABS(AF404-AG404)</f>
        <v>0.0142184614456085</v>
      </c>
    </row>
    <row r="405" customFormat="false" ht="15" hidden="false" customHeight="false" outlineLevel="0" collapsed="false">
      <c r="V405" s="17" t="n">
        <f aca="false">30+385*$W$5</f>
        <v>78.125</v>
      </c>
      <c r="W405" s="17" t="n">
        <f aca="false">-Delta_c*V405</f>
        <v>-7.91181499509059</v>
      </c>
      <c r="Y405" s="11" t="n">
        <f aca="false">(-W405/$W$5*Y404)/(Rho_a-W405/$W$5)</f>
        <v>-168.105040707139</v>
      </c>
      <c r="Z405" s="11" t="n">
        <f aca="false">IF(V405&lt;Floor_F,MAX((-(Cost_k*Ubar_c+Delay_D)*(1-EXP(-Rho_a*LN((Top_c-V405)/(Top_c-Floor_F))/Delta_c))/Rho_a+EXP(-Rho_a*LN((Top_c-V405)/(Top_c-Floor_F))/Delta_c)*(-Cost_k*Delta_c*Floor_F/Rho_a)),(-Delay_D/Rho_a)),(EXP(-Rho_a*LN(V405/Floor_F)/Delta_c)*(-Cost_k*Delta_c*Floor_F/Rho_a)))</f>
        <v>-168.00196437789</v>
      </c>
      <c r="AA405" s="22" t="n">
        <f aca="false">ABS(Y405-Z405)</f>
        <v>0.103076329248609</v>
      </c>
      <c r="AC405" s="17" t="n">
        <f aca="false">30+385*$AD$5</f>
        <v>54.0625</v>
      </c>
      <c r="AD405" s="17" t="n">
        <f aca="false">Ubar_c-Delta_c*AC405</f>
        <v>4.65214721711327</v>
      </c>
      <c r="AE405" s="11" t="n">
        <f aca="false">(-(Cost_k*Ubar_c+Delay_D)+AD405/$AD$5*AE406)/(Rho_a+AD405/$AD$5)</f>
        <v>-243.874479402225</v>
      </c>
      <c r="AF405" s="11" t="n">
        <f aca="false">MAX(AE405,-Delay_D/Rho_a)</f>
        <v>-243.874479402225</v>
      </c>
      <c r="AG405" s="11" t="n">
        <f aca="false">IF(AC405&lt;Floor_F,MAX((-(Cost_k*Ubar_c+Delay_D)*(1-EXP(-Rho_a*LN((Top_c-AC405)/(Top_c-Floor_F))/Delta_c))/Rho_a+EXP(-Rho_a*LN((Top_c-AC405)/(Top_c-Floor_F))/Delta_c)*(-Cost_k*Delta_c*Floor_F/Rho_a)),(-Delay_D/Rho_a)),(EXP(-Rho_a*LN(AC405/Floor_F)/Delta_c)*(-Cost_k*Delta_c*Floor_F/Rho_a)))</f>
        <v>-243.887844413318</v>
      </c>
      <c r="AH405" s="22" t="n">
        <f aca="false">ABS(AF405-AG405)</f>
        <v>0.0133650110930148</v>
      </c>
    </row>
    <row r="406" customFormat="false" ht="15" hidden="false" customHeight="false" outlineLevel="0" collapsed="false">
      <c r="V406" s="17" t="n">
        <f aca="false">30+386*$W$5</f>
        <v>78.25</v>
      </c>
      <c r="W406" s="17" t="n">
        <f aca="false">-Delta_c*V406</f>
        <v>-7.92447389908274</v>
      </c>
      <c r="Y406" s="11" t="n">
        <f aca="false">(-W406/$W$5*Y405)/(Rho_a-W406/$W$5)</f>
        <v>-167.852688467069</v>
      </c>
      <c r="Z406" s="11" t="n">
        <f aca="false">IF(V406&lt;Floor_F,MAX((-(Cost_k*Ubar_c+Delay_D)*(1-EXP(-Rho_a*LN((Top_c-V406)/(Top_c-Floor_F))/Delta_c))/Rho_a+EXP(-Rho_a*LN((Top_c-V406)/(Top_c-Floor_F))/Delta_c)*(-Cost_k*Delta_c*Floor_F/Rho_a)),(-Delay_D/Rho_a)),(EXP(-Rho_a*LN(V406/Floor_F)/Delta_c)*(-Cost_k*Delta_c*Floor_F/Rho_a)))</f>
        <v>-167.749375832701</v>
      </c>
      <c r="AA406" s="22" t="n">
        <f aca="false">ABS(Y406-Z406)</f>
        <v>0.103312634368422</v>
      </c>
      <c r="AC406" s="17" t="n">
        <f aca="false">30+386*$AD$5</f>
        <v>54.125</v>
      </c>
      <c r="AD406" s="17" t="n">
        <f aca="false">Ubar_c-Delta_c*AC406</f>
        <v>4.6458177651172</v>
      </c>
      <c r="AE406" s="11" t="n">
        <f aca="false">(-(Cost_k*Ubar_c+Delay_D)+AD406/$AD$5*AE407)/(Rho_a+AD406/$AD$5)</f>
        <v>-243.212624107318</v>
      </c>
      <c r="AF406" s="11" t="n">
        <f aca="false">MAX(AE406,-Delay_D/Rho_a)</f>
        <v>-243.212624107318</v>
      </c>
      <c r="AG406" s="11" t="n">
        <f aca="false">IF(AC406&lt;Floor_F,MAX((-(Cost_k*Ubar_c+Delay_D)*(1-EXP(-Rho_a*LN((Top_c-AC406)/(Top_c-Floor_F))/Delta_c))/Rho_a+EXP(-Rho_a*LN((Top_c-AC406)/(Top_c-Floor_F))/Delta_c)*(-Cost_k*Delta_c*Floor_F/Rho_a)),(-Delay_D/Rho_a)),(EXP(-Rho_a*LN(AC406/Floor_F)/Delta_c)*(-Cost_k*Delta_c*Floor_F/Rho_a)))</f>
        <v>-243.225131105914</v>
      </c>
      <c r="AH406" s="22" t="n">
        <f aca="false">ABS(AF406-AG406)</f>
        <v>0.0125069985961375</v>
      </c>
    </row>
    <row r="407" customFormat="false" ht="15" hidden="false" customHeight="false" outlineLevel="0" collapsed="false">
      <c r="V407" s="17" t="n">
        <f aca="false">30+387*$W$5</f>
        <v>78.375</v>
      </c>
      <c r="W407" s="17" t="n">
        <f aca="false">-Delta_c*V407</f>
        <v>-7.93713280307488</v>
      </c>
      <c r="Y407" s="11" t="n">
        <f aca="false">(-W407/$W$5*Y406)/(Rho_a-W407/$W$5)</f>
        <v>-167.601116316774</v>
      </c>
      <c r="Z407" s="11" t="n">
        <f aca="false">IF(V407&lt;Floor_F,MAX((-(Cost_k*Ubar_c+Delay_D)*(1-EXP(-Rho_a*LN((Top_c-V407)/(Top_c-Floor_F))/Delta_c))/Rho_a+EXP(-Rho_a*LN((Top_c-V407)/(Top_c-Floor_F))/Delta_c)*(-Cost_k*Delta_c*Floor_F/Rho_a)),(-Delay_D/Rho_a)),(EXP(-Rho_a*LN(V407/Floor_F)/Delta_c)*(-Cost_k*Delta_c*Floor_F/Rho_a)))</f>
        <v>-167.497569316531</v>
      </c>
      <c r="AA407" s="22" t="n">
        <f aca="false">ABS(Y407-Z407)</f>
        <v>0.103547000243026</v>
      </c>
      <c r="AC407" s="17" t="n">
        <f aca="false">30+387*$AD$5</f>
        <v>54.1875</v>
      </c>
      <c r="AD407" s="17" t="n">
        <f aca="false">Ubar_c-Delta_c*AC407</f>
        <v>4.63948831312113</v>
      </c>
      <c r="AE407" s="11" t="n">
        <f aca="false">(-(Cost_k*Ubar_c+Delay_D)+AD407/$AD$5*AE408)/(Rho_a+AD407/$AD$5)</f>
        <v>-242.549018468677</v>
      </c>
      <c r="AF407" s="11" t="n">
        <f aca="false">MAX(AE407,-Delay_D/Rho_a)</f>
        <v>-242.549018468677</v>
      </c>
      <c r="AG407" s="11" t="n">
        <f aca="false">IF(AC407&lt;Floor_F,MAX((-(Cost_k*Ubar_c+Delay_D)*(1-EXP(-Rho_a*LN((Top_c-AC407)/(Top_c-Floor_F))/Delta_c))/Rho_a+EXP(-Rho_a*LN((Top_c-AC407)/(Top_c-Floor_F))/Delta_c)*(-Cost_k*Delta_c*Floor_F/Rho_a)),(-Delay_D/Rho_a)),(EXP(-Rho_a*LN(AC407/Floor_F)/Delta_c)*(-Cost_k*Delta_c*Floor_F/Rho_a)))</f>
        <v>-242.560662865078</v>
      </c>
      <c r="AH407" s="22" t="n">
        <f aca="false">ABS(AF407-AG407)</f>
        <v>0.0116443964007829</v>
      </c>
    </row>
    <row r="408" customFormat="false" ht="15" hidden="false" customHeight="false" outlineLevel="0" collapsed="false">
      <c r="V408" s="17" t="n">
        <f aca="false">30+388*$W$5</f>
        <v>78.5</v>
      </c>
      <c r="W408" s="17" t="n">
        <f aca="false">-Delta_c*V408</f>
        <v>-7.94979170706703</v>
      </c>
      <c r="Y408" s="11" t="n">
        <f aca="false">(-W408/$W$5*Y407)/(Rho_a-W408/$W$5)</f>
        <v>-167.350320608295</v>
      </c>
      <c r="Z408" s="11" t="n">
        <f aca="false">IF(V408&lt;Floor_F,MAX((-(Cost_k*Ubar_c+Delay_D)*(1-EXP(-Rho_a*LN((Top_c-V408)/(Top_c-Floor_F))/Delta_c))/Rho_a+EXP(-Rho_a*LN((Top_c-V408)/(Top_c-Floor_F))/Delta_c)*(-Cost_k*Delta_c*Floor_F/Rho_a)),(-Delay_D/Rho_a)),(EXP(-Rho_a*LN(V408/Floor_F)/Delta_c)*(-Cost_k*Delta_c*Floor_F/Rho_a)))</f>
        <v>-167.246541166702</v>
      </c>
      <c r="AA408" s="22" t="n">
        <f aca="false">ABS(Y408-Z408)</f>
        <v>0.103779441593332</v>
      </c>
      <c r="AC408" s="17" t="n">
        <f aca="false">30+388*$AD$5</f>
        <v>54.25</v>
      </c>
      <c r="AD408" s="17" t="n">
        <f aca="false">Ubar_c-Delta_c*AC408</f>
        <v>4.63315886112505</v>
      </c>
      <c r="AE408" s="11" t="n">
        <f aca="false">(-(Cost_k*Ubar_c+Delay_D)+AD408/$AD$5*AE409)/(Rho_a+AD408/$AD$5)</f>
        <v>-241.883655463106</v>
      </c>
      <c r="AF408" s="11" t="n">
        <f aca="false">MAX(AE408,-Delay_D/Rho_a)</f>
        <v>-241.883655463106</v>
      </c>
      <c r="AG408" s="11" t="n">
        <f aca="false">IF(AC408&lt;Floor_F,MAX((-(Cost_k*Ubar_c+Delay_D)*(1-EXP(-Rho_a*LN((Top_c-AC408)/(Top_c-Floor_F))/Delta_c))/Rho_a+EXP(-Rho_a*LN((Top_c-AC408)/(Top_c-Floor_F))/Delta_c)*(-Cost_k*Delta_c*Floor_F/Rho_a)),(-Delay_D/Rho_a)),(EXP(-Rho_a*LN(AC408/Floor_F)/Delta_c)*(-Cost_k*Delta_c*Floor_F/Rho_a)))</f>
        <v>-241.894432639861</v>
      </c>
      <c r="AH408" s="22" t="n">
        <f aca="false">ABS(AF408-AG408)</f>
        <v>0.0107771767544875</v>
      </c>
    </row>
    <row r="409" customFormat="false" ht="15" hidden="false" customHeight="false" outlineLevel="0" collapsed="false">
      <c r="V409" s="17" t="n">
        <f aca="false">30+389*$W$5</f>
        <v>78.625</v>
      </c>
      <c r="W409" s="17" t="n">
        <f aca="false">-Delta_c*V409</f>
        <v>-7.96245061105917</v>
      </c>
      <c r="Y409" s="11" t="n">
        <f aca="false">(-W409/$W$5*Y408)/(Rho_a-W409/$W$5)</f>
        <v>-167.100297716496</v>
      </c>
      <c r="Z409" s="11" t="n">
        <f aca="false">IF(V409&lt;Floor_F,MAX((-(Cost_k*Ubar_c+Delay_D)*(1-EXP(-Rho_a*LN((Top_c-V409)/(Top_c-Floor_F))/Delta_c))/Rho_a+EXP(-Rho_a*LN((Top_c-V409)/(Top_c-Floor_F))/Delta_c)*(-Cost_k*Delta_c*Floor_F/Rho_a)),(-Delay_D/Rho_a)),(EXP(-Rho_a*LN(V409/Floor_F)/Delta_c)*(-Cost_k*Delta_c*Floor_F/Rho_a)))</f>
        <v>-166.996287743483</v>
      </c>
      <c r="AA409" s="22" t="n">
        <f aca="false">ABS(Y409-Z409)</f>
        <v>0.104009973012808</v>
      </c>
      <c r="AC409" s="17" t="n">
        <f aca="false">30+389*$AD$5</f>
        <v>54.3125</v>
      </c>
      <c r="AD409" s="17" t="n">
        <f aca="false">Ubar_c-Delta_c*AC409</f>
        <v>4.62682940912898</v>
      </c>
      <c r="AE409" s="11" t="n">
        <f aca="false">(-(Cost_k*Ubar_c+Delay_D)+AD409/$AD$5*AE410)/(Rho_a+AD409/$AD$5)</f>
        <v>-241.216528029598</v>
      </c>
      <c r="AF409" s="11" t="n">
        <f aca="false">MAX(AE409,-Delay_D/Rho_a)</f>
        <v>-241.216528029598</v>
      </c>
      <c r="AG409" s="11" t="n">
        <f aca="false">IF(AC409&lt;Floor_F,MAX((-(Cost_k*Ubar_c+Delay_D)*(1-EXP(-Rho_a*LN((Top_c-AC409)/(Top_c-Floor_F))/Delta_c))/Rho_a+EXP(-Rho_a*LN((Top_c-AC409)/(Top_c-Floor_F))/Delta_c)*(-Cost_k*Delta_c*Floor_F/Rho_a)),(-Delay_D/Rho_a)),(EXP(-Rho_a*LN(AC409/Floor_F)/Delta_c)*(-Cost_k*Delta_c*Floor_F/Rho_a)))</f>
        <v>-241.226433341302</v>
      </c>
      <c r="AH409" s="22" t="n">
        <f aca="false">ABS(AF409-AG409)</f>
        <v>0.00990531170484132</v>
      </c>
    </row>
    <row r="410" customFormat="false" ht="15" hidden="false" customHeight="false" outlineLevel="0" collapsed="false">
      <c r="V410" s="17" t="n">
        <f aca="false">30+390*$W$5</f>
        <v>78.75</v>
      </c>
      <c r="W410" s="17" t="n">
        <f aca="false">-Delta_c*V410</f>
        <v>-7.97510951505132</v>
      </c>
      <c r="Y410" s="11" t="n">
        <f aca="false">(-W410/$W$5*Y409)/(Rho_a-W410/$W$5)</f>
        <v>-166.851044038883</v>
      </c>
      <c r="Z410" s="11" t="n">
        <f aca="false">IF(V410&lt;Floor_F,MAX((-(Cost_k*Ubar_c+Delay_D)*(1-EXP(-Rho_a*LN((Top_c-V410)/(Top_c-Floor_F))/Delta_c))/Rho_a+EXP(-Rho_a*LN((Top_c-V410)/(Top_c-Floor_F))/Delta_c)*(-Cost_k*Delta_c*Floor_F/Rho_a)),(-Delay_D/Rho_a)),(EXP(-Rho_a*LN(V410/Floor_F)/Delta_c)*(-Cost_k*Delta_c*Floor_F/Rho_a)))</f>
        <v>-166.746805429915</v>
      </c>
      <c r="AA410" s="22" t="n">
        <f aca="false">ABS(Y410-Z410)</f>
        <v>0.104238608968672</v>
      </c>
      <c r="AC410" s="17" t="n">
        <f aca="false">30+390*$AD$5</f>
        <v>54.375</v>
      </c>
      <c r="AD410" s="17" t="n">
        <f aca="false">Ubar_c-Delta_c*AC410</f>
        <v>4.62049995713291</v>
      </c>
      <c r="AE410" s="11" t="n">
        <f aca="false">(-(Cost_k*Ubar_c+Delay_D)+AD410/$AD$5*AE411)/(Rho_a+AD410/$AD$5)</f>
        <v>-240.547629069074</v>
      </c>
      <c r="AF410" s="11" t="n">
        <f aca="false">MAX(AE410,-Delay_D/Rho_a)</f>
        <v>-240.547629069074</v>
      </c>
      <c r="AG410" s="11" t="n">
        <f aca="false">IF(AC410&lt;Floor_F,MAX((-(Cost_k*Ubar_c+Delay_D)*(1-EXP(-Rho_a*LN((Top_c-AC410)/(Top_c-Floor_F))/Delta_c))/Rho_a+EXP(-Rho_a*LN((Top_c-AC410)/(Top_c-Floor_F))/Delta_c)*(-Cost_k*Delta_c*Floor_F/Rho_a)),(-Delay_D/Rho_a)),(EXP(-Rho_a*LN(AC410/Floor_F)/Delta_c)*(-Cost_k*Delta_c*Floor_F/Rho_a)))</f>
        <v>-240.556657842172</v>
      </c>
      <c r="AH410" s="22" t="n">
        <f aca="false">ABS(AF410-AG410)</f>
        <v>0.00902877309826522</v>
      </c>
    </row>
    <row r="411" customFormat="false" ht="15" hidden="false" customHeight="false" outlineLevel="0" collapsed="false">
      <c r="V411" s="17" t="n">
        <f aca="false">30+391*$W$5</f>
        <v>78.875</v>
      </c>
      <c r="W411" s="17" t="n">
        <f aca="false">-Delta_c*V411</f>
        <v>-7.98776841904346</v>
      </c>
      <c r="Y411" s="11" t="n">
        <f aca="false">(-W411/$W$5*Y410)/(Rho_a-W411/$W$5)</f>
        <v>-166.602555995434</v>
      </c>
      <c r="Z411" s="11" t="n">
        <f aca="false">IF(V411&lt;Floor_F,MAX((-(Cost_k*Ubar_c+Delay_D)*(1-EXP(-Rho_a*LN((Top_c-V411)/(Top_c-Floor_F))/Delta_c))/Rho_a+EXP(-Rho_a*LN((Top_c-V411)/(Top_c-Floor_F))/Delta_c)*(-Cost_k*Delta_c*Floor_F/Rho_a)),(-Delay_D/Rho_a)),(EXP(-Rho_a*LN(V411/Floor_F)/Delta_c)*(-Cost_k*Delta_c*Floor_F/Rho_a)))</f>
        <v>-166.498090631631</v>
      </c>
      <c r="AA411" s="22" t="n">
        <f aca="false">ABS(Y411-Z411)</f>
        <v>0.104465363803314</v>
      </c>
      <c r="AC411" s="17" t="n">
        <f aca="false">30+391*$AD$5</f>
        <v>54.4375</v>
      </c>
      <c r="AD411" s="17" t="n">
        <f aca="false">Ubar_c-Delta_c*AC411</f>
        <v>4.61417050513683</v>
      </c>
      <c r="AE411" s="11" t="n">
        <f aca="false">(-(Cost_k*Ubar_c+Delay_D)+AD411/$AD$5*AE412)/(Rho_a+AD411/$AD$5)</f>
        <v>-239.876951444131</v>
      </c>
      <c r="AF411" s="11" t="n">
        <f aca="false">MAX(AE411,-Delay_D/Rho_a)</f>
        <v>-239.876951444131</v>
      </c>
      <c r="AG411" s="11" t="n">
        <f aca="false">IF(AC411&lt;Floor_F,MAX((-(Cost_k*Ubar_c+Delay_D)*(1-EXP(-Rho_a*LN((Top_c-AC411)/(Top_c-Floor_F))/Delta_c))/Rho_a+EXP(-Rho_a*LN((Top_c-AC411)/(Top_c-Floor_F))/Delta_c)*(-Cost_k*Delta_c*Floor_F/Rho_a)),(-Delay_D/Rho_a)),(EXP(-Rho_a*LN(AC411/Floor_F)/Delta_c)*(-Cost_k*Delta_c*Floor_F/Rho_a)))</f>
        <v>-239.885098976708</v>
      </c>
      <c r="AH411" s="22" t="n">
        <f aca="false">ABS(AF411-AG411)</f>
        <v>0.0081475325774818</v>
      </c>
    </row>
    <row r="412" customFormat="false" ht="15" hidden="false" customHeight="false" outlineLevel="0" collapsed="false">
      <c r="V412" s="17" t="n">
        <f aca="false">30+392*$W$5</f>
        <v>79</v>
      </c>
      <c r="W412" s="17" t="n">
        <f aca="false">-Delta_c*V412</f>
        <v>-8.00042732303561</v>
      </c>
      <c r="Y412" s="11" t="n">
        <f aca="false">(-W412/$W$5*Y411)/(Rho_a-W412/$W$5)</f>
        <v>-166.354830028415</v>
      </c>
      <c r="Z412" s="11" t="n">
        <f aca="false">IF(V412&lt;Floor_F,MAX((-(Cost_k*Ubar_c+Delay_D)*(1-EXP(-Rho_a*LN((Top_c-V412)/(Top_c-Floor_F))/Delta_c))/Rho_a+EXP(-Rho_a*LN((Top_c-V412)/(Top_c-Floor_F))/Delta_c)*(-Cost_k*Delta_c*Floor_F/Rho_a)),(-Delay_D/Rho_a)),(EXP(-Rho_a*LN(V412/Floor_F)/Delta_c)*(-Cost_k*Delta_c*Floor_F/Rho_a)))</f>
        <v>-166.25013977668</v>
      </c>
      <c r="AA412" s="22" t="n">
        <f aca="false">ABS(Y412-Z412)</f>
        <v>0.104690251735263</v>
      </c>
      <c r="AC412" s="17" t="n">
        <f aca="false">30+392*$AD$5</f>
        <v>54.5</v>
      </c>
      <c r="AD412" s="17" t="n">
        <f aca="false">Ubar_c-Delta_c*AC412</f>
        <v>4.60784105314076</v>
      </c>
      <c r="AE412" s="11" t="n">
        <f aca="false">(-(Cost_k*Ubar_c+Delay_D)+AD412/$AD$5*AE413)/(Rho_a+AD412/$AD$5)</f>
        <v>-239.204487978778</v>
      </c>
      <c r="AF412" s="11" t="n">
        <f aca="false">MAX(AE412,-Delay_D/Rho_a)</f>
        <v>-239.204487978778</v>
      </c>
      <c r="AG412" s="11" t="n">
        <f aca="false">IF(AC412&lt;Floor_F,MAX((-(Cost_k*Ubar_c+Delay_D)*(1-EXP(-Rho_a*LN((Top_c-AC412)/(Top_c-Floor_F))/Delta_c))/Rho_a+EXP(-Rho_a*LN((Top_c-AC412)/(Top_c-Floor_F))/Delta_c)*(-Cost_k*Delta_c*Floor_F/Rho_a)),(-Delay_D/Rho_a)),(EXP(-Rho_a*LN(AC412/Floor_F)/Delta_c)*(-Cost_k*Delta_c*Floor_F/Rho_a)))</f>
        <v>-239.211749540359</v>
      </c>
      <c r="AH412" s="22" t="n">
        <f aca="false">ABS(AF412-AG412)</f>
        <v>0.0072615615806626</v>
      </c>
    </row>
    <row r="413" customFormat="false" ht="15" hidden="false" customHeight="false" outlineLevel="0" collapsed="false">
      <c r="V413" s="17" t="n">
        <f aca="false">30+393*$W$5</f>
        <v>79.125</v>
      </c>
      <c r="W413" s="17" t="n">
        <f aca="false">-Delta_c*V413</f>
        <v>-8.01308622702775</v>
      </c>
      <c r="Y413" s="11" t="n">
        <f aca="false">(-W413/$W$5*Y412)/(Rho_a-W413/$W$5)</f>
        <v>-166.107862602211</v>
      </c>
      <c r="Z413" s="11" t="n">
        <f aca="false">IF(V413&lt;Floor_F,MAX((-(Cost_k*Ubar_c+Delay_D)*(1-EXP(-Rho_a*LN((Top_c-V413)/(Top_c-Floor_F))/Delta_c))/Rho_a+EXP(-Rho_a*LN((Top_c-V413)/(Top_c-Floor_F))/Delta_c)*(-Cost_k*Delta_c*Floor_F/Rho_a)),(-Delay_D/Rho_a)),(EXP(-Rho_a*LN(V413/Floor_F)/Delta_c)*(-Cost_k*Delta_c*Floor_F/Rho_a)))</f>
        <v>-166.00294931535</v>
      </c>
      <c r="AA413" s="22" t="n">
        <f aca="false">ABS(Y413-Z413)</f>
        <v>0.104913286860892</v>
      </c>
      <c r="AC413" s="17" t="n">
        <f aca="false">30+393*$AD$5</f>
        <v>54.5625</v>
      </c>
      <c r="AD413" s="17" t="n">
        <f aca="false">Ubar_c-Delta_c*AC413</f>
        <v>4.60151160114469</v>
      </c>
      <c r="AE413" s="11" t="n">
        <f aca="false">(-(Cost_k*Ubar_c+Delay_D)+AD413/$AD$5*AE414)/(Rho_a+AD413/$AD$5)</f>
        <v>-238.530231458177</v>
      </c>
      <c r="AF413" s="11" t="n">
        <f aca="false">MAX(AE413,-Delay_D/Rho_a)</f>
        <v>-238.530231458177</v>
      </c>
      <c r="AG413" s="11" t="n">
        <f aca="false">IF(AC413&lt;Floor_F,MAX((-(Cost_k*Ubar_c+Delay_D)*(1-EXP(-Rho_a*LN((Top_c-AC413)/(Top_c-Floor_F))/Delta_c))/Rho_a+EXP(-Rho_a*LN((Top_c-AC413)/(Top_c-Floor_F))/Delta_c)*(-Cost_k*Delta_c*Floor_F/Rho_a)),(-Delay_D/Rho_a)),(EXP(-Rho_a*LN(AC413/Floor_F)/Delta_c)*(-Cost_k*Delta_c*Floor_F/Rho_a)))</f>
        <v>-238.536602289516</v>
      </c>
      <c r="AH413" s="22" t="n">
        <f aca="false">ABS(AF413-AG413)</f>
        <v>0.00637083133909755</v>
      </c>
    </row>
    <row r="414" customFormat="false" ht="15" hidden="false" customHeight="false" outlineLevel="0" collapsed="false">
      <c r="V414" s="17" t="n">
        <f aca="false">30+394*$W$5</f>
        <v>79.25</v>
      </c>
      <c r="W414" s="17" t="n">
        <f aca="false">-Delta_c*V414</f>
        <v>-8.0257451310199</v>
      </c>
      <c r="Y414" s="11" t="n">
        <f aca="false">(-W414/$W$5*Y413)/(Rho_a-W414/$W$5)</f>
        <v>-165.861650203153</v>
      </c>
      <c r="Z414" s="11" t="n">
        <f aca="false">IF(V414&lt;Floor_F,MAX((-(Cost_k*Ubar_c+Delay_D)*(1-EXP(-Rho_a*LN((Top_c-V414)/(Top_c-Floor_F))/Delta_c))/Rho_a+EXP(-Rho_a*LN((Top_c-V414)/(Top_c-Floor_F))/Delta_c)*(-Cost_k*Delta_c*Floor_F/Rho_a)),(-Delay_D/Rho_a)),(EXP(-Rho_a*LN(V414/Floor_F)/Delta_c)*(-Cost_k*Delta_c*Floor_F/Rho_a)))</f>
        <v>-165.756515719998</v>
      </c>
      <c r="AA414" s="22" t="n">
        <f aca="false">ABS(Y414-Z414)</f>
        <v>0.105134483155041</v>
      </c>
      <c r="AC414" s="17" t="n">
        <f aca="false">30+394*$AD$5</f>
        <v>54.625</v>
      </c>
      <c r="AD414" s="17" t="n">
        <f aca="false">Ubar_c-Delta_c*AC414</f>
        <v>4.59518214914862</v>
      </c>
      <c r="AE414" s="11" t="n">
        <f aca="false">(-(Cost_k*Ubar_c+Delay_D)+AD414/$AD$5*AE415)/(Rho_a+AD414/$AD$5)</f>
        <v>-237.854174628375</v>
      </c>
      <c r="AF414" s="11" t="n">
        <f aca="false">MAX(AE414,-Delay_D/Rho_a)</f>
        <v>-237.854174628375</v>
      </c>
      <c r="AG414" s="11" t="n">
        <f aca="false">IF(AC414&lt;Floor_F,MAX((-(Cost_k*Ubar_c+Delay_D)*(1-EXP(-Rho_a*LN((Top_c-AC414)/(Top_c-Floor_F))/Delta_c))/Rho_a+EXP(-Rho_a*LN((Top_c-AC414)/(Top_c-Floor_F))/Delta_c)*(-Cost_k*Delta_c*Floor_F/Rho_a)),(-Delay_D/Rho_a)),(EXP(-Rho_a*LN(AC414/Floor_F)/Delta_c)*(-Cost_k*Delta_c*Floor_F/Rho_a)))</f>
        <v>-237.859649941251</v>
      </c>
      <c r="AH414" s="22" t="n">
        <f aca="false">ABS(AF414-AG414)</f>
        <v>0.00547531287563174</v>
      </c>
    </row>
    <row r="415" customFormat="false" ht="15" hidden="false" customHeight="false" outlineLevel="0" collapsed="false">
      <c r="V415" s="17" t="n">
        <f aca="false">30+395*$W$5</f>
        <v>79.375</v>
      </c>
      <c r="W415" s="17" t="n">
        <f aca="false">-Delta_c*V415</f>
        <v>-8.03840403501204</v>
      </c>
      <c r="Y415" s="11" t="n">
        <f aca="false">(-W415/$W$5*Y414)/(Rho_a-W415/$W$5)</f>
        <v>-165.616189339347</v>
      </c>
      <c r="Z415" s="11" t="n">
        <f aca="false">IF(V415&lt;Floor_F,MAX((-(Cost_k*Ubar_c+Delay_D)*(1-EXP(-Rho_a*LN((Top_c-V415)/(Top_c-Floor_F))/Delta_c))/Rho_a+EXP(-Rho_a*LN((Top_c-V415)/(Top_c-Floor_F))/Delta_c)*(-Cost_k*Delta_c*Floor_F/Rho_a)),(-Delay_D/Rho_a)),(EXP(-Rho_a*LN(V415/Floor_F)/Delta_c)*(-Cost_k*Delta_c*Floor_F/Rho_a)))</f>
        <v>-165.510835484874</v>
      </c>
      <c r="AA415" s="22" t="n">
        <f aca="false">ABS(Y415-Z415)</f>
        <v>0.105353854472753</v>
      </c>
      <c r="AC415" s="17" t="n">
        <f aca="false">30+395*$AD$5</f>
        <v>54.6875</v>
      </c>
      <c r="AD415" s="17" t="n">
        <f aca="false">Ubar_c-Delta_c*AC415</f>
        <v>4.58885269715255</v>
      </c>
      <c r="AE415" s="11" t="n">
        <f aca="false">(-(Cost_k*Ubar_c+Delay_D)+AD415/$AD$5*AE416)/(Rho_a+AD415/$AD$5)</f>
        <v>-237.176310196045</v>
      </c>
      <c r="AF415" s="11" t="n">
        <f aca="false">MAX(AE415,-Delay_D/Rho_a)</f>
        <v>-237.176310196045</v>
      </c>
      <c r="AG415" s="11" t="n">
        <f aca="false">IF(AC415&lt;Floor_F,MAX((-(Cost_k*Ubar_c+Delay_D)*(1-EXP(-Rho_a*LN((Top_c-AC415)/(Top_c-Floor_F))/Delta_c))/Rho_a+EXP(-Rho_a*LN((Top_c-AC415)/(Top_c-Floor_F))/Delta_c)*(-Cost_k*Delta_c*Floor_F/Rho_a)),(-Delay_D/Rho_a)),(EXP(-Rho_a*LN(AC415/Floor_F)/Delta_c)*(-Cost_k*Delta_c*Floor_F/Rho_a)))</f>
        <v>-237.180885173048</v>
      </c>
      <c r="AH415" s="22" t="n">
        <f aca="false">ABS(AF415-AG415)</f>
        <v>0.00457497700301701</v>
      </c>
    </row>
    <row r="416" customFormat="false" ht="15" hidden="false" customHeight="false" outlineLevel="0" collapsed="false">
      <c r="V416" s="17" t="n">
        <f aca="false">30+396*$W$5</f>
        <v>79.5</v>
      </c>
      <c r="W416" s="17" t="n">
        <f aca="false">-Delta_c*V416</f>
        <v>-8.05106293900419</v>
      </c>
      <c r="Y416" s="11" t="n">
        <f aca="false">(-W416/$W$5*Y415)/(Rho_a-W416/$W$5)</f>
        <v>-165.371476540506</v>
      </c>
      <c r="Z416" s="11" t="n">
        <f aca="false">IF(V416&lt;Floor_F,MAX((-(Cost_k*Ubar_c+Delay_D)*(1-EXP(-Rho_a*LN((Top_c-V416)/(Top_c-Floor_F))/Delta_c))/Rho_a+EXP(-Rho_a*LN((Top_c-V416)/(Top_c-Floor_F))/Delta_c)*(-Cost_k*Delta_c*Floor_F/Rho_a)),(-Delay_D/Rho_a)),(EXP(-Rho_a*LN(V416/Floor_F)/Delta_c)*(-Cost_k*Delta_c*Floor_F/Rho_a)))</f>
        <v>-165.265905125956</v>
      </c>
      <c r="AA416" s="22" t="n">
        <f aca="false">ABS(Y416-Z416)</f>
        <v>0.105571414550127</v>
      </c>
      <c r="AC416" s="17" t="n">
        <f aca="false">30+396*$AD$5</f>
        <v>54.75</v>
      </c>
      <c r="AD416" s="17" t="n">
        <f aca="false">Ubar_c-Delta_c*AC416</f>
        <v>4.58252324515647</v>
      </c>
      <c r="AE416" s="11" t="n">
        <f aca="false">(-(Cost_k*Ubar_c+Delay_D)+AD416/$AD$5*AE417)/(Rho_a+AD416/$AD$5)</f>
        <v>-236.496630828208</v>
      </c>
      <c r="AF416" s="11" t="n">
        <f aca="false">MAX(AE416,-Delay_D/Rho_a)</f>
        <v>-236.496630828208</v>
      </c>
      <c r="AG416" s="11" t="n">
        <f aca="false">IF(AC416&lt;Floor_F,MAX((-(Cost_k*Ubar_c+Delay_D)*(1-EXP(-Rho_a*LN((Top_c-AC416)/(Top_c-Floor_F))/Delta_c))/Rho_a+EXP(-Rho_a*LN((Top_c-AC416)/(Top_c-Floor_F))/Delta_c)*(-Cost_k*Delta_c*Floor_F/Rho_a)),(-Delay_D/Rho_a)),(EXP(-Rho_a*LN(AC416/Floor_F)/Delta_c)*(-Cost_k*Delta_c*Floor_F/Rho_a)))</f>
        <v>-236.50030062253</v>
      </c>
      <c r="AH416" s="22" t="n">
        <f aca="false">ABS(AF416-AG416)</f>
        <v>0.00366979432169501</v>
      </c>
    </row>
    <row r="417" customFormat="false" ht="15" hidden="false" customHeight="false" outlineLevel="0" collapsed="false">
      <c r="V417" s="17" t="n">
        <f aca="false">30+397*$W$5</f>
        <v>79.625</v>
      </c>
      <c r="W417" s="17" t="n">
        <f aca="false">-Delta_c*V417</f>
        <v>-8.06372184299633</v>
      </c>
      <c r="Y417" s="11" t="n">
        <f aca="false">(-W417/$W$5*Y416)/(Rho_a-W417/$W$5)</f>
        <v>-165.127508357782</v>
      </c>
      <c r="Z417" s="11" t="n">
        <f aca="false">IF(V417&lt;Floor_F,MAX((-(Cost_k*Ubar_c+Delay_D)*(1-EXP(-Rho_a*LN((Top_c-V417)/(Top_c-Floor_F))/Delta_c))/Rho_a+EXP(-Rho_a*LN((Top_c-V417)/(Top_c-Floor_F))/Delta_c)*(-Cost_k*Delta_c*Floor_F/Rho_a)),(-Delay_D/Rho_a)),(EXP(-Rho_a*LN(V417/Floor_F)/Delta_c)*(-Cost_k*Delta_c*Floor_F/Rho_a)))</f>
        <v>-165.021721180776</v>
      </c>
      <c r="AA417" s="22" t="n">
        <f aca="false">ABS(Y417-Z417)</f>
        <v>0.105787177005567</v>
      </c>
      <c r="AC417" s="17" t="n">
        <f aca="false">30+397*$AD$5</f>
        <v>54.8125</v>
      </c>
      <c r="AD417" s="17" t="n">
        <f aca="false">Ubar_c-Delta_c*AC417</f>
        <v>4.5761937931604</v>
      </c>
      <c r="AE417" s="11" t="n">
        <f aca="false">(-(Cost_k*Ubar_c+Delay_D)+AD417/$AD$5*AE418)/(Rho_a+AD417/$AD$5)</f>
        <v>-235.815129151971</v>
      </c>
      <c r="AF417" s="11" t="n">
        <f aca="false">MAX(AE417,-Delay_D/Rho_a)</f>
        <v>-235.815129151971</v>
      </c>
      <c r="AG417" s="11" t="n">
        <f aca="false">IF(AC417&lt;Floor_F,MAX((-(Cost_k*Ubar_c+Delay_D)*(1-EXP(-Rho_a*LN((Top_c-AC417)/(Top_c-Floor_F))/Delta_c))/Rho_a+EXP(-Rho_a*LN((Top_c-AC417)/(Top_c-Floor_F))/Delta_c)*(-Cost_k*Delta_c*Floor_F/Rho_a)),(-Delay_D/Rho_a)),(EXP(-Rho_a*LN(AC417/Floor_F)/Delta_c)*(-Cost_k*Delta_c*Floor_F/Rho_a)))</f>
        <v>-235.817888887189</v>
      </c>
      <c r="AH417" s="22" t="n">
        <f aca="false">ABS(AF417-AG417)</f>
        <v>0.00275973521863193</v>
      </c>
    </row>
    <row r="418" customFormat="false" ht="15" hidden="false" customHeight="false" outlineLevel="0" collapsed="false">
      <c r="V418" s="17" t="n">
        <f aca="false">30+398*$W$5</f>
        <v>79.75</v>
      </c>
      <c r="W418" s="17" t="n">
        <f aca="false">-Delta_c*V418</f>
        <v>-8.07638074698848</v>
      </c>
      <c r="Y418" s="11" t="n">
        <f aca="false">(-W418/$W$5*Y417)/(Rho_a-W418/$W$5)</f>
        <v>-164.8842813636</v>
      </c>
      <c r="Z418" s="11" t="n">
        <f aca="false">IF(V418&lt;Floor_F,MAX((-(Cost_k*Ubar_c+Delay_D)*(1-EXP(-Rho_a*LN((Top_c-V418)/(Top_c-Floor_F))/Delta_c))/Rho_a+EXP(-Rho_a*LN((Top_c-V418)/(Top_c-Floor_F))/Delta_c)*(-Cost_k*Delta_c*Floor_F/Rho_a)),(-Delay_D/Rho_a)),(EXP(-Rho_a*LN(V418/Floor_F)/Delta_c)*(-Cost_k*Delta_c*Floor_F/Rho_a)))</f>
        <v>-164.778280208259</v>
      </c>
      <c r="AA418" s="22" t="n">
        <f aca="false">ABS(Y418-Z418)</f>
        <v>0.106001155341062</v>
      </c>
      <c r="AC418" s="17" t="n">
        <f aca="false">30+398*$AD$5</f>
        <v>54.875</v>
      </c>
      <c r="AD418" s="17" t="n">
        <f aca="false">Ubar_c-Delta_c*AC418</f>
        <v>4.56986434116433</v>
      </c>
      <c r="AE418" s="11" t="n">
        <f aca="false">(-(Cost_k*Ubar_c+Delay_D)+AD418/$AD$5*AE419)/(Rho_a+AD418/$AD$5)</f>
        <v>-235.131797754249</v>
      </c>
      <c r="AF418" s="11" t="n">
        <f aca="false">MAX(AE418,-Delay_D/Rho_a)</f>
        <v>-235.131797754249</v>
      </c>
      <c r="AG418" s="11" t="n">
        <f aca="false">IF(AC418&lt;Floor_F,MAX((-(Cost_k*Ubar_c+Delay_D)*(1-EXP(-Rho_a*LN((Top_c-AC418)/(Top_c-Floor_F))/Delta_c))/Rho_a+EXP(-Rho_a*LN((Top_c-AC418)/(Top_c-Floor_F))/Delta_c)*(-Cost_k*Delta_c*Floor_F/Rho_a)),(-Delay_D/Rho_a)),(EXP(-Rho_a*LN(AC418/Floor_F)/Delta_c)*(-Cost_k*Delta_c*Floor_F/Rho_a)))</f>
        <v>-235.133642524114</v>
      </c>
      <c r="AH418" s="22" t="n">
        <f aca="false">ABS(AF418-AG418)</f>
        <v>0.00184476986484583</v>
      </c>
    </row>
    <row r="419" customFormat="false" ht="15" hidden="false" customHeight="false" outlineLevel="0" collapsed="false">
      <c r="V419" s="17" t="n">
        <f aca="false">30+399*$W$5</f>
        <v>79.875</v>
      </c>
      <c r="W419" s="17" t="n">
        <f aca="false">-Delta_c*V419</f>
        <v>-8.08903965098062</v>
      </c>
      <c r="Y419" s="11" t="n">
        <f aca="false">(-W419/$W$5*Y418)/(Rho_a-W419/$W$5)</f>
        <v>-164.641792151494</v>
      </c>
      <c r="Z419" s="11" t="n">
        <f aca="false">IF(V419&lt;Floor_F,MAX((-(Cost_k*Ubar_c+Delay_D)*(1-EXP(-Rho_a*LN((Top_c-V419)/(Top_c-Floor_F))/Delta_c))/Rho_a+EXP(-Rho_a*LN((Top_c-V419)/(Top_c-Floor_F))/Delta_c)*(-Cost_k*Delta_c*Floor_F/Rho_a)),(-Delay_D/Rho_a)),(EXP(-Rho_a*LN(V419/Floor_F)/Delta_c)*(-Cost_k*Delta_c*Floor_F/Rho_a)))</f>
        <v>-164.535578788551</v>
      </c>
      <c r="AA419" s="22" t="n">
        <f aca="false">ABS(Y419-Z419)</f>
        <v>0.106213362943322</v>
      </c>
      <c r="AC419" s="17" t="n">
        <f aca="false">30+399*$AD$5</f>
        <v>54.9375</v>
      </c>
      <c r="AD419" s="17" t="n">
        <f aca="false">Ubar_c-Delta_c*AC419</f>
        <v>4.56353488916826</v>
      </c>
      <c r="AE419" s="11" t="n">
        <f aca="false">(-(Cost_k*Ubar_c+Delay_D)+AD419/$AD$5*AE420)/(Rho_a+AD419/$AD$5)</f>
        <v>-234.446629181493</v>
      </c>
      <c r="AF419" s="11" t="n">
        <f aca="false">MAX(AE419,-Delay_D/Rho_a)</f>
        <v>-234.446629181493</v>
      </c>
      <c r="AG419" s="11" t="n">
        <f aca="false">IF(AC419&lt;Floor_F,MAX((-(Cost_k*Ubar_c+Delay_D)*(1-EXP(-Rho_a*LN((Top_c-AC419)/(Top_c-Floor_F))/Delta_c))/Rho_a+EXP(-Rho_a*LN((Top_c-AC419)/(Top_c-Floor_F))/Delta_c)*(-Cost_k*Delta_c*Floor_F/Rho_a)),(-Delay_D/Rho_a)),(EXP(-Rho_a*LN(AC419/Floor_F)/Delta_c)*(-Cost_k*Delta_c*Floor_F/Rho_a)))</f>
        <v>-234.447554049707</v>
      </c>
      <c r="AH419" s="22" t="n">
        <f aca="false">ABS(AF419-AG419)</f>
        <v>0.000924868213843411</v>
      </c>
    </row>
    <row r="420" customFormat="false" ht="15" hidden="false" customHeight="false" outlineLevel="0" collapsed="false">
      <c r="V420" s="17" t="n">
        <f aca="false">30+400*$W$5</f>
        <v>80</v>
      </c>
      <c r="W420" s="17" t="n">
        <f aca="false">-Delta_c*V420</f>
        <v>-8.10169855497277</v>
      </c>
      <c r="Y420" s="11" t="n">
        <f aca="false">(-W420/$W$5*Y419)/(Rho_a-W420/$W$5)</f>
        <v>-164.400037335945</v>
      </c>
      <c r="Z420" s="11" t="n">
        <f aca="false">IF(V420&lt;Floor_F,MAX((-(Cost_k*Ubar_c+Delay_D)*(1-EXP(-Rho_a*LN((Top_c-V420)/(Top_c-Floor_F))/Delta_c))/Rho_a+EXP(-Rho_a*LN((Top_c-V420)/(Top_c-Floor_F))/Delta_c)*(-Cost_k*Delta_c*Floor_F/Rho_a)),(-Delay_D/Rho_a)),(EXP(-Rho_a*LN(V420/Floor_F)/Delta_c)*(-Cost_k*Delta_c*Floor_F/Rho_a)))</f>
        <v>-164.293613522861</v>
      </c>
      <c r="AA420" s="22" t="n">
        <f aca="false">ABS(Y420-Z420)</f>
        <v>0.106423813084632</v>
      </c>
      <c r="AC420" s="17" t="n">
        <f aca="false">30+400*$AD$5</f>
        <v>55</v>
      </c>
      <c r="AD420" s="17" t="n">
        <v>0</v>
      </c>
      <c r="AE420" s="11" t="n">
        <f aca="false">-Cost_k*Delta_c*Floor_F/Rho_a</f>
        <v>-233.75961593941</v>
      </c>
      <c r="AF420" s="11" t="n">
        <f aca="false">AE420</f>
        <v>-233.75961593941</v>
      </c>
      <c r="AG420" s="11" t="n">
        <f aca="false">IF(AC420&lt;Floor_F,MAX((-(Cost_k*Ubar_c+Delay_D)*(1-EXP(-Rho_a*LN((Top_c-AC420)/(Top_c-Floor_F))/Delta_c))/Rho_a+EXP(-Rho_a*LN((Top_c-AC420)/(Top_c-Floor_F))/Delta_c)*(-Cost_k*Delta_c*Floor_F/Rho_a)),(-Delay_D/Rho_a)),(EXP(-Rho_a*LN(AC420/Floor_F)/Delta_c)*(-Cost_k*Delta_c*Floor_F/Rho_a)))</f>
        <v>-233.75961593941</v>
      </c>
      <c r="AH420" s="22" t="n">
        <f aca="false">ABS(AF420-AG420)</f>
        <v>0</v>
      </c>
    </row>
    <row r="421" customFormat="false" ht="15" hidden="false" customHeight="false" outlineLevel="0" collapsed="false">
      <c r="AC421" s="17" t="n">
        <f aca="false">30+401*$AD$5</f>
        <v>55.0625</v>
      </c>
      <c r="AD421" s="17" t="n">
        <f aca="false">-Delta_c*AC421</f>
        <v>-5.57624720853985</v>
      </c>
      <c r="AF421" s="11" t="n">
        <f aca="false">(-AD421/$AD$5*AF420)/(Rho_a-AD421/$AD$5)</f>
        <v>-233.510166185246</v>
      </c>
      <c r="AG421" s="11" t="n">
        <f aca="false">IF(AC421&lt;Floor_F,MAX((-(Cost_k*Ubar_c+Delay_D)*(1-EXP(-Rho_a*LN((Top_c-AC421)/(Top_c-Floor_F))/Delta_c))/Rho_a+EXP(-Rho_a*LN((Top_c-AC421)/(Top_c-Floor_F))/Delta_c)*(-Cost_k*Delta_c*Floor_F/Rho_a)),(-Delay_D/Rho_a)),(EXP(-Rho_a*LN(AC421/Floor_F)/Delta_c)*(-Cost_k*Delta_c*Floor_F/Rho_a)))</f>
        <v>-233.509891362367</v>
      </c>
      <c r="AH421" s="22" t="n">
        <f aca="false">ABS(AF421-AG421)</f>
        <v>0.000274822879276826</v>
      </c>
    </row>
    <row r="422" customFormat="false" ht="15" hidden="false" customHeight="false" outlineLevel="0" collapsed="false">
      <c r="AC422" s="17" t="n">
        <f aca="false">30+402*$AD$5</f>
        <v>55.125</v>
      </c>
      <c r="AD422" s="17" t="n">
        <f aca="false">-Delta_c*AC422</f>
        <v>-5.58257666053592</v>
      </c>
      <c r="AF422" s="11" t="n">
        <f aca="false">(-AD422/$AD$5*AF421)/(Rho_a-AD422/$AD$5)</f>
        <v>-233.261264844011</v>
      </c>
      <c r="AG422" s="11" t="n">
        <f aca="false">IF(AC422&lt;Floor_F,MAX((-(Cost_k*Ubar_c+Delay_D)*(1-EXP(-Rho_a*LN((Top_c-AC422)/(Top_c-Floor_F))/Delta_c))/Rho_a+EXP(-Rho_a*LN((Top_c-AC422)/(Top_c-Floor_F))/Delta_c)*(-Cost_k*Delta_c*Floor_F/Rho_a)),(-Delay_D/Rho_a)),(EXP(-Rho_a*LN(AC422/Floor_F)/Delta_c)*(-Cost_k*Delta_c*Floor_F/Rho_a)))</f>
        <v>-233.260716406627</v>
      </c>
      <c r="AH422" s="22" t="n">
        <f aca="false">ABS(AF422-AG422)</f>
        <v>0.000548437384196632</v>
      </c>
    </row>
    <row r="423" customFormat="false" ht="15" hidden="false" customHeight="false" outlineLevel="0" collapsed="false">
      <c r="AC423" s="17" t="n">
        <f aca="false">30+403*$AD$5</f>
        <v>55.1875</v>
      </c>
      <c r="AD423" s="17" t="n">
        <f aca="false">-Delta_c*AC423</f>
        <v>-5.588906112532</v>
      </c>
      <c r="AF423" s="11" t="n">
        <f aca="false">(-AD423/$AD$5*AF422)/(Rho_a-AD423/$AD$5)</f>
        <v>-233.012910090971</v>
      </c>
      <c r="AG423" s="11" t="n">
        <f aca="false">IF(AC423&lt;Floor_F,MAX((-(Cost_k*Ubar_c+Delay_D)*(1-EXP(-Rho_a*LN((Top_c-AC423)/(Top_c-Floor_F))/Delta_c))/Rho_a+EXP(-Rho_a*LN((Top_c-AC423)/(Top_c-Floor_F))/Delta_c)*(-Cost_k*Delta_c*Floor_F/Rho_a)),(-Delay_D/Rho_a)),(EXP(-Rho_a*LN(AC423/Floor_F)/Delta_c)*(-Cost_k*Delta_c*Floor_F/Rho_a)))</f>
        <v>-233.012089241425</v>
      </c>
      <c r="AH423" s="22" t="n">
        <f aca="false">ABS(AF423-AG423)</f>
        <v>0.000820849545675628</v>
      </c>
    </row>
    <row r="424" customFormat="false" ht="15" hidden="false" customHeight="false" outlineLevel="0" collapsed="false">
      <c r="AC424" s="17" t="n">
        <f aca="false">30+404*$AD$5</f>
        <v>55.25</v>
      </c>
      <c r="AD424" s="17" t="n">
        <f aca="false">-Delta_c*AC424</f>
        <v>-5.59523556452807</v>
      </c>
      <c r="AF424" s="11" t="n">
        <f aca="false">(-AD424/$AD$5*AF423)/(Rho_a-AD424/$AD$5)</f>
        <v>-232.765100109517</v>
      </c>
      <c r="AG424" s="11" t="n">
        <f aca="false">IF(AC424&lt;Floor_F,MAX((-(Cost_k*Ubar_c+Delay_D)*(1-EXP(-Rho_a*LN((Top_c-AC424)/(Top_c-Floor_F))/Delta_c))/Rho_a+EXP(-Rho_a*LN((Top_c-AC424)/(Top_c-Floor_F))/Delta_c)*(-Cost_k*Delta_c*Floor_F/Rho_a)),(-Delay_D/Rho_a)),(EXP(-Rho_a*LN(AC424/Floor_F)/Delta_c)*(-Cost_k*Delta_c*Floor_F/Rho_a)))</f>
        <v>-232.764008044158</v>
      </c>
      <c r="AH424" s="22" t="n">
        <f aca="false">ABS(AF424-AG424)</f>
        <v>0.00109206535876183</v>
      </c>
    </row>
    <row r="425" customFormat="false" ht="15" hidden="false" customHeight="false" outlineLevel="0" collapsed="false">
      <c r="AC425" s="17" t="n">
        <f aca="false">30+405*$AD$5</f>
        <v>55.3125</v>
      </c>
      <c r="AD425" s="17" t="n">
        <f aca="false">-Delta_c*AC425</f>
        <v>-5.60156501652414</v>
      </c>
      <c r="AF425" s="11" t="n">
        <f aca="false">(-AD425/$AD$5*AF424)/(Rho_a-AD425/$AD$5)</f>
        <v>-232.517833091123</v>
      </c>
      <c r="AG425" s="11" t="n">
        <f aca="false">IF(AC425&lt;Floor_F,MAX((-(Cost_k*Ubar_c+Delay_D)*(1-EXP(-Rho_a*LN((Top_c-AC425)/(Top_c-Floor_F))/Delta_c))/Rho_a+EXP(-Rho_a*LN((Top_c-AC425)/(Top_c-Floor_F))/Delta_c)*(-Cost_k*Delta_c*Floor_F/Rho_a)),(-Delay_D/Rho_a)),(EXP(-Rho_a*LN(AC425/Floor_F)/Delta_c)*(-Cost_k*Delta_c*Floor_F/Rho_a)))</f>
        <v>-232.51647100034</v>
      </c>
      <c r="AH425" s="22" t="n">
        <f aca="false">ABS(AF425-AG425)</f>
        <v>0.00136209078286242</v>
      </c>
    </row>
    <row r="426" customFormat="false" ht="15" hidden="false" customHeight="false" outlineLevel="0" collapsed="false">
      <c r="AC426" s="17" t="n">
        <f aca="false">30+406*$AD$5</f>
        <v>55.375</v>
      </c>
      <c r="AD426" s="17" t="n">
        <f aca="false">-Delta_c*AC426</f>
        <v>-5.60789446852021</v>
      </c>
      <c r="AF426" s="11" t="n">
        <f aca="false">(-AD426/$AD$5*AF425)/(Rho_a-AD426/$AD$5)</f>
        <v>-232.271107235298</v>
      </c>
      <c r="AG426" s="11" t="n">
        <f aca="false">IF(AC426&lt;Floor_F,MAX((-(Cost_k*Ubar_c+Delay_D)*(1-EXP(-Rho_a*LN((Top_c-AC426)/(Top_c-Floor_F))/Delta_c))/Rho_a+EXP(-Rho_a*LN((Top_c-AC426)/(Top_c-Floor_F))/Delta_c)*(-Cost_k*Delta_c*Floor_F/Rho_a)),(-Delay_D/Rho_a)),(EXP(-Rho_a*LN(AC426/Floor_F)/Delta_c)*(-Cost_k*Delta_c*Floor_F/Rho_a)))</f>
        <v>-232.269476303555</v>
      </c>
      <c r="AH426" s="22" t="n">
        <f aca="false">ABS(AF426-AG426)</f>
        <v>0.00163093174219853</v>
      </c>
    </row>
    <row r="427" customFormat="false" ht="15" hidden="false" customHeight="false" outlineLevel="0" collapsed="false">
      <c r="AC427" s="17" t="n">
        <f aca="false">30+407*$AD$5</f>
        <v>55.4375</v>
      </c>
      <c r="AD427" s="17" t="n">
        <f aca="false">-Delta_c*AC427</f>
        <v>-5.61422392051628</v>
      </c>
      <c r="AF427" s="11" t="n">
        <f aca="false">(-AD427/$AD$5*AF426)/(Rho_a-AD427/$AD$5)</f>
        <v>-232.024920749543</v>
      </c>
      <c r="AG427" s="11" t="n">
        <f aca="false">IF(AC427&lt;Floor_F,MAX((-(Cost_k*Ubar_c+Delay_D)*(1-EXP(-Rho_a*LN((Top_c-AC427)/(Top_c-Floor_F))/Delta_c))/Rho_a+EXP(-Rho_a*LN((Top_c-AC427)/(Top_c-Floor_F))/Delta_c)*(-Cost_k*Delta_c*Floor_F/Rho_a)),(-Delay_D/Rho_a)),(EXP(-Rho_a*LN(AC427/Floor_F)/Delta_c)*(-Cost_k*Delta_c*Floor_F/Rho_a)))</f>
        <v>-232.023022155417</v>
      </c>
      <c r="AH427" s="22" t="n">
        <f aca="false">ABS(AF427-AG427)</f>
        <v>0.00189859412586202</v>
      </c>
    </row>
    <row r="428" customFormat="false" ht="15" hidden="false" customHeight="false" outlineLevel="0" collapsed="false">
      <c r="AC428" s="17" t="n">
        <f aca="false">30+408*$AD$5</f>
        <v>55.5</v>
      </c>
      <c r="AD428" s="17" t="n">
        <f aca="false">-Delta_c*AC428</f>
        <v>-5.62055337251236</v>
      </c>
      <c r="AF428" s="11" t="n">
        <f aca="false">(-AD428/$AD$5*AF427)/(Rho_a-AD428/$AD$5)</f>
        <v>-231.779271849306</v>
      </c>
      <c r="AG428" s="11" t="n">
        <f aca="false">IF(AC428&lt;Floor_F,MAX((-(Cost_k*Ubar_c+Delay_D)*(1-EXP(-Rho_a*LN((Top_c-AC428)/(Top_c-Floor_F))/Delta_c))/Rho_a+EXP(-Rho_a*LN((Top_c-AC428)/(Top_c-Floor_F))/Delta_c)*(-Cost_k*Delta_c*Floor_F/Rho_a)),(-Delay_D/Rho_a)),(EXP(-Rho_a*LN(AC428/Floor_F)/Delta_c)*(-Cost_k*Delta_c*Floor_F/Rho_a)))</f>
        <v>-231.777106765518</v>
      </c>
      <c r="AH428" s="22" t="n">
        <f aca="false">ABS(AF428-AG428)</f>
        <v>0.00216508378809976</v>
      </c>
    </row>
    <row r="429" customFormat="false" ht="15" hidden="false" customHeight="false" outlineLevel="0" collapsed="false">
      <c r="AC429" s="17" t="n">
        <f aca="false">30+409*$AD$5</f>
        <v>55.5625</v>
      </c>
      <c r="AD429" s="17" t="n">
        <f aca="false">-Delta_c*AC429</f>
        <v>-5.62688282450843</v>
      </c>
      <c r="AF429" s="11" t="n">
        <f aca="false">(-AD429/$AD$5*AF428)/(Rho_a-AD429/$AD$5)</f>
        <v>-231.534158757938</v>
      </c>
      <c r="AG429" s="11" t="n">
        <f aca="false">IF(AC429&lt;Floor_F,MAX((-(Cost_k*Ubar_c+Delay_D)*(1-EXP(-Rho_a*LN((Top_c-AC429)/(Top_c-Floor_F))/Delta_c))/Rho_a+EXP(-Rho_a*LN((Top_c-AC429)/(Top_c-Floor_F))/Delta_c)*(-Cost_k*Delta_c*Floor_F/Rho_a)),(-Delay_D/Rho_a)),(EXP(-Rho_a*LN(AC429/Floor_F)/Delta_c)*(-Cost_k*Delta_c*Floor_F/Rho_a)))</f>
        <v>-231.53172835139</v>
      </c>
      <c r="AH429" s="22" t="n">
        <f aca="false">ABS(AF429-AG429)</f>
        <v>0.00243040654865467</v>
      </c>
    </row>
    <row r="430" customFormat="false" ht="15" hidden="false" customHeight="false" outlineLevel="0" collapsed="false">
      <c r="AC430" s="17" t="n">
        <f aca="false">30+410*$AD$5</f>
        <v>55.625</v>
      </c>
      <c r="AD430" s="17" t="n">
        <f aca="false">-Delta_c*AC430</f>
        <v>-5.6332122765045</v>
      </c>
      <c r="AF430" s="11" t="n">
        <f aca="false">(-AD430/$AD$5*AF429)/(Rho_a-AD430/$AD$5)</f>
        <v>-231.28957970665</v>
      </c>
      <c r="AG430" s="11" t="n">
        <f aca="false">IF(AC430&lt;Floor_F,MAX((-(Cost_k*Ubar_c+Delay_D)*(1-EXP(-Rho_a*LN((Top_c-AC430)/(Top_c-Floor_F))/Delta_c))/Rho_a+EXP(-Rho_a*LN((Top_c-AC430)/(Top_c-Floor_F))/Delta_c)*(-Cost_k*Delta_c*Floor_F/Rho_a)),(-Delay_D/Rho_a)),(EXP(-Rho_a*LN(AC430/Floor_F)/Delta_c)*(-Cost_k*Delta_c*Floor_F/Rho_a)))</f>
        <v>-231.286885138457</v>
      </c>
      <c r="AH430" s="22" t="n">
        <f aca="false">ABS(AF430-AG430)</f>
        <v>0.00269456819282254</v>
      </c>
    </row>
    <row r="431" customFormat="false" ht="15" hidden="false" customHeight="false" outlineLevel="0" collapsed="false">
      <c r="AC431" s="17" t="n">
        <f aca="false">30+411*$AD$5</f>
        <v>55.6875</v>
      </c>
      <c r="AD431" s="17" t="n">
        <f aca="false">-Delta_c*AC431</f>
        <v>-5.63954172850058</v>
      </c>
      <c r="AF431" s="11" t="n">
        <f aca="false">(-AD431/$AD$5*AF430)/(Rho_a-AD431/$AD$5)</f>
        <v>-231.045532934466</v>
      </c>
      <c r="AG431" s="11" t="n">
        <f aca="false">IF(AC431&lt;Floor_F,MAX((-(Cost_k*Ubar_c+Delay_D)*(1-EXP(-Rho_a*LN((Top_c-AC431)/(Top_c-Floor_F))/Delta_c))/Rho_a+EXP(-Rho_a*LN((Top_c-AC431)/(Top_c-Floor_F))/Delta_c)*(-Cost_k*Delta_c*Floor_F/Rho_a)),(-Delay_D/Rho_a)),(EXP(-Rho_a*LN(AC431/Floor_F)/Delta_c)*(-Cost_k*Delta_c*Floor_F/Rho_a)))</f>
        <v>-231.042575359994</v>
      </c>
      <c r="AH431" s="22" t="n">
        <f aca="false">ABS(AF431-AG431)</f>
        <v>0.00295757447187839</v>
      </c>
    </row>
    <row r="432" customFormat="false" ht="15" hidden="false" customHeight="false" outlineLevel="0" collapsed="false">
      <c r="AC432" s="17" t="n">
        <f aca="false">30+412*$AD$5</f>
        <v>55.75</v>
      </c>
      <c r="AD432" s="17" t="n">
        <f aca="false">-Delta_c*AC432</f>
        <v>-5.64587118049665</v>
      </c>
      <c r="AF432" s="11" t="n">
        <f aca="false">(-AD432/$AD$5*AF431)/(Rho_a-AD432/$AD$5)</f>
        <v>-230.802016688185</v>
      </c>
      <c r="AG432" s="11" t="n">
        <f aca="false">IF(AC432&lt;Floor_F,MAX((-(Cost_k*Ubar_c+Delay_D)*(1-EXP(-Rho_a*LN((Top_c-AC432)/(Top_c-Floor_F))/Delta_c))/Rho_a+EXP(-Rho_a*LN((Top_c-AC432)/(Top_c-Floor_F))/Delta_c)*(-Cost_k*Delta_c*Floor_F/Rho_a)),(-Delay_D/Rho_a)),(EXP(-Rho_a*LN(AC432/Floor_F)/Delta_c)*(-Cost_k*Delta_c*Floor_F/Rho_a)))</f>
        <v>-230.798797257082</v>
      </c>
      <c r="AH432" s="22" t="n">
        <f aca="false">ABS(AF432-AG432)</f>
        <v>0.00321943110319012</v>
      </c>
    </row>
    <row r="433" customFormat="false" ht="15" hidden="false" customHeight="false" outlineLevel="0" collapsed="false">
      <c r="AC433" s="17" t="n">
        <f aca="false">30+413*$AD$5</f>
        <v>55.8125</v>
      </c>
      <c r="AD433" s="17" t="n">
        <f aca="false">-Delta_c*AC433</f>
        <v>-5.65220063249272</v>
      </c>
      <c r="AF433" s="11" t="n">
        <f aca="false">(-AD433/$AD$5*AF432)/(Rho_a-AD433/$AD$5)</f>
        <v>-230.559029222335</v>
      </c>
      <c r="AG433" s="11" t="n">
        <f aca="false">IF(AC433&lt;Floor_F,MAX((-(Cost_k*Ubar_c+Delay_D)*(1-EXP(-Rho_a*LN((Top_c-AC433)/(Top_c-Floor_F))/Delta_c))/Rho_a+EXP(-Rho_a*LN((Top_c-AC433)/(Top_c-Floor_F))/Delta_c)*(-Cost_k*Delta_c*Floor_F/Rho_a)),(-Delay_D/Rho_a)),(EXP(-Rho_a*LN(AC433/Floor_F)/Delta_c)*(-Cost_k*Delta_c*Floor_F/Rho_a)))</f>
        <v>-230.555549078564</v>
      </c>
      <c r="AH433" s="22" t="n">
        <f aca="false">ABS(AF433-AG433)</f>
        <v>0.00348014377050276</v>
      </c>
    </row>
    <row r="434" customFormat="false" ht="15" hidden="false" customHeight="false" outlineLevel="0" collapsed="false">
      <c r="AC434" s="17" t="n">
        <f aca="false">30+414*$AD$5</f>
        <v>55.875</v>
      </c>
      <c r="AD434" s="17" t="n">
        <f aca="false">-Delta_c*AC434</f>
        <v>-5.65853008448879</v>
      </c>
      <c r="AF434" s="11" t="n">
        <f aca="false">(-AD434/$AD$5*AF433)/(Rho_a-AD434/$AD$5)</f>
        <v>-230.316568799129</v>
      </c>
      <c r="AG434" s="11" t="n">
        <f aca="false">IF(AC434&lt;Floor_F,MAX((-(Cost_k*Ubar_c+Delay_D)*(1-EXP(-Rho_a*LN((Top_c-AC434)/(Top_c-Floor_F))/Delta_c))/Rho_a+EXP(-Rho_a*LN((Top_c-AC434)/(Top_c-Floor_F))/Delta_c)*(-Cost_k*Delta_c*Floor_F/Rho_a)),(-Delay_D/Rho_a)),(EXP(-Rho_a*LN(AC434/Floor_F)/Delta_c)*(-Cost_k*Delta_c*Floor_F/Rho_a)))</f>
        <v>-230.312829081005</v>
      </c>
      <c r="AH434" s="22" t="n">
        <f aca="false">ABS(AF434-AG434)</f>
        <v>0.00373971812408058</v>
      </c>
    </row>
    <row r="435" customFormat="false" ht="15" hidden="false" customHeight="false" outlineLevel="0" collapsed="false">
      <c r="AC435" s="17" t="n">
        <f aca="false">30+415*$AD$5</f>
        <v>55.9375</v>
      </c>
      <c r="AD435" s="17" t="n">
        <f aca="false">-Delta_c*AC435</f>
        <v>-5.66485953648486</v>
      </c>
      <c r="AF435" s="11" t="n">
        <f aca="false">(-AD435/$AD$5*AF434)/(Rho_a-AD435/$AD$5)</f>
        <v>-230.074633688425</v>
      </c>
      <c r="AG435" s="11" t="n">
        <f aca="false">IF(AC435&lt;Floor_F,MAX((-(Cost_k*Ubar_c+Delay_D)*(1-EXP(-Rho_a*LN((Top_c-AC435)/(Top_c-Floor_F))/Delta_c))/Rho_a+EXP(-Rho_a*LN((Top_c-AC435)/(Top_c-Floor_F))/Delta_c)*(-Cost_k*Delta_c*Floor_F/Rho_a)),(-Delay_D/Rho_a)),(EXP(-Rho_a*LN(AC435/Floor_F)/Delta_c)*(-Cost_k*Delta_c*Floor_F/Rho_a)))</f>
        <v>-230.070635528644</v>
      </c>
      <c r="AH435" s="22" t="n">
        <f aca="false">ABS(AF435-AG435)</f>
        <v>0.00399815978124707</v>
      </c>
    </row>
    <row r="436" customFormat="false" ht="15" hidden="false" customHeight="false" outlineLevel="0" collapsed="false">
      <c r="AC436" s="17" t="n">
        <f aca="false">30+416*$AD$5</f>
        <v>56</v>
      </c>
      <c r="AD436" s="17" t="n">
        <f aca="false">-Delta_c*AC436</f>
        <v>-5.67118898848094</v>
      </c>
      <c r="AF436" s="11" t="n">
        <f aca="false">(-AD436/$AD$5*AF435)/(Rho_a-AD436/$AD$5)</f>
        <v>-229.833222167685</v>
      </c>
      <c r="AG436" s="11" t="n">
        <f aca="false">IF(AC436&lt;Floor_F,MAX((-(Cost_k*Ubar_c+Delay_D)*(1-EXP(-Rho_a*LN((Top_c-AC436)/(Top_c-Floor_F))/Delta_c))/Rho_a+EXP(-Rho_a*LN((Top_c-AC436)/(Top_c-Floor_F))/Delta_c)*(-Cost_k*Delta_c*Floor_F/Rho_a)),(-Delay_D/Rho_a)),(EXP(-Rho_a*LN(AC436/Floor_F)/Delta_c)*(-Cost_k*Delta_c*Floor_F/Rho_a)))</f>
        <v>-229.828966693359</v>
      </c>
      <c r="AH436" s="22" t="n">
        <f aca="false">ABS(AF436-AG436)</f>
        <v>0.00425547432601547</v>
      </c>
    </row>
    <row r="437" customFormat="false" ht="15" hidden="false" customHeight="false" outlineLevel="0" collapsed="false">
      <c r="AC437" s="17" t="n">
        <f aca="false">30+417*$AD$5</f>
        <v>56.0625</v>
      </c>
      <c r="AD437" s="17" t="n">
        <f aca="false">-Delta_c*AC437</f>
        <v>-5.67751844047701</v>
      </c>
      <c r="AF437" s="11" t="n">
        <f aca="false">(-AD437/$AD$5*AF436)/(Rho_a-AD437/$AD$5)</f>
        <v>-229.59233252193</v>
      </c>
      <c r="AG437" s="11" t="n">
        <f aca="false">IF(AC437&lt;Floor_F,MAX((-(Cost_k*Ubar_c+Delay_D)*(1-EXP(-Rho_a*LN((Top_c-AC437)/(Top_c-Floor_F))/Delta_c))/Rho_a+EXP(-Rho_a*LN((Top_c-AC437)/(Top_c-Floor_F))/Delta_c)*(-Cost_k*Delta_c*Floor_F/Rho_a)),(-Delay_D/Rho_a)),(EXP(-Rho_a*LN(AC437/Floor_F)/Delta_c)*(-Cost_k*Delta_c*Floor_F/Rho_a)))</f>
        <v>-229.58782085462</v>
      </c>
      <c r="AH437" s="22" t="n">
        <f aca="false">ABS(AF437-AG437)</f>
        <v>0.00451166731008357</v>
      </c>
    </row>
    <row r="438" customFormat="false" ht="15" hidden="false" customHeight="false" outlineLevel="0" collapsed="false">
      <c r="AC438" s="17" t="n">
        <f aca="false">30+418*$AD$5</f>
        <v>56.125</v>
      </c>
      <c r="AD438" s="17" t="n">
        <f aca="false">-Delta_c*AC438</f>
        <v>-5.68384789247308</v>
      </c>
      <c r="AF438" s="11" t="n">
        <f aca="false">(-AD438/$AD$5*AF437)/(Rho_a-AD438/$AD$5)</f>
        <v>-229.351963043698</v>
      </c>
      <c r="AG438" s="11" t="n">
        <f aca="false">IF(AC438&lt;Floor_F,MAX((-(Cost_k*Ubar_c+Delay_D)*(1-EXP(-Rho_a*LN((Top_c-AC438)/(Top_c-Floor_F))/Delta_c))/Rho_a+EXP(-Rho_a*LN((Top_c-AC438)/(Top_c-Floor_F))/Delta_c)*(-Cost_k*Delta_c*Floor_F/Rho_a)),(-Delay_D/Rho_a)),(EXP(-Rho_a*LN(AC438/Floor_F)/Delta_c)*(-Cost_k*Delta_c*Floor_F/Rho_a)))</f>
        <v>-229.347196299446</v>
      </c>
      <c r="AH438" s="22" t="n">
        <f aca="false">ABS(AF438-AG438)</f>
        <v>0.00476674425237889</v>
      </c>
    </row>
    <row r="439" customFormat="false" ht="15" hidden="false" customHeight="false" outlineLevel="0" collapsed="false">
      <c r="AC439" s="17" t="n">
        <f aca="false">30+419*$AD$5</f>
        <v>56.1875</v>
      </c>
      <c r="AD439" s="17" t="n">
        <f aca="false">-Delta_c*AC439</f>
        <v>-5.69017734446916</v>
      </c>
      <c r="AF439" s="11" t="n">
        <f aca="false">(-AD439/$AD$5*AF438)/(Rho_a-AD439/$AD$5)</f>
        <v>-229.112112033008</v>
      </c>
      <c r="AG439" s="11" t="n">
        <f aca="false">IF(AC439&lt;Floor_F,MAX((-(Cost_k*Ubar_c+Delay_D)*(1-EXP(-Rho_a*LN((Top_c-AC439)/(Top_c-Floor_F))/Delta_c))/Rho_a+EXP(-Rho_a*LN((Top_c-AC439)/(Top_c-Floor_F))/Delta_c)*(-Cost_k*Delta_c*Floor_F/Rho_a)),(-Delay_D/Rho_a)),(EXP(-Rho_a*LN(AC439/Floor_F)/Delta_c)*(-Cost_k*Delta_c*Floor_F/Rho_a)))</f>
        <v>-229.107091322369</v>
      </c>
      <c r="AH439" s="22" t="n">
        <f aca="false">ABS(AF439-AG439)</f>
        <v>0.0050207106395419</v>
      </c>
    </row>
    <row r="440" customFormat="false" ht="15" hidden="false" customHeight="false" outlineLevel="0" collapsed="false">
      <c r="AC440" s="17" t="n">
        <f aca="false">30+420*$AD$5</f>
        <v>56.25</v>
      </c>
      <c r="AD440" s="17" t="n">
        <f aca="false">-Delta_c*AC440</f>
        <v>-5.69650679646523</v>
      </c>
      <c r="AF440" s="11" t="n">
        <f aca="false">(-AD440/$AD$5*AF439)/(Rho_a-AD440/$AD$5)</f>
        <v>-228.872777797314</v>
      </c>
      <c r="AG440" s="11" t="n">
        <f aca="false">IF(AC440&lt;Floor_F,MAX((-(Cost_k*Ubar_c+Delay_D)*(1-EXP(-Rho_a*LN((Top_c-AC440)/(Top_c-Floor_F))/Delta_c))/Rho_a+EXP(-Rho_a*LN((Top_c-AC440)/(Top_c-Floor_F))/Delta_c)*(-Cost_k*Delta_c*Floor_F/Rho_a)),(-Delay_D/Rho_a)),(EXP(-Rho_a*LN(AC440/Floor_F)/Delta_c)*(-Cost_k*Delta_c*Floor_F/Rho_a)))</f>
        <v>-228.867504225387</v>
      </c>
      <c r="AH440" s="22" t="n">
        <f aca="false">ABS(AF440-AG440)</f>
        <v>0.0052735719264092</v>
      </c>
    </row>
    <row r="441" customFormat="false" ht="15" hidden="false" customHeight="false" outlineLevel="0" collapsed="false">
      <c r="AC441" s="17" t="n">
        <f aca="false">30+421*$AD$5</f>
        <v>56.3125</v>
      </c>
      <c r="AD441" s="17" t="n">
        <f aca="false">-Delta_c*AC441</f>
        <v>-5.7028362484613</v>
      </c>
      <c r="AF441" s="11" t="n">
        <f aca="false">(-AD441/$AD$5*AF440)/(Rho_a-AD441/$AD$5)</f>
        <v>-228.633958651464</v>
      </c>
      <c r="AG441" s="11" t="n">
        <f aca="false">IF(AC441&lt;Floor_F,MAX((-(Cost_k*Ubar_c+Delay_D)*(1-EXP(-Rho_a*LN((Top_c-AC441)/(Top_c-Floor_F))/Delta_c))/Rho_a+EXP(-Rho_a*LN((Top_c-AC441)/(Top_c-Floor_F))/Delta_c)*(-Cost_k*Delta_c*Floor_F/Rho_a)),(-Delay_D/Rho_a)),(EXP(-Rho_a*LN(AC441/Floor_F)/Delta_c)*(-Cost_k*Delta_c*Floor_F/Rho_a)))</f>
        <v>-228.628433317928</v>
      </c>
      <c r="AH441" s="22" t="n">
        <f aca="false">ABS(AF441-AG441)</f>
        <v>0.00552533353584295</v>
      </c>
    </row>
    <row r="442" customFormat="false" ht="15" hidden="false" customHeight="false" outlineLevel="0" collapsed="false">
      <c r="AC442" s="17" t="n">
        <f aca="false">30+422*$AD$5</f>
        <v>56.375</v>
      </c>
      <c r="AD442" s="17" t="n">
        <f aca="false">-Delta_c*AC442</f>
        <v>-5.70916570045737</v>
      </c>
      <c r="AF442" s="11" t="n">
        <f aca="false">(-AD442/$AD$5*AF441)/(Rho_a-AD442/$AD$5)</f>
        <v>-228.395652917664</v>
      </c>
      <c r="AG442" s="11" t="n">
        <f aca="false">IF(AC442&lt;Floor_F,MAX((-(Cost_k*Ubar_c+Delay_D)*(1-EXP(-Rho_a*LN((Top_c-AC442)/(Top_c-Floor_F))/Delta_c))/Rho_a+EXP(-Rho_a*LN((Top_c-AC442)/(Top_c-Floor_F))/Delta_c)*(-Cost_k*Delta_c*Floor_F/Rho_a)),(-Delay_D/Rho_a)),(EXP(-Rho_a*LN(AC442/Floor_F)/Delta_c)*(-Cost_k*Delta_c*Floor_F/Rho_a)))</f>
        <v>-228.389876916805</v>
      </c>
      <c r="AH442" s="22" t="n">
        <f aca="false">ABS(AF442-AG442)</f>
        <v>0.00577600085898666</v>
      </c>
    </row>
    <row r="443" customFormat="false" ht="15" hidden="false" customHeight="false" outlineLevel="0" collapsed="false">
      <c r="AC443" s="17" t="n">
        <f aca="false">30+423*$AD$5</f>
        <v>56.4375</v>
      </c>
      <c r="AD443" s="17" t="n">
        <f aca="false">-Delta_c*AC443</f>
        <v>-5.71549515245344</v>
      </c>
      <c r="AF443" s="11" t="n">
        <f aca="false">(-AD443/$AD$5*AF442)/(Rho_a-AD443/$AD$5)</f>
        <v>-228.157858925434</v>
      </c>
      <c r="AG443" s="11" t="n">
        <f aca="false">IF(AC443&lt;Floor_F,MAX((-(Cost_k*Ubar_c+Delay_D)*(1-EXP(-Rho_a*LN((Top_c-AC443)/(Top_c-Floor_F))/Delta_c))/Rho_a+EXP(-Rho_a*LN((Top_c-AC443)/(Top_c-Floor_F))/Delta_c)*(-Cost_k*Delta_c*Floor_F/Rho_a)),(-Delay_D/Rho_a)),(EXP(-Rho_a*LN(AC443/Floor_F)/Delta_c)*(-Cost_k*Delta_c*Floor_F/Rho_a)))</f>
        <v>-228.151833346179</v>
      </c>
      <c r="AH443" s="22" t="n">
        <f aca="false">ABS(AF443-AG443)</f>
        <v>0.00602557925586211</v>
      </c>
    </row>
    <row r="444" customFormat="false" ht="15" hidden="false" customHeight="false" outlineLevel="0" collapsed="false">
      <c r="AC444" s="17" t="n">
        <f aca="false">30+424*$AD$5</f>
        <v>56.5</v>
      </c>
      <c r="AD444" s="17" t="n">
        <f aca="false">-Delta_c*AC444</f>
        <v>-5.72182460444952</v>
      </c>
      <c r="AF444" s="11" t="n">
        <f aca="false">(-AD444/$AD$5*AF443)/(Rho_a-AD444/$AD$5)</f>
        <v>-227.92057501157</v>
      </c>
      <c r="AG444" s="11" t="n">
        <f aca="false">IF(AC444&lt;Floor_F,MAX((-(Cost_k*Ubar_c+Delay_D)*(1-EXP(-Rho_a*LN((Top_c-AC444)/(Top_c-Floor_F))/Delta_c))/Rho_a+EXP(-Rho_a*LN((Top_c-AC444)/(Top_c-Floor_F))/Delta_c)*(-Cost_k*Delta_c*Floor_F/Rho_a)),(-Delay_D/Rho_a)),(EXP(-Rho_a*LN(AC444/Floor_F)/Delta_c)*(-Cost_k*Delta_c*Floor_F/Rho_a)))</f>
        <v>-227.914300937515</v>
      </c>
      <c r="AH444" s="22" t="n">
        <f aca="false">ABS(AF444-AG444)</f>
        <v>0.00627407405505664</v>
      </c>
    </row>
    <row r="445" customFormat="false" ht="15" hidden="false" customHeight="false" outlineLevel="0" collapsed="false">
      <c r="AC445" s="17" t="n">
        <f aca="false">30+425*$AD$5</f>
        <v>56.5625</v>
      </c>
      <c r="AD445" s="17" t="n">
        <f aca="false">-Delta_c*AC445</f>
        <v>-5.72815405644559</v>
      </c>
      <c r="AF445" s="11" t="n">
        <f aca="false">(-AD445/$AD$5*AF444)/(Rho_a-AD445/$AD$5)</f>
        <v>-227.683799520101</v>
      </c>
      <c r="AG445" s="11" t="n">
        <f aca="false">IF(AC445&lt;Floor_F,MAX((-(Cost_k*Ubar_c+Delay_D)*(1-EXP(-Rho_a*LN((Top_c-AC445)/(Top_c-Floor_F))/Delta_c))/Rho_a+EXP(-Rho_a*LN((Top_c-AC445)/(Top_c-Floor_F))/Delta_c)*(-Cost_k*Delta_c*Floor_F/Rho_a)),(-Delay_D/Rho_a)),(EXP(-Rho_a*LN(AC445/Floor_F)/Delta_c)*(-Cost_k*Delta_c*Floor_F/Rho_a)))</f>
        <v>-227.677278029547</v>
      </c>
      <c r="AH445" s="22" t="n">
        <f aca="false">ABS(AF445-AG445)</f>
        <v>0.00652149055423479</v>
      </c>
    </row>
    <row r="446" customFormat="false" ht="15" hidden="false" customHeight="false" outlineLevel="0" collapsed="false">
      <c r="AC446" s="17" t="n">
        <f aca="false">30+426*$AD$5</f>
        <v>56.625</v>
      </c>
      <c r="AD446" s="17" t="n">
        <f aca="false">-Delta_c*AC446</f>
        <v>-5.73448350844166</v>
      </c>
      <c r="AF446" s="11" t="n">
        <f aca="false">(-AD446/$AD$5*AF445)/(Rho_a-AD446/$AD$5)</f>
        <v>-227.447530802254</v>
      </c>
      <c r="AG446" s="11" t="n">
        <f aca="false">IF(AC446&lt;Floor_F,MAX((-(Cost_k*Ubar_c+Delay_D)*(1-EXP(-Rho_a*LN((Top_c-AC446)/(Top_c-Floor_F))/Delta_c))/Rho_a+EXP(-Rho_a*LN((Top_c-AC446)/(Top_c-Floor_F))/Delta_c)*(-Cost_k*Delta_c*Floor_F/Rho_a)),(-Delay_D/Rho_a)),(EXP(-Rho_a*LN(AC446/Floor_F)/Delta_c)*(-Cost_k*Delta_c*Floor_F/Rho_a)))</f>
        <v>-227.440762968234</v>
      </c>
      <c r="AH446" s="22" t="n">
        <f aca="false">ABS(AF446-AG446)</f>
        <v>0.00676783402050774</v>
      </c>
    </row>
    <row r="447" customFormat="false" ht="15" hidden="false" customHeight="false" outlineLevel="0" collapsed="false">
      <c r="AC447" s="17" t="n">
        <f aca="false">30+427*$AD$5</f>
        <v>56.6875</v>
      </c>
      <c r="AD447" s="17" t="n">
        <f aca="false">-Delta_c*AC447</f>
        <v>-5.74081296043773</v>
      </c>
      <c r="AF447" s="11" t="n">
        <f aca="false">(-AD447/$AD$5*AF446)/(Rho_a-AD447/$AD$5)</f>
        <v>-227.211767216414</v>
      </c>
      <c r="AG447" s="11" t="n">
        <f aca="false">IF(AC447&lt;Floor_F,MAX((-(Cost_k*Ubar_c+Delay_D)*(1-EXP(-Rho_a*LN((Top_c-AC447)/(Top_c-Floor_F))/Delta_c))/Rho_a+EXP(-Rho_a*LN((Top_c-AC447)/(Top_c-Floor_F))/Delta_c)*(-Cost_k*Delta_c*Floor_F/Rho_a)),(-Delay_D/Rho_a)),(EXP(-Rho_a*LN(AC447/Floor_F)/Delta_c)*(-Cost_k*Delta_c*Floor_F/Rho_a)))</f>
        <v>-227.204754106724</v>
      </c>
      <c r="AH447" s="22" t="n">
        <f aca="false">ABS(AF447-AG447)</f>
        <v>0.00701310969020597</v>
      </c>
    </row>
    <row r="448" customFormat="false" ht="15" hidden="false" customHeight="false" outlineLevel="0" collapsed="false">
      <c r="AC448" s="17" t="n">
        <f aca="false">30+428*$AD$5</f>
        <v>56.75</v>
      </c>
      <c r="AD448" s="17" t="n">
        <f aca="false">-Delta_c*AC448</f>
        <v>-5.74714241243381</v>
      </c>
      <c r="AF448" s="11" t="n">
        <f aca="false">(-AD448/$AD$5*AF447)/(Rho_a-AD448/$AD$5)</f>
        <v>-226.976507128082</v>
      </c>
      <c r="AG448" s="11" t="n">
        <f aca="false">IF(AC448&lt;Floor_F,MAX((-(Cost_k*Ubar_c+Delay_D)*(1-EXP(-Rho_a*LN((Top_c-AC448)/(Top_c-Floor_F))/Delta_c))/Rho_a+EXP(-Rho_a*LN((Top_c-AC448)/(Top_c-Floor_F))/Delta_c)*(-Cost_k*Delta_c*Floor_F/Rho_a)),(-Delay_D/Rho_a)),(EXP(-Rho_a*LN(AC448/Floor_F)/Delta_c)*(-Cost_k*Delta_c*Floor_F/Rho_a)))</f>
        <v>-226.969249805312</v>
      </c>
      <c r="AH448" s="22" t="n">
        <f aca="false">ABS(AF448-AG448)</f>
        <v>0.007257322769334</v>
      </c>
    </row>
    <row r="449" customFormat="false" ht="15" hidden="false" customHeight="false" outlineLevel="0" collapsed="false">
      <c r="AC449" s="17" t="n">
        <f aca="false">30+429*$AD$5</f>
        <v>56.8125</v>
      </c>
      <c r="AD449" s="17" t="n">
        <f aca="false">-Delta_c*AC449</f>
        <v>-5.75347186442988</v>
      </c>
      <c r="AF449" s="11" t="n">
        <f aca="false">(-AD449/$AD$5*AF448)/(Rho_a-AD449/$AD$5)</f>
        <v>-226.741748909838</v>
      </c>
      <c r="AG449" s="11" t="n">
        <f aca="false">IF(AC449&lt;Floor_F,MAX((-(Cost_k*Ubar_c+Delay_D)*(1-EXP(-Rho_a*LN((Top_c-AC449)/(Top_c-Floor_F))/Delta_c))/Rho_a+EXP(-Rho_a*LN((Top_c-AC449)/(Top_c-Floor_F))/Delta_c)*(-Cost_k*Delta_c*Floor_F/Rho_a)),(-Delay_D/Rho_a)),(EXP(-Rho_a*LN(AC449/Floor_F)/Delta_c)*(-Cost_k*Delta_c*Floor_F/Rho_a)))</f>
        <v>-226.734248431404</v>
      </c>
      <c r="AH449" s="22" t="n">
        <f aca="false">ABS(AF449-AG449)</f>
        <v>0.0075004784339967</v>
      </c>
    </row>
    <row r="450" customFormat="false" ht="15" hidden="false" customHeight="false" outlineLevel="0" collapsed="false">
      <c r="AC450" s="17" t="n">
        <f aca="false">30+430*$AD$5</f>
        <v>56.875</v>
      </c>
      <c r="AD450" s="17" t="n">
        <f aca="false">-Delta_c*AC450</f>
        <v>-5.75980131642595</v>
      </c>
      <c r="AF450" s="11" t="n">
        <f aca="false">(-AD450/$AD$5*AF449)/(Rho_a-AD450/$AD$5)</f>
        <v>-226.507490941305</v>
      </c>
      <c r="AG450" s="11" t="n">
        <f aca="false">IF(AC450&lt;Floor_F,MAX((-(Cost_k*Ubar_c+Delay_D)*(1-EXP(-Rho_a*LN((Top_c-AC450)/(Top_c-Floor_F))/Delta_c))/Rho_a+EXP(-Rho_a*LN((Top_c-AC450)/(Top_c-Floor_F))/Delta_c)*(-Cost_k*Delta_c*Floor_F/Rho_a)),(-Delay_D/Rho_a)),(EXP(-Rho_a*LN(AC450/Floor_F)/Delta_c)*(-Cost_k*Delta_c*Floor_F/Rho_a)))</f>
        <v>-226.499748359475</v>
      </c>
      <c r="AH450" s="22" t="n">
        <f aca="false">ABS(AF450-AG450)</f>
        <v>0.00774258183008669</v>
      </c>
    </row>
    <row r="451" customFormat="false" ht="15" hidden="false" customHeight="false" outlineLevel="0" collapsed="false">
      <c r="AC451" s="17" t="n">
        <f aca="false">30+431*$AD$5</f>
        <v>56.9375</v>
      </c>
      <c r="AD451" s="17" t="n">
        <f aca="false">-Delta_c*AC451</f>
        <v>-5.76613076842202</v>
      </c>
      <c r="AF451" s="11" t="n">
        <f aca="false">(-AD451/$AD$5*AF450)/(Rho_a-AD451/$AD$5)</f>
        <v>-226.273731609107</v>
      </c>
      <c r="AG451" s="11" t="n">
        <f aca="false">IF(AC451&lt;Floor_F,MAX((-(Cost_k*Ubar_c+Delay_D)*(1-EXP(-Rho_a*LN((Top_c-AC451)/(Top_c-Floor_F))/Delta_c))/Rho_a+EXP(-Rho_a*LN((Top_c-AC451)/(Top_c-Floor_F))/Delta_c)*(-Cost_k*Delta_c*Floor_F/Rho_a)),(-Delay_D/Rho_a)),(EXP(-Rho_a*LN(AC451/Floor_F)/Delta_c)*(-Cost_k*Delta_c*Floor_F/Rho_a)))</f>
        <v>-226.265747971033</v>
      </c>
      <c r="AH451" s="22" t="n">
        <f aca="false">ABS(AF451-AG451)</f>
        <v>0.00798363807388114</v>
      </c>
    </row>
    <row r="452" customFormat="false" ht="15" hidden="false" customHeight="false" outlineLevel="0" collapsed="false">
      <c r="AC452" s="17" t="n">
        <f aca="false">30+432*$AD$5</f>
        <v>57</v>
      </c>
      <c r="AD452" s="17" t="n">
        <f aca="false">-Delta_c*AC452</f>
        <v>-5.7724602204181</v>
      </c>
      <c r="AF452" s="11" t="n">
        <f aca="false">(-AD452/$AD$5*AF451)/(Rho_a-AD452/$AD$5)</f>
        <v>-226.040469306834</v>
      </c>
      <c r="AG452" s="11" t="n">
        <f aca="false">IF(AC452&lt;Floor_F,MAX((-(Cost_k*Ubar_c+Delay_D)*(1-EXP(-Rho_a*LN((Top_c-AC452)/(Top_c-Floor_F))/Delta_c))/Rho_a+EXP(-Rho_a*LN((Top_c-AC452)/(Top_c-Floor_F))/Delta_c)*(-Cost_k*Delta_c*Floor_F/Rho_a)),(-Delay_D/Rho_a)),(EXP(-Rho_a*LN(AC452/Floor_F)/Delta_c)*(-Cost_k*Delta_c*Floor_F/Rho_a)))</f>
        <v>-226.032245654582</v>
      </c>
      <c r="AH452" s="22" t="n">
        <f aca="false">ABS(AF452-AG452)</f>
        <v>0.0082236522522976</v>
      </c>
    </row>
    <row r="453" customFormat="false" ht="15" hidden="false" customHeight="false" outlineLevel="0" collapsed="false">
      <c r="AC453" s="17" t="n">
        <f aca="false">30+433*$AD$5</f>
        <v>57.0625</v>
      </c>
      <c r="AD453" s="17" t="n">
        <f aca="false">-Delta_c*AC453</f>
        <v>-5.77878967241417</v>
      </c>
      <c r="AF453" s="11" t="n">
        <f aca="false">(-AD453/$AD$5*AF452)/(Rho_a-AD453/$AD$5)</f>
        <v>-225.807702435003</v>
      </c>
      <c r="AG453" s="11" t="n">
        <f aca="false">IF(AC453&lt;Floor_F,MAX((-(Cost_k*Ubar_c+Delay_D)*(1-EXP(-Rho_a*LN((Top_c-AC453)/(Top_c-Floor_F))/Delta_c))/Rho_a+EXP(-Rho_a*LN((Top_c-AC453)/(Top_c-Floor_F))/Delta_c)*(-Cost_k*Delta_c*Floor_F/Rho_a)),(-Delay_D/Rho_a)),(EXP(-Rho_a*LN(AC453/Floor_F)/Delta_c)*(-Cost_k*Delta_c*Floor_F/Rho_a)))</f>
        <v>-225.799239805581</v>
      </c>
      <c r="AH453" s="22" t="n">
        <f aca="false">ABS(AF453-AG453)</f>
        <v>0.0084626294226382</v>
      </c>
    </row>
    <row r="454" customFormat="false" ht="15" hidden="false" customHeight="false" outlineLevel="0" collapsed="false">
      <c r="AC454" s="17" t="n">
        <f aca="false">30+434*$AD$5</f>
        <v>57.125</v>
      </c>
      <c r="AD454" s="17" t="n">
        <f aca="false">-Delta_c*AC454</f>
        <v>-5.78511912441024</v>
      </c>
      <c r="AF454" s="11" t="n">
        <f aca="false">(-AD454/$AD$5*AF453)/(Rho_a-AD454/$AD$5)</f>
        <v>-225.57542940102</v>
      </c>
      <c r="AG454" s="11" t="n">
        <f aca="false">IF(AC454&lt;Floor_F,MAX((-(Cost_k*Ubar_c+Delay_D)*(1-EXP(-Rho_a*LN((Top_c-AC454)/(Top_c-Floor_F))/Delta_c))/Rho_a+EXP(-Rho_a*LN((Top_c-AC454)/(Top_c-Floor_F))/Delta_c)*(-Cost_k*Delta_c*Floor_F/Rho_a)),(-Delay_D/Rho_a)),(EXP(-Rho_a*LN(AC454/Floor_F)/Delta_c)*(-Cost_k*Delta_c*Floor_F/Rho_a)))</f>
        <v>-225.566728826407</v>
      </c>
      <c r="AH454" s="22" t="n">
        <f aca="false">ABS(AF454-AG454)</f>
        <v>0.00870057461321494</v>
      </c>
    </row>
    <row r="455" customFormat="false" ht="15" hidden="false" customHeight="false" outlineLevel="0" collapsed="false">
      <c r="AC455" s="17" t="n">
        <f aca="false">30+435*$AD$5</f>
        <v>57.1875</v>
      </c>
      <c r="AD455" s="17" t="n">
        <f aca="false">-Delta_c*AC455</f>
        <v>-5.79144857640631</v>
      </c>
      <c r="AF455" s="11" t="n">
        <f aca="false">(-AD455/$AD$5*AF454)/(Rho_a-AD455/$AD$5)</f>
        <v>-225.343648619145</v>
      </c>
      <c r="AG455" s="11" t="n">
        <f aca="false">IF(AC455&lt;Floor_F,MAX((-(Cost_k*Ubar_c+Delay_D)*(1-EXP(-Rho_a*LN((Top_c-AC455)/(Top_c-Floor_F))/Delta_c))/Rho_a+EXP(-Rho_a*LN((Top_c-AC455)/(Top_c-Floor_F))/Delta_c)*(-Cost_k*Delta_c*Floor_F/Rho_a)),(-Delay_D/Rho_a)),(EXP(-Rho_a*LN(AC455/Floor_F)/Delta_c)*(-Cost_k*Delta_c*Floor_F/Rho_a)))</f>
        <v>-225.334711126322</v>
      </c>
      <c r="AH455" s="22" t="n">
        <f aca="false">ABS(AF455-AG455)</f>
        <v>0.00893749282357703</v>
      </c>
    </row>
    <row r="456" customFormat="false" ht="15" hidden="false" customHeight="false" outlineLevel="0" collapsed="false">
      <c r="AC456" s="17" t="n">
        <f aca="false">30+436*$AD$5</f>
        <v>57.25</v>
      </c>
      <c r="AD456" s="17" t="n">
        <f aca="false">-Delta_c*AC456</f>
        <v>-5.79777802840239</v>
      </c>
      <c r="AF456" s="11" t="n">
        <f aca="false">(-AD456/$AD$5*AF455)/(Rho_a-AD456/$AD$5)</f>
        <v>-225.112358510453</v>
      </c>
      <c r="AG456" s="11" t="n">
        <f aca="false">IF(AC456&lt;Floor_F,MAX((-(Cost_k*Ubar_c+Delay_D)*(1-EXP(-Rho_a*LN((Top_c-AC456)/(Top_c-Floor_F))/Delta_c))/Rho_a+EXP(-Rho_a*LN((Top_c-AC456)/(Top_c-Floor_F))/Delta_c)*(-Cost_k*Delta_c*Floor_F/Rho_a)),(-Delay_D/Rho_a)),(EXP(-Rho_a*LN(AC456/Floor_F)/Delta_c)*(-Cost_k*Delta_c*Floor_F/Rho_a)))</f>
        <v>-225.103185121429</v>
      </c>
      <c r="AH456" s="22" t="n">
        <f aca="false">ABS(AF456-AG456)</f>
        <v>0.00917338902425513</v>
      </c>
    </row>
    <row r="457" customFormat="false" ht="15" hidden="false" customHeight="false" outlineLevel="0" collapsed="false">
      <c r="AC457" s="17" t="n">
        <f aca="false">30+437*$AD$5</f>
        <v>57.3125</v>
      </c>
      <c r="AD457" s="17" t="n">
        <f aca="false">-Delta_c*AC457</f>
        <v>-5.80410748039846</v>
      </c>
      <c r="AF457" s="11" t="n">
        <f aca="false">(-AD457/$AD$5*AF456)/(Rho_a-AD457/$AD$5)</f>
        <v>-224.881557502798</v>
      </c>
      <c r="AG457" s="11" t="n">
        <f aca="false">IF(AC457&lt;Floor_F,MAX((-(Cost_k*Ubar_c+Delay_D)*(1-EXP(-Rho_a*LN((Top_c-AC457)/(Top_c-Floor_F))/Delta_c))/Rho_a+EXP(-Rho_a*LN((Top_c-AC457)/(Top_c-Floor_F))/Delta_c)*(-Cost_k*Delta_c*Floor_F/Rho_a)),(-Delay_D/Rho_a)),(EXP(-Rho_a*LN(AC457/Floor_F)/Delta_c)*(-Cost_k*Delta_c*Floor_F/Rho_a)))</f>
        <v>-224.87214923464</v>
      </c>
      <c r="AH457" s="22" t="n">
        <f aca="false">ABS(AF457-AG457)</f>
        <v>0.00940826815741502</v>
      </c>
    </row>
    <row r="458" customFormat="false" ht="15" hidden="false" customHeight="false" outlineLevel="0" collapsed="false">
      <c r="AC458" s="17" t="n">
        <f aca="false">30+438*$AD$5</f>
        <v>57.375</v>
      </c>
      <c r="AD458" s="17" t="n">
        <f aca="false">-Delta_c*AC458</f>
        <v>-5.81043693239453</v>
      </c>
      <c r="AF458" s="11" t="n">
        <f aca="false">(-AD458/$AD$5*AF457)/(Rho_a-AD458/$AD$5)</f>
        <v>-224.651244030776</v>
      </c>
      <c r="AG458" s="11" t="n">
        <f aca="false">IF(AC458&lt;Floor_F,MAX((-(Cost_k*Ubar_c+Delay_D)*(1-EXP(-Rho_a*LN((Top_c-AC458)/(Top_c-Floor_F))/Delta_c))/Rho_a+EXP(-Rho_a*LN((Top_c-AC458)/(Top_c-Floor_F))/Delta_c)*(-Cost_k*Delta_c*Floor_F/Rho_a)),(-Delay_D/Rho_a)),(EXP(-Rho_a*LN(AC458/Floor_F)/Delta_c)*(-Cost_k*Delta_c*Floor_F/Rho_a)))</f>
        <v>-224.641601895639</v>
      </c>
      <c r="AH458" s="22" t="n">
        <f aca="false">ABS(AF458-AG458)</f>
        <v>0.00964213513682921</v>
      </c>
    </row>
    <row r="459" customFormat="false" ht="15" hidden="false" customHeight="false" outlineLevel="0" collapsed="false">
      <c r="AC459" s="17" t="n">
        <f aca="false">30+439*$AD$5</f>
        <v>57.4375</v>
      </c>
      <c r="AD459" s="17" t="n">
        <f aca="false">-Delta_c*AC459</f>
        <v>-5.8167663843906</v>
      </c>
      <c r="AF459" s="11" t="n">
        <f aca="false">(-AD459/$AD$5*AF458)/(Rho_a-AD459/$AD$5)</f>
        <v>-224.42141653569</v>
      </c>
      <c r="AG459" s="11" t="n">
        <f aca="false">IF(AC459&lt;Floor_F,MAX((-(Cost_k*Ubar_c+Delay_D)*(1-EXP(-Rho_a*LN((Top_c-AC459)/(Top_c-Floor_F))/Delta_c))/Rho_a+EXP(-Rho_a*LN((Top_c-AC459)/(Top_c-Floor_F))/Delta_c)*(-Cost_k*Delta_c*Floor_F/Rho_a)),(-Delay_D/Rho_a)),(EXP(-Rho_a*LN(AC459/Floor_F)/Delta_c)*(-Cost_k*Delta_c*Floor_F/Rho_a)))</f>
        <v>-224.411541540842</v>
      </c>
      <c r="AH459" s="22" t="n">
        <f aca="false">ABS(AF459-AG459)</f>
        <v>0.0098749948481327</v>
      </c>
    </row>
    <row r="460" customFormat="false" ht="15" hidden="false" customHeight="false" outlineLevel="0" collapsed="false">
      <c r="AC460" s="17" t="n">
        <f aca="false">30+440*$AD$5</f>
        <v>57.5</v>
      </c>
      <c r="AD460" s="17" t="n">
        <f aca="false">-Delta_c*AC460</f>
        <v>-5.82309583638668</v>
      </c>
      <c r="AF460" s="11" t="n">
        <f aca="false">(-AD460/$AD$5*AF459)/(Rho_a-AD460/$AD$5)</f>
        <v>-224.192073465514</v>
      </c>
      <c r="AG460" s="11" t="n">
        <f aca="false">IF(AC460&lt;Floor_F,MAX((-(Cost_k*Ubar_c+Delay_D)*(1-EXP(-Rho_a*LN((Top_c-AC460)/(Top_c-Floor_F))/Delta_c))/Rho_a+EXP(-Rho_a*LN((Top_c-AC460)/(Top_c-Floor_F))/Delta_c)*(-Cost_k*Delta_c*Floor_F/Rho_a)),(-Delay_D/Rho_a)),(EXP(-Rho_a*LN(AC460/Floor_F)/Delta_c)*(-Cost_k*Delta_c*Floor_F/Rho_a)))</f>
        <v>-224.181966613365</v>
      </c>
      <c r="AH460" s="22" t="n">
        <f aca="false">ABS(AF460-AG460)</f>
        <v>0.0101068521489083</v>
      </c>
    </row>
    <row r="461" customFormat="false" ht="15" hidden="false" customHeight="false" outlineLevel="0" collapsed="false">
      <c r="AC461" s="17" t="n">
        <f aca="false">30+441*$AD$5</f>
        <v>57.5625</v>
      </c>
      <c r="AD461" s="17" t="n">
        <f aca="false">-Delta_c*AC461</f>
        <v>-5.82942528838275</v>
      </c>
      <c r="AF461" s="11" t="n">
        <f aca="false">(-AD461/$AD$5*AF460)/(Rho_a-AD461/$AD$5)</f>
        <v>-223.963213274857</v>
      </c>
      <c r="AG461" s="11" t="n">
        <f aca="false">IF(AC461&lt;Floor_F,MAX((-(Cost_k*Ubar_c+Delay_D)*(1-EXP(-Rho_a*LN((Top_c-AC461)/(Top_c-Floor_F))/Delta_c))/Rho_a+EXP(-Rho_a*LN((Top_c-AC461)/(Top_c-Floor_F))/Delta_c)*(-Cost_k*Delta_c*Floor_F/Rho_a)),(-Delay_D/Rho_a)),(EXP(-Rho_a*LN(AC461/Floor_F)/Delta_c)*(-Cost_k*Delta_c*Floor_F/Rho_a)))</f>
        <v>-223.952875562988</v>
      </c>
      <c r="AH461" s="22" t="n">
        <f aca="false">ABS(AF461-AG461)</f>
        <v>0.0103377118691412</v>
      </c>
    </row>
    <row r="462" customFormat="false" ht="15" hidden="false" customHeight="false" outlineLevel="0" collapsed="false">
      <c r="AC462" s="17" t="n">
        <f aca="false">30+442*$AD$5</f>
        <v>57.625</v>
      </c>
      <c r="AD462" s="17" t="n">
        <f aca="false">-Delta_c*AC462</f>
        <v>-5.83575474037882</v>
      </c>
      <c r="AF462" s="11" t="n">
        <f aca="false">(-AD462/$AD$5*AF461)/(Rho_a-AD462/$AD$5)</f>
        <v>-223.734834424924</v>
      </c>
      <c r="AG462" s="11" t="n">
        <f aca="false">IF(AC462&lt;Floor_F,MAX((-(Cost_k*Ubar_c+Delay_D)*(1-EXP(-Rho_a*LN((Top_c-AC462)/(Top_c-Floor_F))/Delta_c))/Rho_a+EXP(-Rho_a*LN((Top_c-AC462)/(Top_c-Floor_F))/Delta_c)*(-Cost_k*Delta_c*Floor_F/Rho_a)),(-Delay_D/Rho_a)),(EXP(-Rho_a*LN(AC462/Floor_F)/Delta_c)*(-Cost_k*Delta_c*Floor_F/Rho_a)))</f>
        <v>-223.724266846113</v>
      </c>
      <c r="AH462" s="22" t="n">
        <f aca="false">ABS(AF462-AG462)</f>
        <v>0.0105675788109636</v>
      </c>
    </row>
    <row r="463" customFormat="false" ht="15" hidden="false" customHeight="false" outlineLevel="0" collapsed="false">
      <c r="AC463" s="17" t="n">
        <f aca="false">30+443*$AD$5</f>
        <v>57.6875</v>
      </c>
      <c r="AD463" s="17" t="n">
        <f aca="false">-Delta_c*AC463</f>
        <v>-5.84208419237489</v>
      </c>
      <c r="AF463" s="11" t="n">
        <f aca="false">(-AD463/$AD$5*AF462)/(Rho_a-AD463/$AD$5)</f>
        <v>-223.506935383488</v>
      </c>
      <c r="AG463" s="11" t="n">
        <f aca="false">IF(AC463&lt;Floor_F,MAX((-(Cost_k*Ubar_c+Delay_D)*(1-EXP(-Rho_a*LN((Top_c-AC463)/(Top_c-Floor_F))/Delta_c))/Rho_a+EXP(-Rho_a*LN((Top_c-AC463)/(Top_c-Floor_F))/Delta_c)*(-Cost_k*Delta_c*Floor_F/Rho_a)),(-Delay_D/Rho_a)),(EXP(-Rho_a*LN(AC463/Floor_F)/Delta_c)*(-Cost_k*Delta_c*Floor_F/Rho_a)))</f>
        <v>-223.496138925739</v>
      </c>
      <c r="AH463" s="22" t="n">
        <f aca="false">ABS(AF463-AG463)</f>
        <v>0.0107964577493647</v>
      </c>
    </row>
    <row r="464" customFormat="false" ht="15" hidden="false" customHeight="false" outlineLevel="0" collapsed="false">
      <c r="AC464" s="17" t="n">
        <f aca="false">30+444*$AD$5</f>
        <v>57.75</v>
      </c>
      <c r="AD464" s="17" t="n">
        <f aca="false">-Delta_c*AC464</f>
        <v>-5.84841364437097</v>
      </c>
      <c r="AF464" s="11" t="n">
        <f aca="false">(-AD464/$AD$5*AF463)/(Rho_a-AD464/$AD$5)</f>
        <v>-223.279514624848</v>
      </c>
      <c r="AG464" s="11" t="n">
        <f aca="false">IF(AC464&lt;Floor_F,MAX((-(Cost_k*Ubar_c+Delay_D)*(1-EXP(-Rho_a*LN((Top_c-AC464)/(Top_c-Floor_F))/Delta_c))/Rho_a+EXP(-Rho_a*LN((Top_c-AC464)/(Top_c-Floor_F))/Delta_c)*(-Cost_k*Delta_c*Floor_F/Rho_a)),(-Delay_D/Rho_a)),(EXP(-Rho_a*LN(AC464/Floor_F)/Delta_c)*(-Cost_k*Delta_c*Floor_F/Rho_a)))</f>
        <v>-223.268490271416</v>
      </c>
      <c r="AH464" s="22" t="n">
        <f aca="false">ABS(AF464-AG464)</f>
        <v>0.011024353431992</v>
      </c>
    </row>
    <row r="465" customFormat="false" ht="15" hidden="false" customHeight="false" outlineLevel="0" collapsed="false">
      <c r="AC465" s="17" t="n">
        <f aca="false">30+445*$AD$5</f>
        <v>57.8125</v>
      </c>
      <c r="AD465" s="17" t="n">
        <f aca="false">-Delta_c*AC465</f>
        <v>-5.85474309636704</v>
      </c>
      <c r="AF465" s="11" t="n">
        <f aca="false">(-AD465/$AD$5*AF464)/(Rho_a-AD465/$AD$5)</f>
        <v>-223.052570629797</v>
      </c>
      <c r="AG465" s="11" t="n">
        <f aca="false">IF(AC465&lt;Floor_F,MAX((-(Cost_k*Ubar_c+Delay_D)*(1-EXP(-Rho_a*LN((Top_c-AC465)/(Top_c-Floor_F))/Delta_c))/Rho_a+EXP(-Rho_a*LN((Top_c-AC465)/(Top_c-Floor_F))/Delta_c)*(-Cost_k*Delta_c*Floor_F/Rho_a)),(-Delay_D/Rho_a)),(EXP(-Rho_a*LN(AC465/Floor_F)/Delta_c)*(-Cost_k*Delta_c*Floor_F/Rho_a)))</f>
        <v>-223.041319359218</v>
      </c>
      <c r="AH465" s="22" t="n">
        <f aca="false">ABS(AF465-AG465)</f>
        <v>0.0112512705793506</v>
      </c>
    </row>
    <row r="466" customFormat="false" ht="15" hidden="false" customHeight="false" outlineLevel="0" collapsed="false">
      <c r="AC466" s="17" t="n">
        <f aca="false">30+446*$AD$5</f>
        <v>57.875</v>
      </c>
      <c r="AD466" s="17" t="n">
        <f aca="false">-Delta_c*AC466</f>
        <v>-5.86107254836311</v>
      </c>
      <c r="AF466" s="11" t="n">
        <f aca="false">(-AD466/$AD$5*AF465)/(Rho_a-AD466/$AD$5)</f>
        <v>-222.826101885589</v>
      </c>
      <c r="AG466" s="11" t="n">
        <f aca="false">IF(AC466&lt;Floor_F,MAX((-(Cost_k*Ubar_c+Delay_D)*(1-EXP(-Rho_a*LN((Top_c-AC466)/(Top_c-Floor_F))/Delta_c))/Rho_a+EXP(-Rho_a*LN((Top_c-AC466)/(Top_c-Floor_F))/Delta_c)*(-Cost_k*Delta_c*Floor_F/Rho_a)),(-Delay_D/Rho_a)),(EXP(-Rho_a*LN(AC466/Floor_F)/Delta_c)*(-Cost_k*Delta_c*Floor_F/Rho_a)))</f>
        <v>-222.814624671704</v>
      </c>
      <c r="AH466" s="22" t="n">
        <f aca="false">ABS(AF466-AG466)</f>
        <v>0.0114772138852572</v>
      </c>
    </row>
    <row r="467" customFormat="false" ht="15" hidden="false" customHeight="false" outlineLevel="0" collapsed="false">
      <c r="AC467" s="17" t="n">
        <f aca="false">30+447*$AD$5</f>
        <v>57.9375</v>
      </c>
      <c r="AD467" s="17" t="n">
        <f aca="false">-Delta_c*AC467</f>
        <v>-5.86740200035918</v>
      </c>
      <c r="AF467" s="11" t="n">
        <f aca="false">(-AD467/$AD$5*AF466)/(Rho_a-AD467/$AD$5)</f>
        <v>-222.600106885902</v>
      </c>
      <c r="AG467" s="11" t="n">
        <f aca="false">IF(AC467&lt;Floor_F,MAX((-(Cost_k*Ubar_c+Delay_D)*(1-EXP(-Rho_a*LN((Top_c-AC467)/(Top_c-Floor_F))/Delta_c))/Rho_a+EXP(-Rho_a*LN((Top_c-AC467)/(Top_c-Floor_F))/Delta_c)*(-Cost_k*Delta_c*Floor_F/Rho_a)),(-Delay_D/Rho_a)),(EXP(-Rho_a*LN(AC467/Floor_F)/Delta_c)*(-Cost_k*Delta_c*Floor_F/Rho_a)))</f>
        <v>-222.588404697886</v>
      </c>
      <c r="AH467" s="22" t="n">
        <f aca="false">ABS(AF467-AG467)</f>
        <v>0.011702188016784</v>
      </c>
    </row>
    <row r="468" customFormat="false" ht="15" hidden="false" customHeight="false" outlineLevel="0" collapsed="false">
      <c r="AC468" s="17" t="n">
        <f aca="false">30+448*$AD$5</f>
        <v>58</v>
      </c>
      <c r="AD468" s="17" t="n">
        <f aca="false">-Delta_c*AC468</f>
        <v>-5.87373145235526</v>
      </c>
      <c r="AF468" s="11" t="n">
        <f aca="false">(-AD468/$AD$5*AF467)/(Rho_a-AD468/$AD$5)</f>
        <v>-222.374584130805</v>
      </c>
      <c r="AG468" s="11" t="n">
        <f aca="false">IF(AC468&lt;Floor_F,MAX((-(Cost_k*Ubar_c+Delay_D)*(1-EXP(-Rho_a*LN((Top_c-AC468)/(Top_c-Floor_F))/Delta_c))/Rho_a+EXP(-Rho_a*LN((Top_c-AC468)/(Top_c-Floor_F))/Delta_c)*(-Cost_k*Delta_c*Floor_F/Rho_a)),(-Delay_D/Rho_a)),(EXP(-Rho_a*LN(AC468/Floor_F)/Delta_c)*(-Cost_k*Delta_c*Floor_F/Rho_a)))</f>
        <v>-222.36265793319</v>
      </c>
      <c r="AH468" s="22" t="n">
        <f aca="false">ABS(AF468-AG468)</f>
        <v>0.0119261976143719</v>
      </c>
    </row>
    <row r="469" customFormat="false" ht="15" hidden="false" customHeight="false" outlineLevel="0" collapsed="false">
      <c r="AC469" s="17" t="n">
        <f aca="false">30+449*$AD$5</f>
        <v>58.0625</v>
      </c>
      <c r="AD469" s="17" t="n">
        <f aca="false">-Delta_c*AC469</f>
        <v>-5.88006090435133</v>
      </c>
      <c r="AF469" s="11" t="n">
        <f aca="false">(-AD469/$AD$5*AF468)/(Rho_a-AD469/$AD$5)</f>
        <v>-222.149532126722</v>
      </c>
      <c r="AG469" s="11" t="n">
        <f aca="false">IF(AC469&lt;Floor_F,MAX((-(Cost_k*Ubar_c+Delay_D)*(1-EXP(-Rho_a*LN((Top_c-AC469)/(Top_c-Floor_F))/Delta_c))/Rho_a+EXP(-Rho_a*LN((Top_c-AC469)/(Top_c-Floor_F))/Delta_c)*(-Cost_k*Delta_c*Floor_F/Rho_a)),(-Delay_D/Rho_a)),(EXP(-Rho_a*LN(AC469/Floor_F)/Delta_c)*(-Cost_k*Delta_c*Floor_F/Rho_a)))</f>
        <v>-222.13738287943</v>
      </c>
      <c r="AH469" s="22" t="n">
        <f aca="false">ABS(AF469-AG469)</f>
        <v>0.0121492472923421</v>
      </c>
    </row>
    <row r="470" customFormat="false" ht="15" hidden="false" customHeight="false" outlineLevel="0" collapsed="false">
      <c r="AC470" s="17" t="n">
        <f aca="false">30+450*$AD$5</f>
        <v>58.125</v>
      </c>
      <c r="AD470" s="17" t="n">
        <f aca="false">-Delta_c*AC470</f>
        <v>-5.8863903563474</v>
      </c>
      <c r="AF470" s="11" t="n">
        <f aca="false">(-AD470/$AD$5*AF469)/(Rho_a-AD470/$AD$5)</f>
        <v>-221.924949386403</v>
      </c>
      <c r="AG470" s="11" t="n">
        <f aca="false">IF(AC470&lt;Floor_F,MAX((-(Cost_k*Ubar_c+Delay_D)*(1-EXP(-Rho_a*LN((Top_c-AC470)/(Top_c-Floor_F))/Delta_c))/Rho_a+EXP(-Rho_a*LN((Top_c-AC470)/(Top_c-Floor_F))/Delta_c)*(-Cost_k*Delta_c*Floor_F/Rho_a)),(-Delay_D/Rho_a)),(EXP(-Rho_a*LN(AC470/Floor_F)/Delta_c)*(-Cost_k*Delta_c*Floor_F/Rho_a)))</f>
        <v>-221.912578044764</v>
      </c>
      <c r="AH470" s="22" t="n">
        <f aca="false">ABS(AF470-AG470)</f>
        <v>0.0123713416387261</v>
      </c>
    </row>
    <row r="471" customFormat="false" ht="15" hidden="false" customHeight="false" outlineLevel="0" collapsed="false">
      <c r="AC471" s="17" t="n">
        <f aca="false">30+451*$AD$5</f>
        <v>58.1875</v>
      </c>
      <c r="AD471" s="17" t="n">
        <f aca="false">-Delta_c*AC471</f>
        <v>-5.89271980834347</v>
      </c>
      <c r="AF471" s="11" t="n">
        <f aca="false">(-AD471/$AD$5*AF470)/(Rho_a-AD471/$AD$5)</f>
        <v>-221.700834428885</v>
      </c>
      <c r="AG471" s="11" t="n">
        <f aca="false">IF(AC471&lt;Floor_F,MAX((-(Cost_k*Ubar_c+Delay_D)*(1-EXP(-Rho_a*LN((Top_c-AC471)/(Top_c-Floor_F))/Delta_c))/Rho_a+EXP(-Rho_a*LN((Top_c-AC471)/(Top_c-Floor_F))/Delta_c)*(-Cost_k*Delta_c*Floor_F/Rho_a)),(-Delay_D/Rho_a)),(EXP(-Rho_a*LN(AC471/Floor_F)/Delta_c)*(-Cost_k*Delta_c*Floor_F/Rho_a)))</f>
        <v>-221.688241943669</v>
      </c>
      <c r="AH471" s="22" t="n">
        <f aca="false">ABS(AF471-AG471)</f>
        <v>0.0125924852155777</v>
      </c>
    </row>
    <row r="472" customFormat="false" ht="15" hidden="false" customHeight="false" outlineLevel="0" collapsed="false">
      <c r="AC472" s="17" t="n">
        <f aca="false">30+452*$AD$5</f>
        <v>58.25</v>
      </c>
      <c r="AD472" s="17" t="n">
        <f aca="false">-Delta_c*AC472</f>
        <v>-5.89904926033955</v>
      </c>
      <c r="AF472" s="11" t="n">
        <f aca="false">(-AD472/$AD$5*AF471)/(Rho_a-AD472/$AD$5)</f>
        <v>-221.477185779463</v>
      </c>
      <c r="AG472" s="11" t="n">
        <f aca="false">IF(AC472&lt;Floor_F,MAX((-(Cost_k*Ubar_c+Delay_D)*(1-EXP(-Rho_a*LN((Top_c-AC472)/(Top_c-Floor_F))/Delta_c))/Rho_a+EXP(-Rho_a*LN((Top_c-AC472)/(Top_c-Floor_F))/Delta_c)*(-Cost_k*Delta_c*Floor_F/Rho_a)),(-Delay_D/Rho_a)),(EXP(-Rho_a*LN(AC472/Floor_F)/Delta_c)*(-Cost_k*Delta_c*Floor_F/Rho_a)))</f>
        <v>-221.464373096903</v>
      </c>
      <c r="AH472" s="22" t="n">
        <f aca="false">ABS(AF472-AG472)</f>
        <v>0.0128126825592574</v>
      </c>
    </row>
    <row r="473" customFormat="false" ht="15" hidden="false" customHeight="false" outlineLevel="0" collapsed="false">
      <c r="AC473" s="17" t="n">
        <f aca="false">30+453*$AD$5</f>
        <v>58.3125</v>
      </c>
      <c r="AD473" s="17" t="n">
        <f aca="false">-Delta_c*AC473</f>
        <v>-5.90537871233562</v>
      </c>
      <c r="AF473" s="11" t="n">
        <f aca="false">(-AD473/$AD$5*AF472)/(Rho_a-AD473/$AD$5)</f>
        <v>-221.254001969654</v>
      </c>
      <c r="AG473" s="11" t="n">
        <f aca="false">IF(AC473&lt;Floor_F,MAX((-(Cost_k*Ubar_c+Delay_D)*(1-EXP(-Rho_a*LN((Top_c-AC473)/(Top_c-Floor_F))/Delta_c))/Rho_a+EXP(-Rho_a*LN((Top_c-AC473)/(Top_c-Floor_F))/Delta_c)*(-Cost_k*Delta_c*Floor_F/Rho_a)),(-Delay_D/Rho_a)),(EXP(-Rho_a*LN(AC473/Floor_F)/Delta_c)*(-Cost_k*Delta_c*Floor_F/Rho_a)))</f>
        <v>-221.240970031473</v>
      </c>
      <c r="AH473" s="22" t="n">
        <f aca="false">ABS(AF473-AG473)</f>
        <v>0.0130319381803758</v>
      </c>
    </row>
    <row r="474" customFormat="false" ht="15" hidden="false" customHeight="false" outlineLevel="0" collapsed="false">
      <c r="AC474" s="17" t="n">
        <f aca="false">30+454*$AD$5</f>
        <v>58.375</v>
      </c>
      <c r="AD474" s="17" t="n">
        <f aca="false">-Delta_c*AC474</f>
        <v>-5.91170816433169</v>
      </c>
      <c r="AF474" s="11" t="n">
        <f aca="false">(-AD474/$AD$5*AF473)/(Rho_a-AD474/$AD$5)</f>
        <v>-221.031281537165</v>
      </c>
      <c r="AG474" s="11" t="n">
        <f aca="false">IF(AC474&lt;Floor_F,MAX((-(Cost_k*Ubar_c+Delay_D)*(1-EXP(-Rho_a*LN((Top_c-AC474)/(Top_c-Floor_F))/Delta_c))/Rho_a+EXP(-Rho_a*LN((Top_c-AC474)/(Top_c-Floor_F))/Delta_c)*(-Cost_k*Delta_c*Floor_F/Rho_a)),(-Delay_D/Rho_a)),(EXP(-Rho_a*LN(AC474/Floor_F)/Delta_c)*(-Cost_k*Delta_c*Floor_F/Rho_a)))</f>
        <v>-221.018031280601</v>
      </c>
      <c r="AH474" s="22" t="n">
        <f aca="false">ABS(AF474-AG474)</f>
        <v>0.0132502565640209</v>
      </c>
    </row>
    <row r="475" customFormat="false" ht="15" hidden="false" customHeight="false" outlineLevel="0" collapsed="false">
      <c r="AC475" s="17" t="n">
        <f aca="false">30+455*$AD$5</f>
        <v>58.4375</v>
      </c>
      <c r="AD475" s="17" t="n">
        <f aca="false">-Delta_c*AC475</f>
        <v>-5.91803761632776</v>
      </c>
      <c r="AF475" s="11" t="n">
        <f aca="false">(-AD475/$AD$5*AF474)/(Rho_a-AD475/$AD$5)</f>
        <v>-220.809023025862</v>
      </c>
      <c r="AG475" s="11" t="n">
        <f aca="false">IF(AC475&lt;Floor_F,MAX((-(Cost_k*Ubar_c+Delay_D)*(1-EXP(-Rho_a*LN((Top_c-AC475)/(Top_c-Floor_F))/Delta_c))/Rho_a+EXP(-Rho_a*LN((Top_c-AC475)/(Top_c-Floor_F))/Delta_c)*(-Cost_k*Delta_c*Floor_F/Rho_a)),(-Delay_D/Rho_a)),(EXP(-Rho_a*LN(AC475/Floor_F)/Delta_c)*(-Cost_k*Delta_c*Floor_F/Rho_a)))</f>
        <v>-220.795555383692</v>
      </c>
      <c r="AH475" s="22" t="n">
        <f aca="false">ABS(AF475-AG475)</f>
        <v>0.013467642170184</v>
      </c>
    </row>
    <row r="476" customFormat="false" ht="15" hidden="false" customHeight="false" outlineLevel="0" collapsed="false">
      <c r="AC476" s="17" t="n">
        <f aca="false">30+456*$AD$5</f>
        <v>58.5</v>
      </c>
      <c r="AD476" s="17" t="n">
        <f aca="false">-Delta_c*AC476</f>
        <v>-5.92436706832384</v>
      </c>
      <c r="AF476" s="11" t="n">
        <f aca="false">(-AD476/$AD$5*AF475)/(Rho_a-AD476/$AD$5)</f>
        <v>-220.587224985736</v>
      </c>
      <c r="AG476" s="11" t="n">
        <f aca="false">IF(AC476&lt;Floor_F,MAX((-(Cost_k*Ubar_c+Delay_D)*(1-EXP(-Rho_a*LN((Top_c-AC476)/(Top_c-Floor_F))/Delta_c))/Rho_a+EXP(-Rho_a*LN((Top_c-AC476)/(Top_c-Floor_F))/Delta_c)*(-Cost_k*Delta_c*Floor_F/Rho_a)),(-Delay_D/Rho_a)),(EXP(-Rho_a*LN(AC476/Floor_F)/Delta_c)*(-Cost_k*Delta_c*Floor_F/Rho_a)))</f>
        <v>-220.573540886302</v>
      </c>
      <c r="AH476" s="22" t="n">
        <f aca="false">ABS(AF476-AG476)</f>
        <v>0.0136840994335898</v>
      </c>
    </row>
    <row r="477" customFormat="false" ht="15" hidden="false" customHeight="false" outlineLevel="0" collapsed="false">
      <c r="AC477" s="17" t="n">
        <f aca="false">30+457*$AD$5</f>
        <v>58.5625</v>
      </c>
      <c r="AD477" s="17" t="n">
        <f aca="false">-Delta_c*AC477</f>
        <v>-5.93069652031991</v>
      </c>
      <c r="AF477" s="11" t="n">
        <f aca="false">(-AD477/$AD$5*AF476)/(Rho_a-AD477/$AD$5)</f>
        <v>-220.365885972868</v>
      </c>
      <c r="AG477" s="11" t="n">
        <f aca="false">IF(AC477&lt;Floor_F,MAX((-(Cost_k*Ubar_c+Delay_D)*(1-EXP(-Rho_a*LN((Top_c-AC477)/(Top_c-Floor_F))/Delta_c))/Rho_a+EXP(-Rho_a*LN((Top_c-AC477)/(Top_c-Floor_F))/Delta_c)*(-Cost_k*Delta_c*Floor_F/Rho_a)),(-Delay_D/Rho_a)),(EXP(-Rho_a*LN(AC477/Floor_F)/Delta_c)*(-Cost_k*Delta_c*Floor_F/Rho_a)))</f>
        <v>-220.351986340104</v>
      </c>
      <c r="AH477" s="22" t="n">
        <f aca="false">ABS(AF477-AG477)</f>
        <v>0.0138996327639234</v>
      </c>
    </row>
    <row r="478" customFormat="false" ht="15" hidden="false" customHeight="false" outlineLevel="0" collapsed="false">
      <c r="AC478" s="17" t="n">
        <f aca="false">30+458*$AD$5</f>
        <v>58.625</v>
      </c>
      <c r="AD478" s="17" t="n">
        <f aca="false">-Delta_c*AC478</f>
        <v>-5.93702597231598</v>
      </c>
      <c r="AF478" s="11" t="n">
        <f aca="false">(-AD478/$AD$5*AF477)/(Rho_a-AD478/$AD$5)</f>
        <v>-220.145004549403</v>
      </c>
      <c r="AG478" s="11" t="n">
        <f aca="false">IF(AC478&lt;Floor_F,MAX((-(Cost_k*Ubar_c+Delay_D)*(1-EXP(-Rho_a*LN((Top_c-AC478)/(Top_c-Floor_F))/Delta_c))/Rho_a+EXP(-Rho_a*LN((Top_c-AC478)/(Top_c-Floor_F))/Delta_c)*(-Cost_k*Delta_c*Floor_F/Rho_a)),(-Delay_D/Rho_a)),(EXP(-Rho_a*LN(AC478/Floor_F)/Delta_c)*(-Cost_k*Delta_c*Floor_F/Rho_a)))</f>
        <v>-220.130890302856</v>
      </c>
      <c r="AH478" s="22" t="n">
        <f aca="false">ABS(AF478-AG478)</f>
        <v>0.0141142465463133</v>
      </c>
    </row>
    <row r="479" customFormat="false" ht="15" hidden="false" customHeight="false" outlineLevel="0" collapsed="false">
      <c r="AC479" s="17" t="n">
        <f aca="false">30+459*$AD$5</f>
        <v>58.6875</v>
      </c>
      <c r="AD479" s="17" t="n">
        <f aca="false">-Delta_c*AC479</f>
        <v>-5.94335542431205</v>
      </c>
      <c r="AF479" s="11" t="n">
        <f aca="false">(-AD479/$AD$5*AF478)/(Rho_a-AD479/$AD$5)</f>
        <v>-219.924579283513</v>
      </c>
      <c r="AG479" s="11" t="n">
        <f aca="false">IF(AC479&lt;Floor_F,MAX((-(Cost_k*Ubar_c+Delay_D)*(1-EXP(-Rho_a*LN((Top_c-AC479)/(Top_c-Floor_F))/Delta_c))/Rho_a+EXP(-Rho_a*LN((Top_c-AC479)/(Top_c-Floor_F))/Delta_c)*(-Cost_k*Delta_c*Floor_F/Rho_a)),(-Delay_D/Rho_a)),(EXP(-Rho_a*LN(AC479/Floor_F)/Delta_c)*(-Cost_k*Delta_c*Floor_F/Rho_a)))</f>
        <v>-219.910251338372</v>
      </c>
      <c r="AH479" s="22" t="n">
        <f aca="false">ABS(AF479-AG479)</f>
        <v>0.0143279451410194</v>
      </c>
    </row>
    <row r="480" customFormat="false" ht="15" hidden="false" customHeight="false" outlineLevel="0" collapsed="false">
      <c r="AC480" s="17" t="n">
        <f aca="false">30+460*$AD$5</f>
        <v>58.75</v>
      </c>
      <c r="AD480" s="17" t="n">
        <f aca="false">-Delta_c*AC480</f>
        <v>-5.94968487630813</v>
      </c>
      <c r="AF480" s="11" t="n">
        <f aca="false">(-AD480/$AD$5*AF479)/(Rho_a-AD480/$AD$5)</f>
        <v>-219.704608749368</v>
      </c>
      <c r="AG480" s="11" t="n">
        <f aca="false">IF(AC480&lt;Floor_F,MAX((-(Cost_k*Ubar_c+Delay_D)*(1-EXP(-Rho_a*LN((Top_c-AC480)/(Top_c-Floor_F))/Delta_c))/Rho_a+EXP(-Rho_a*LN((Top_c-AC480)/(Top_c-Floor_F))/Delta_c)*(-Cost_k*Delta_c*Floor_F/Rho_a)),(-Delay_D/Rho_a)),(EXP(-Rho_a*LN(AC480/Floor_F)/Delta_c)*(-Cost_k*Delta_c*Floor_F/Rho_a)))</f>
        <v>-219.690068016484</v>
      </c>
      <c r="AH480" s="22" t="n">
        <f aca="false">ABS(AF480-AG480)</f>
        <v>0.0145407328839156</v>
      </c>
    </row>
    <row r="481" customFormat="false" ht="15" hidden="false" customHeight="false" outlineLevel="0" collapsed="false">
      <c r="AC481" s="17" t="n">
        <f aca="false">30+461*$AD$5</f>
        <v>58.8125</v>
      </c>
      <c r="AD481" s="17" t="n">
        <f aca="false">-Delta_c*AC481</f>
        <v>-5.9560143283042</v>
      </c>
      <c r="AF481" s="11" t="n">
        <f aca="false">(-AD481/$AD$5*AF480)/(Rho_a-AD481/$AD$5)</f>
        <v>-219.485091527104</v>
      </c>
      <c r="AG481" s="11" t="n">
        <f aca="false">IF(AC481&lt;Floor_F,MAX((-(Cost_k*Ubar_c+Delay_D)*(1-EXP(-Rho_a*LN((Top_c-AC481)/(Top_c-Floor_F))/Delta_c))/Rho_a+EXP(-Rho_a*LN((Top_c-AC481)/(Top_c-Floor_F))/Delta_c)*(-Cost_k*Delta_c*Floor_F/Rho_a)),(-Delay_D/Rho_a)),(EXP(-Rho_a*LN(AC481/Floor_F)/Delta_c)*(-Cost_k*Delta_c*Floor_F/Rho_a)))</f>
        <v>-219.470338913018</v>
      </c>
      <c r="AH481" s="22" t="n">
        <f aca="false">ABS(AF481-AG481)</f>
        <v>0.0147526140865466</v>
      </c>
    </row>
    <row r="482" customFormat="false" ht="15" hidden="false" customHeight="false" outlineLevel="0" collapsed="false">
      <c r="AC482" s="17" t="n">
        <f aca="false">30+462*$AD$5</f>
        <v>58.875</v>
      </c>
      <c r="AD482" s="17" t="n">
        <f aca="false">-Delta_c*AC482</f>
        <v>-5.96234378030027</v>
      </c>
      <c r="AF482" s="11" t="n">
        <f aca="false">(-AD482/$AD$5*AF481)/(Rho_a-AD482/$AD$5)</f>
        <v>-219.266026202791</v>
      </c>
      <c r="AG482" s="11" t="n">
        <f aca="false">IF(AC482&lt;Floor_F,MAX((-(Cost_k*Ubar_c+Delay_D)*(1-EXP(-Rho_a*LN((Top_c-AC482)/(Top_c-Floor_F))/Delta_c))/Rho_a+EXP(-Rho_a*LN((Top_c-AC482)/(Top_c-Floor_F))/Delta_c)*(-Cost_k*Delta_c*Floor_F/Rho_a)),(-Delay_D/Rho_a)),(EXP(-Rho_a*LN(AC482/Floor_F)/Delta_c)*(-Cost_k*Delta_c*Floor_F/Rho_a)))</f>
        <v>-219.251062609755</v>
      </c>
      <c r="AH482" s="22" t="n">
        <f aca="false">ABS(AF482-AG482)</f>
        <v>0.0149635930363559</v>
      </c>
    </row>
    <row r="483" customFormat="false" ht="15" hidden="false" customHeight="false" outlineLevel="0" collapsed="false">
      <c r="AC483" s="17" t="n">
        <f aca="false">30+463*$AD$5</f>
        <v>58.9375</v>
      </c>
      <c r="AD483" s="17" t="n">
        <f aca="false">-Delta_c*AC483</f>
        <v>-5.96867323229634</v>
      </c>
      <c r="AF483" s="11" t="n">
        <f aca="false">(-AD483/$AD$5*AF482)/(Rho_a-AD483/$AD$5)</f>
        <v>-219.047411368402</v>
      </c>
      <c r="AG483" s="11" t="n">
        <f aca="false">IF(AC483&lt;Floor_F,MAX((-(Cost_k*Ubar_c+Delay_D)*(1-EXP(-Rho_a*LN((Top_c-AC483)/(Top_c-Floor_F))/Delta_c))/Rho_a+EXP(-Rho_a*LN((Top_c-AC483)/(Top_c-Floor_F))/Delta_c)*(-Cost_k*Delta_c*Floor_F/Rho_a)),(-Delay_D/Rho_a)),(EXP(-Rho_a*LN(AC483/Floor_F)/Delta_c)*(-Cost_k*Delta_c*Floor_F/Rho_a)))</f>
        <v>-219.032237694406</v>
      </c>
      <c r="AH483" s="22" t="n">
        <f aca="false">ABS(AF483-AG483)</f>
        <v>0.0151736739966282</v>
      </c>
    </row>
    <row r="484" customFormat="false" ht="15" hidden="false" customHeight="false" outlineLevel="0" collapsed="false">
      <c r="AC484" s="17" t="n">
        <f aca="false">30+464*$AD$5</f>
        <v>59</v>
      </c>
      <c r="AD484" s="17" t="n">
        <f aca="false">-Delta_c*AC484</f>
        <v>-5.97500268429242</v>
      </c>
      <c r="AF484" s="11" t="n">
        <f aca="false">(-AD484/$AD$5*AF483)/(Rho_a-AD484/$AD$5)</f>
        <v>-218.829245621784</v>
      </c>
      <c r="AG484" s="11" t="n">
        <f aca="false">IF(AC484&lt;Floor_F,MAX((-(Cost_k*Ubar_c+Delay_D)*(1-EXP(-Rho_a*LN((Top_c-AC484)/(Top_c-Floor_F))/Delta_c))/Rho_a+EXP(-Rho_a*LN((Top_c-AC484)/(Top_c-Floor_F))/Delta_c)*(-Cost_k*Delta_c*Floor_F/Rho_a)),(-Delay_D/Rho_a)),(EXP(-Rho_a*LN(AC484/Floor_F)/Delta_c)*(-Cost_k*Delta_c*Floor_F/Rho_a)))</f>
        <v>-218.813862760577</v>
      </c>
      <c r="AH484" s="22" t="n">
        <f aca="false">ABS(AF484-AG484)</f>
        <v>0.0153828612071152</v>
      </c>
    </row>
    <row r="485" customFormat="false" ht="15" hidden="false" customHeight="false" outlineLevel="0" collapsed="false">
      <c r="AC485" s="17" t="n">
        <f aca="false">30+465*$AD$5</f>
        <v>59.0625</v>
      </c>
      <c r="AD485" s="17" t="n">
        <f aca="false">-Delta_c*AC485</f>
        <v>-5.98133213628849</v>
      </c>
      <c r="AF485" s="11" t="n">
        <f aca="false">(-AD485/$AD$5*AF484)/(Rho_a-AD485/$AD$5)</f>
        <v>-218.611527566624</v>
      </c>
      <c r="AG485" s="11" t="n">
        <f aca="false">IF(AC485&lt;Floor_F,MAX((-(Cost_k*Ubar_c+Delay_D)*(1-EXP(-Rho_a*LN((Top_c-AC485)/(Top_c-Floor_F))/Delta_c))/Rho_a+EXP(-Rho_a*LN((Top_c-AC485)/(Top_c-Floor_F))/Delta_c)*(-Cost_k*Delta_c*Floor_F/Rho_a)),(-Delay_D/Rho_a)),(EXP(-Rho_a*LN(AC485/Floor_F)/Delta_c)*(-Cost_k*Delta_c*Floor_F/Rho_a)))</f>
        <v>-218.59593640774</v>
      </c>
      <c r="AH485" s="22" t="n">
        <f aca="false">ABS(AF485-AG485)</f>
        <v>0.0155911588835806</v>
      </c>
    </row>
    <row r="486" customFormat="false" ht="15" hidden="false" customHeight="false" outlineLevel="0" collapsed="false">
      <c r="AC486" s="17" t="n">
        <f aca="false">30+466*$AD$5</f>
        <v>59.125</v>
      </c>
      <c r="AD486" s="17" t="n">
        <f aca="false">-Delta_c*AC486</f>
        <v>-5.98766158828456</v>
      </c>
      <c r="AF486" s="11" t="n">
        <f aca="false">(-AD486/$AD$5*AF485)/(Rho_a-AD486/$AD$5)</f>
        <v>-218.394255812421</v>
      </c>
      <c r="AG486" s="11" t="n">
        <f aca="false">IF(AC486&lt;Floor_F,MAX((-(Cost_k*Ubar_c+Delay_D)*(1-EXP(-Rho_a*LN((Top_c-AC486)/(Top_c-Floor_F))/Delta_c))/Rho_a+EXP(-Rho_a*LN((Top_c-AC486)/(Top_c-Floor_F))/Delta_c)*(-Cost_k*Delta_c*Floor_F/Rho_a)),(-Delay_D/Rho_a)),(EXP(-Rho_a*LN(AC486/Floor_F)/Delta_c)*(-Cost_k*Delta_c*Floor_F/Rho_a)))</f>
        <v>-218.378457241203</v>
      </c>
      <c r="AH486" s="22" t="n">
        <f aca="false">ABS(AF486-AG486)</f>
        <v>0.0157985712183688</v>
      </c>
    </row>
    <row r="487" customFormat="false" ht="15" hidden="false" customHeight="false" outlineLevel="0" collapsed="false">
      <c r="AC487" s="17" t="n">
        <f aca="false">30+467*$AD$5</f>
        <v>59.1875</v>
      </c>
      <c r="AD487" s="17" t="n">
        <f aca="false">-Delta_c*AC487</f>
        <v>-5.99399104028063</v>
      </c>
      <c r="AF487" s="11" t="n">
        <f aca="false">(-AD487/$AD$5*AF486)/(Rho_a-AD487/$AD$5)</f>
        <v>-218.177428974457</v>
      </c>
      <c r="AG487" s="11" t="n">
        <f aca="false">IF(AC487&lt;Floor_F,MAX((-(Cost_k*Ubar_c+Delay_D)*(1-EXP(-Rho_a*LN((Top_c-AC487)/(Top_c-Floor_F))/Delta_c))/Rho_a+EXP(-Rho_a*LN((Top_c-AC487)/(Top_c-Floor_F))/Delta_c)*(-Cost_k*Delta_c*Floor_F/Rho_a)),(-Delay_D/Rho_a)),(EXP(-Rho_a*LN(AC487/Floor_F)/Delta_c)*(-Cost_k*Delta_c*Floor_F/Rho_a)))</f>
        <v>-218.161423872077</v>
      </c>
      <c r="AH487" s="22" t="n">
        <f aca="false">ABS(AF487-AG487)</f>
        <v>0.0160051023805465</v>
      </c>
    </row>
    <row r="488" customFormat="false" ht="15" hidden="false" customHeight="false" outlineLevel="0" collapsed="false">
      <c r="AC488" s="17" t="n">
        <f aca="false">30+468*$AD$5</f>
        <v>59.25</v>
      </c>
      <c r="AD488" s="17" t="n">
        <f aca="false">-Delta_c*AC488</f>
        <v>-6.00032049227671</v>
      </c>
      <c r="AF488" s="11" t="n">
        <f aca="false">(-AD488/$AD$5*AF487)/(Rho_a-AD488/$AD$5)</f>
        <v>-217.961045673762</v>
      </c>
      <c r="AG488" s="11" t="n">
        <f aca="false">IF(AC488&lt;Floor_F,MAX((-(Cost_k*Ubar_c+Delay_D)*(1-EXP(-Rho_a*LN((Top_c-AC488)/(Top_c-Floor_F))/Delta_c))/Rho_a+EXP(-Rho_a*LN((Top_c-AC488)/(Top_c-Floor_F))/Delta_c)*(-Cost_k*Delta_c*Floor_F/Rho_a)),(-Delay_D/Rho_a)),(EXP(-Rho_a*LN(AC488/Floor_F)/Delta_c)*(-Cost_k*Delta_c*Floor_F/Rho_a)))</f>
        <v>-217.944834917247</v>
      </c>
      <c r="AH488" s="22" t="n">
        <f aca="false">ABS(AF488-AG488)</f>
        <v>0.0162107565158749</v>
      </c>
    </row>
    <row r="489" customFormat="false" ht="15" hidden="false" customHeight="false" outlineLevel="0" collapsed="false">
      <c r="AC489" s="17" t="n">
        <f aca="false">30+469*$AD$5</f>
        <v>59.3125</v>
      </c>
      <c r="AD489" s="17" t="n">
        <f aca="false">-Delta_c*AC489</f>
        <v>-6.00664994427278</v>
      </c>
      <c r="AF489" s="11" t="n">
        <f aca="false">(-AD489/$AD$5*AF488)/(Rho_a-AD489/$AD$5)</f>
        <v>-217.74510453709</v>
      </c>
      <c r="AG489" s="11" t="n">
        <f aca="false">IF(AC489&lt;Floor_F,MAX((-(Cost_k*Ubar_c+Delay_D)*(1-EXP(-Rho_a*LN((Top_c-AC489)/(Top_c-Floor_F))/Delta_c))/Rho_a+EXP(-Rho_a*LN((Top_c-AC489)/(Top_c-Floor_F))/Delta_c)*(-Cost_k*Delta_c*Floor_F/Rho_a)),(-Delay_D/Rho_a)),(EXP(-Rho_a*LN(AC489/Floor_F)/Delta_c)*(-Cost_k*Delta_c*Floor_F/Rho_a)))</f>
        <v>-217.728688999343</v>
      </c>
      <c r="AH489" s="22" t="n">
        <f aca="false">ABS(AF489-AG489)</f>
        <v>0.0164155377469228</v>
      </c>
    </row>
    <row r="490" customFormat="false" ht="15" hidden="false" customHeight="false" outlineLevel="0" collapsed="false">
      <c r="AC490" s="17" t="n">
        <f aca="false">30+470*$AD$5</f>
        <v>59.375</v>
      </c>
      <c r="AD490" s="17" t="n">
        <f aca="false">-Delta_c*AC490</f>
        <v>-6.01297939626885</v>
      </c>
      <c r="AF490" s="11" t="n">
        <f aca="false">(-AD490/$AD$5*AF489)/(Rho_a-AD490/$AD$5)</f>
        <v>-217.529604196884</v>
      </c>
      <c r="AG490" s="11" t="n">
        <f aca="false">IF(AC490&lt;Floor_F,MAX((-(Cost_k*Ubar_c+Delay_D)*(1-EXP(-Rho_a*LN((Top_c-AC490)/(Top_c-Floor_F))/Delta_c))/Rho_a+EXP(-Rho_a*LN((Top_c-AC490)/(Top_c-Floor_F))/Delta_c)*(-Cost_k*Delta_c*Floor_F/Rho_a)),(-Delay_D/Rho_a)),(EXP(-Rho_a*LN(AC490/Floor_F)/Delta_c)*(-Cost_k*Delta_c*Floor_F/Rho_a)))</f>
        <v>-217.51298474671</v>
      </c>
      <c r="AH490" s="22" t="n">
        <f aca="false">ABS(AF490-AG490)</f>
        <v>0.0166194501736072</v>
      </c>
    </row>
    <row r="491" customFormat="false" ht="15" hidden="false" customHeight="false" outlineLevel="0" collapsed="false">
      <c r="AC491" s="17" t="n">
        <f aca="false">30+471*$AD$5</f>
        <v>59.4375</v>
      </c>
      <c r="AD491" s="17" t="n">
        <f aca="false">-Delta_c*AC491</f>
        <v>-6.01930884826492</v>
      </c>
      <c r="AF491" s="11" t="n">
        <f aca="false">(-AD491/$AD$5*AF490)/(Rho_a-AD491/$AD$5)</f>
        <v>-217.31454329125</v>
      </c>
      <c r="AG491" s="11" t="n">
        <f aca="false">IF(AC491&lt;Floor_F,MAX((-(Cost_k*Ubar_c+Delay_D)*(1-EXP(-Rho_a*LN((Top_c-AC491)/(Top_c-Floor_F))/Delta_c))/Rho_a+EXP(-Rho_a*LN((Top_c-AC491)/(Top_c-Floor_F))/Delta_c)*(-Cost_k*Delta_c*Floor_F/Rho_a)),(-Delay_D/Rho_a)),(EXP(-Rho_a*LN(AC491/Floor_F)/Delta_c)*(-Cost_k*Delta_c*Floor_F/Rho_a)))</f>
        <v>-217.297720793377</v>
      </c>
      <c r="AH491" s="22" t="n">
        <f aca="false">ABS(AF491-AG491)</f>
        <v>0.0168224978728802</v>
      </c>
    </row>
    <row r="492" customFormat="false" ht="15" hidden="false" customHeight="false" outlineLevel="0" collapsed="false">
      <c r="AC492" s="17" t="n">
        <f aca="false">30+472*$AD$5</f>
        <v>59.5</v>
      </c>
      <c r="AD492" s="17" t="n">
        <f aca="false">-Delta_c*AC492</f>
        <v>-6.025638300261</v>
      </c>
      <c r="AF492" s="11" t="n">
        <f aca="false">(-AD492/$AD$5*AF491)/(Rho_a-AD492/$AD$5)</f>
        <v>-217.099920463926</v>
      </c>
      <c r="AG492" s="11" t="n">
        <f aca="false">IF(AC492&lt;Floor_F,MAX((-(Cost_k*Ubar_c+Delay_D)*(1-EXP(-Rho_a*LN((Top_c-AC492)/(Top_c-Floor_F))/Delta_c))/Rho_a+EXP(-Rho_a*LN((Top_c-AC492)/(Top_c-Floor_F))/Delta_c)*(-Cost_k*Delta_c*Floor_F/Rho_a)),(-Delay_D/Rho_a)),(EXP(-Rho_a*LN(AC492/Floor_F)/Delta_c)*(-Cost_k*Delta_c*Floor_F/Rho_a)))</f>
        <v>-217.082895779027</v>
      </c>
      <c r="AH492" s="22" t="n">
        <f aca="false">ABS(AF492-AG492)</f>
        <v>0.0170246848991269</v>
      </c>
    </row>
    <row r="493" customFormat="false" ht="15" hidden="false" customHeight="false" outlineLevel="0" collapsed="false">
      <c r="AC493" s="17" t="n">
        <f aca="false">30+473*$AD$5</f>
        <v>59.5625</v>
      </c>
      <c r="AD493" s="17" t="n">
        <f aca="false">-Delta_c*AC493</f>
        <v>-6.03196775225707</v>
      </c>
      <c r="AF493" s="11" t="n">
        <f aca="false">(-AD493/$AD$5*AF492)/(Rho_a-AD493/$AD$5)</f>
        <v>-216.885734364254</v>
      </c>
      <c r="AG493" s="11" t="n">
        <f aca="false">IF(AC493&lt;Floor_F,MAX((-(Cost_k*Ubar_c+Delay_D)*(1-EXP(-Rho_a*LN((Top_c-AC493)/(Top_c-Floor_F))/Delta_c))/Rho_a+EXP(-Rho_a*LN((Top_c-AC493)/(Top_c-Floor_F))/Delta_c)*(-Cost_k*Delta_c*Floor_F/Rho_a)),(-Delay_D/Rho_a)),(EXP(-Rho_a*LN(AC493/Floor_F)/Delta_c)*(-Cost_k*Delta_c*Floor_F/Rho_a)))</f>
        <v>-216.86850834897</v>
      </c>
      <c r="AH493" s="22" t="n">
        <f aca="false">ABS(AF493-AG493)</f>
        <v>0.017226015284308</v>
      </c>
    </row>
    <row r="494" customFormat="false" ht="15" hidden="false" customHeight="false" outlineLevel="0" collapsed="false">
      <c r="AC494" s="17" t="n">
        <f aca="false">30+474*$AD$5</f>
        <v>59.625</v>
      </c>
      <c r="AD494" s="17" t="n">
        <f aca="false">-Delta_c*AC494</f>
        <v>-6.03829720425314</v>
      </c>
      <c r="AF494" s="11" t="n">
        <f aca="false">(-AD494/$AD$5*AF493)/(Rho_a-AD494/$AD$5)</f>
        <v>-216.67198364715</v>
      </c>
      <c r="AG494" s="11" t="n">
        <f aca="false">IF(AC494&lt;Floor_F,MAX((-(Cost_k*Ubar_c+Delay_D)*(1-EXP(-Rho_a*LN((Top_c-AC494)/(Top_c-Floor_F))/Delta_c))/Rho_a+EXP(-Rho_a*LN((Top_c-AC494)/(Top_c-Floor_F))/Delta_c)*(-Cost_k*Delta_c*Floor_F/Rho_a)),(-Delay_D/Rho_a)),(EXP(-Rho_a*LN(AC494/Floor_F)/Delta_c)*(-Cost_k*Delta_c*Floor_F/Rho_a)))</f>
        <v>-216.654557154112</v>
      </c>
      <c r="AH494" s="22" t="n">
        <f aca="false">ABS(AF494-AG494)</f>
        <v>0.0174264930379024</v>
      </c>
    </row>
    <row r="495" customFormat="false" ht="15" hidden="false" customHeight="false" outlineLevel="0" collapsed="false">
      <c r="AC495" s="17" t="n">
        <f aca="false">30+475*$AD$5</f>
        <v>59.6875</v>
      </c>
      <c r="AD495" s="17" t="n">
        <f aca="false">-Delta_c*AC495</f>
        <v>-6.04462665624921</v>
      </c>
      <c r="AF495" s="11" t="n">
        <f aca="false">(-AD495/$AD$5*AF494)/(Rho_a-AD495/$AD$5)</f>
        <v>-216.458666973075</v>
      </c>
      <c r="AG495" s="11" t="n">
        <f aca="false">IF(AC495&lt;Floor_F,MAX((-(Cost_k*Ubar_c+Delay_D)*(1-EXP(-Rho_a*LN((Top_c-AC495)/(Top_c-Floor_F))/Delta_c))/Rho_a+EXP(-Rho_a*LN((Top_c-AC495)/(Top_c-Floor_F))/Delta_c)*(-Cost_k*Delta_c*Floor_F/Rho_a)),(-Delay_D/Rho_a)),(EXP(-Rho_a*LN(AC495/Floor_F)/Delta_c)*(-Cost_k*Delta_c*Floor_F/Rho_a)))</f>
        <v>-216.441040850927</v>
      </c>
      <c r="AH495" s="22" t="n">
        <f aca="false">ABS(AF495-AG495)</f>
        <v>0.0176261221473908</v>
      </c>
    </row>
    <row r="496" customFormat="false" ht="15" hidden="false" customHeight="false" outlineLevel="0" collapsed="false">
      <c r="AC496" s="17" t="n">
        <f aca="false">30+476*$AD$5</f>
        <v>59.75</v>
      </c>
      <c r="AD496" s="17" t="n">
        <f aca="false">-Delta_c*AC496</f>
        <v>-6.05095610824529</v>
      </c>
      <c r="AF496" s="11" t="n">
        <f aca="false">(-AD496/$AD$5*AF495)/(Rho_a-AD496/$AD$5)</f>
        <v>-216.245783008006</v>
      </c>
      <c r="AG496" s="11" t="n">
        <f aca="false">IF(AC496&lt;Floor_F,MAX((-(Cost_k*Ubar_c+Delay_D)*(1-EXP(-Rho_a*LN((Top_c-AC496)/(Top_c-Floor_F))/Delta_c))/Rho_a+EXP(-Rho_a*LN((Top_c-AC496)/(Top_c-Floor_F))/Delta_c)*(-Cost_k*Delta_c*Floor_F/Rho_a)),(-Delay_D/Rho_a)),(EXP(-Rho_a*LN(AC496/Floor_F)/Delta_c)*(-Cost_k*Delta_c*Floor_F/Rho_a)))</f>
        <v>-216.227958101428</v>
      </c>
      <c r="AH496" s="22" t="n">
        <f aca="false">ABS(AF496-AG496)</f>
        <v>0.0178249065781131</v>
      </c>
    </row>
    <row r="497" customFormat="false" ht="15" hidden="false" customHeight="false" outlineLevel="0" collapsed="false">
      <c r="AC497" s="17" t="n">
        <f aca="false">30+477*$AD$5</f>
        <v>59.8125</v>
      </c>
      <c r="AD497" s="17" t="n">
        <f aca="false">-Delta_c*AC497</f>
        <v>-6.05728556024136</v>
      </c>
      <c r="AF497" s="11" t="n">
        <f aca="false">(-AD497/$AD$5*AF496)/(Rho_a-AD497/$AD$5)</f>
        <v>-216.033330423412</v>
      </c>
      <c r="AG497" s="11" t="n">
        <f aca="false">IF(AC497&lt;Floor_F,MAX((-(Cost_k*Ubar_c+Delay_D)*(1-EXP(-Rho_a*LN((Top_c-AC497)/(Top_c-Floor_F))/Delta_c))/Rho_a+EXP(-Rho_a*LN((Top_c-AC497)/(Top_c-Floor_F))/Delta_c)*(-Cost_k*Delta_c*Floor_F/Rho_a)),(-Delay_D/Rho_a)),(EXP(-Rho_a*LN(AC497/Floor_F)/Delta_c)*(-Cost_k*Delta_c*Floor_F/Rho_a)))</f>
        <v>-216.015307573139</v>
      </c>
      <c r="AH497" s="22" t="n">
        <f aca="false">ABS(AF497-AG497)</f>
        <v>0.0180228502734678</v>
      </c>
    </row>
    <row r="498" customFormat="false" ht="15" hidden="false" customHeight="false" outlineLevel="0" collapsed="false">
      <c r="AC498" s="17" t="n">
        <f aca="false">30+478*$AD$5</f>
        <v>59.875</v>
      </c>
      <c r="AD498" s="17" t="n">
        <f aca="false">-Delta_c*AC498</f>
        <v>-6.06361501223743</v>
      </c>
      <c r="AF498" s="11" t="n">
        <f aca="false">(-AD498/$AD$5*AF497)/(Rho_a-AD498/$AD$5)</f>
        <v>-215.821307896218</v>
      </c>
      <c r="AG498" s="11" t="n">
        <f aca="false">IF(AC498&lt;Floor_F,MAX((-(Cost_k*Ubar_c+Delay_D)*(1-EXP(-Rho_a*LN((Top_c-AC498)/(Top_c-Floor_F))/Delta_c))/Rho_a+EXP(-Rho_a*LN((Top_c-AC498)/(Top_c-Floor_F))/Delta_c)*(-Cost_k*Delta_c*Floor_F/Rho_a)),(-Delay_D/Rho_a)),(EXP(-Rho_a*LN(AC498/Floor_F)/Delta_c)*(-Cost_k*Delta_c*Floor_F/Rho_a)))</f>
        <v>-215.803087939063</v>
      </c>
      <c r="AH498" s="22" t="n">
        <f aca="false">ABS(AF498-AG498)</f>
        <v>0.0182199571552815</v>
      </c>
    </row>
    <row r="499" customFormat="false" ht="15" hidden="false" customHeight="false" outlineLevel="0" collapsed="false">
      <c r="AC499" s="17" t="n">
        <f aca="false">30+479*$AD$5</f>
        <v>59.9375</v>
      </c>
      <c r="AD499" s="17" t="n">
        <f aca="false">-Delta_c*AC499</f>
        <v>-6.0699444642335</v>
      </c>
      <c r="AF499" s="11" t="n">
        <f aca="false">(-AD499/$AD$5*AF498)/(Rho_a-AD499/$AD$5)</f>
        <v>-215.609714108784</v>
      </c>
      <c r="AG499" s="11" t="n">
        <f aca="false">IF(AC499&lt;Floor_F,MAX((-(Cost_k*Ubar_c+Delay_D)*(1-EXP(-Rho_a*LN((Top_c-AC499)/(Top_c-Floor_F))/Delta_c))/Rho_a+EXP(-Rho_a*LN((Top_c-AC499)/(Top_c-Floor_F))/Delta_c)*(-Cost_k*Delta_c*Floor_F/Rho_a)),(-Delay_D/Rho_a)),(EXP(-Rho_a*LN(AC499/Floor_F)/Delta_c)*(-Cost_k*Delta_c*Floor_F/Rho_a)))</f>
        <v>-215.59129787766</v>
      </c>
      <c r="AH499" s="22" t="n">
        <f aca="false">ABS(AF499-AG499)</f>
        <v>0.0184162311235809</v>
      </c>
    </row>
    <row r="500" customFormat="false" ht="15" hidden="false" customHeight="false" outlineLevel="0" collapsed="false">
      <c r="AC500" s="17" t="n">
        <f aca="false">30+480*$AD$5</f>
        <v>60</v>
      </c>
      <c r="AD500" s="17" t="n">
        <f aca="false">-Delta_c*AC500</f>
        <v>-6.07627391622958</v>
      </c>
      <c r="AF500" s="11" t="n">
        <f aca="false">(-AD500/$AD$5*AF499)/(Rho_a-AD500/$AD$5)</f>
        <v>-215.398547748871</v>
      </c>
      <c r="AG500" s="11" t="n">
        <f aca="false">IF(AC500&lt;Floor_F,MAX((-(Cost_k*Ubar_c+Delay_D)*(1-EXP(-Rho_a*LN((Top_c-AC500)/(Top_c-Floor_F))/Delta_c))/Rho_a+EXP(-Rho_a*LN((Top_c-AC500)/(Top_c-Floor_F))/Delta_c)*(-Cost_k*Delta_c*Floor_F/Rho_a)),(-Delay_D/Rho_a)),(EXP(-Rho_a*LN(AC500/Floor_F)/Delta_c)*(-Cost_k*Delta_c*Floor_F/Rho_a)))</f>
        <v>-215.379936072815</v>
      </c>
      <c r="AH500" s="22" t="n">
        <f aca="false">ABS(AF500-AG500)</f>
        <v>0.0186116760569064</v>
      </c>
    </row>
    <row r="501" customFormat="false" ht="15" hidden="false" customHeight="false" outlineLevel="0" collapsed="false">
      <c r="AC501" s="17" t="n">
        <f aca="false">30+481*$AD$5</f>
        <v>60.0625</v>
      </c>
      <c r="AD501" s="17" t="n">
        <f aca="false">-Delta_c*AC501</f>
        <v>-6.08260336822565</v>
      </c>
      <c r="AF501" s="11" t="n">
        <f aca="false">(-AD501/$AD$5*AF500)/(Rho_a-AD501/$AD$5)</f>
        <v>-215.18780750962</v>
      </c>
      <c r="AG501" s="11" t="n">
        <f aca="false">IF(AC501&lt;Floor_F,MAX((-(Cost_k*Ubar_c+Delay_D)*(1-EXP(-Rho_a*LN((Top_c-AC501)/(Top_c-Floor_F))/Delta_c))/Rho_a+EXP(-Rho_a*LN((Top_c-AC501)/(Top_c-Floor_F))/Delta_c)*(-Cost_k*Delta_c*Floor_F/Rho_a)),(-Delay_D/Rho_a)),(EXP(-Rho_a*LN(AC501/Floor_F)/Delta_c)*(-Cost_k*Delta_c*Floor_F/Rho_a)))</f>
        <v>-215.169001213808</v>
      </c>
      <c r="AH501" s="22" t="n">
        <f aca="false">ABS(AF501-AG501)</f>
        <v>0.0188062958126238</v>
      </c>
    </row>
    <row r="502" customFormat="false" ht="15" hidden="false" customHeight="false" outlineLevel="0" collapsed="false">
      <c r="AC502" s="17" t="n">
        <f aca="false">30+482*$AD$5</f>
        <v>60.125</v>
      </c>
      <c r="AD502" s="17" t="n">
        <f aca="false">-Delta_c*AC502</f>
        <v>-6.08893282022172</v>
      </c>
      <c r="AF502" s="11" t="n">
        <f aca="false">(-AD502/$AD$5*AF501)/(Rho_a-AD502/$AD$5)</f>
        <v>-214.977492089518</v>
      </c>
      <c r="AG502" s="11" t="n">
        <f aca="false">IF(AC502&lt;Floor_F,MAX((-(Cost_k*Ubar_c+Delay_D)*(1-EXP(-Rho_a*LN((Top_c-AC502)/(Top_c-Floor_F))/Delta_c))/Rho_a+EXP(-Rho_a*LN((Top_c-AC502)/(Top_c-Floor_F))/Delta_c)*(-Cost_k*Delta_c*Floor_F/Rho_a)),(-Delay_D/Rho_a)),(EXP(-Rho_a*LN(AC502/Floor_F)/Delta_c)*(-Cost_k*Delta_c*Floor_F/Rho_a)))</f>
        <v>-214.958491995291</v>
      </c>
      <c r="AH502" s="22" t="n">
        <f aca="false">ABS(AF502-AG502)</f>
        <v>0.0190000942268398</v>
      </c>
    </row>
    <row r="503" customFormat="false" ht="15" hidden="false" customHeight="false" outlineLevel="0" collapsed="false">
      <c r="AC503" s="17" t="n">
        <f aca="false">30+483*$AD$5</f>
        <v>60.1875</v>
      </c>
      <c r="AD503" s="17" t="n">
        <f aca="false">-Delta_c*AC503</f>
        <v>-6.09526227221779</v>
      </c>
      <c r="AF503" s="11" t="n">
        <f aca="false">(-AD503/$AD$5*AF502)/(Rho_a-AD503/$AD$5)</f>
        <v>-214.767600192374</v>
      </c>
      <c r="AG503" s="11" t="n">
        <f aca="false">IF(AC503&lt;Floor_F,MAX((-(Cost_k*Ubar_c+Delay_D)*(1-EXP(-Rho_a*LN((Top_c-AC503)/(Top_c-Floor_F))/Delta_c))/Rho_a+EXP(-Rho_a*LN((Top_c-AC503)/(Top_c-Floor_F))/Delta_c)*(-Cost_k*Delta_c*Floor_F/Rho_a)),(-Delay_D/Rho_a)),(EXP(-Rho_a*LN(AC503/Floor_F)/Delta_c)*(-Cost_k*Delta_c*Floor_F/Rho_a)))</f>
        <v>-214.74840711726</v>
      </c>
      <c r="AH503" s="22" t="n">
        <f aca="false">ABS(AF503-AG503)</f>
        <v>0.0191930751145151</v>
      </c>
    </row>
    <row r="504" customFormat="false" ht="15" hidden="false" customHeight="false" outlineLevel="0" collapsed="false">
      <c r="AC504" s="17" t="n">
        <f aca="false">30+484*$AD$5</f>
        <v>60.25</v>
      </c>
      <c r="AD504" s="17" t="n">
        <f aca="false">-Delta_c*AC504</f>
        <v>-6.10159172421387</v>
      </c>
      <c r="AF504" s="11" t="n">
        <f aca="false">(-AD504/$AD$5*AF503)/(Rho_a-AD504/$AD$5)</f>
        <v>-214.558130527292</v>
      </c>
      <c r="AG504" s="11" t="n">
        <f aca="false">IF(AC504&lt;Floor_F,MAX((-(Cost_k*Ubar_c+Delay_D)*(1-EXP(-Rho_a*LN((Top_c-AC504)/(Top_c-Floor_F))/Delta_c))/Rho_a+EXP(-Rho_a*LN((Top_c-AC504)/(Top_c-Floor_F))/Delta_c)*(-Cost_k*Delta_c*Floor_F/Rho_a)),(-Delay_D/Rho_a)),(EXP(-Rho_a*LN(AC504/Floor_F)/Delta_c)*(-Cost_k*Delta_c*Floor_F/Rho_a)))</f>
        <v>-214.538745285022</v>
      </c>
      <c r="AH504" s="22" t="n">
        <f aca="false">ABS(AF504-AG504)</f>
        <v>0.0193852422698058</v>
      </c>
    </row>
    <row r="505" customFormat="false" ht="15" hidden="false" customHeight="false" outlineLevel="0" collapsed="false">
      <c r="AC505" s="17" t="n">
        <f aca="false">30+485*$AD$5</f>
        <v>60.3125</v>
      </c>
      <c r="AD505" s="17" t="n">
        <f aca="false">-Delta_c*AC505</f>
        <v>-6.10792117620994</v>
      </c>
      <c r="AF505" s="11" t="n">
        <f aca="false">(-AD505/$AD$5*AF504)/(Rho_a-AD505/$AD$5)</f>
        <v>-214.349081808642</v>
      </c>
      <c r="AG505" s="11" t="n">
        <f aca="false">IF(AC505&lt;Floor_F,MAX((-(Cost_k*Ubar_c+Delay_D)*(1-EXP(-Rho_a*LN((Top_c-AC505)/(Top_c-Floor_F))/Delta_c))/Rho_a+EXP(-Rho_a*LN((Top_c-AC505)/(Top_c-Floor_F))/Delta_c)*(-Cost_k*Delta_c*Floor_F/Rho_a)),(-Delay_D/Rho_a)),(EXP(-Rho_a*LN(AC505/Floor_F)/Delta_c)*(-Cost_k*Delta_c*Floor_F/Rho_a)))</f>
        <v>-214.329505209176</v>
      </c>
      <c r="AH505" s="22" t="n">
        <f aca="false">ABS(AF505-AG505)</f>
        <v>0.0195765994659212</v>
      </c>
    </row>
    <row r="506" customFormat="false" ht="15" hidden="false" customHeight="false" outlineLevel="0" collapsed="false">
      <c r="AC506" s="17" t="n">
        <f aca="false">30+486*$AD$5</f>
        <v>60.375</v>
      </c>
      <c r="AD506" s="17" t="n">
        <f aca="false">-Delta_c*AC506</f>
        <v>-6.11425062820601</v>
      </c>
      <c r="AF506" s="11" t="n">
        <f aca="false">(-AD506/$AD$5*AF505)/(Rho_a-AD506/$AD$5)</f>
        <v>-214.140452756033</v>
      </c>
      <c r="AG506" s="11" t="n">
        <f aca="false">IF(AC506&lt;Floor_F,MAX((-(Cost_k*Ubar_c+Delay_D)*(1-EXP(-Rho_a*LN((Top_c-AC506)/(Top_c-Floor_F))/Delta_c))/Rho_a+EXP(-Rho_a*LN((Top_c-AC506)/(Top_c-Floor_F))/Delta_c)*(-Cost_k*Delta_c*Floor_F/Rho_a)),(-Delay_D/Rho_a)),(EXP(-Rho_a*LN(AC506/Floor_F)/Delta_c)*(-Cost_k*Delta_c*Floor_F/Rho_a)))</f>
        <v>-214.120685605578</v>
      </c>
      <c r="AH506" s="22" t="n">
        <f aca="false">ABS(AF506-AG506)</f>
        <v>0.0197671504554933</v>
      </c>
    </row>
    <row r="507" customFormat="false" ht="15" hidden="false" customHeight="false" outlineLevel="0" collapsed="false">
      <c r="AC507" s="17" t="n">
        <f aca="false">30+487*$AD$5</f>
        <v>60.4375</v>
      </c>
      <c r="AD507" s="17" t="n">
        <f aca="false">-Delta_c*AC507</f>
        <v>-6.12058008020208</v>
      </c>
      <c r="AF507" s="11" t="n">
        <f aca="false">(-AD507/$AD$5*AF506)/(Rho_a-AD507/$AD$5)</f>
        <v>-213.932242094291</v>
      </c>
      <c r="AG507" s="11" t="n">
        <f aca="false">IF(AC507&lt;Floor_F,MAX((-(Cost_k*Ubar_c+Delay_D)*(1-EXP(-Rho_a*LN((Top_c-AC507)/(Top_c-Floor_F))/Delta_c))/Rho_a+EXP(-Rho_a*LN((Top_c-AC507)/(Top_c-Floor_F))/Delta_c)*(-Cost_k*Delta_c*Floor_F/Rho_a)),(-Delay_D/Rho_a)),(EXP(-Rho_a*LN(AC507/Floor_F)/Delta_c)*(-Cost_k*Delta_c*Floor_F/Rho_a)))</f>
        <v>-213.91228519532</v>
      </c>
      <c r="AH507" s="22" t="n">
        <f aca="false">ABS(AF507-AG507)</f>
        <v>0.0199568989706904</v>
      </c>
    </row>
    <row r="508" customFormat="false" ht="15" hidden="false" customHeight="false" outlineLevel="0" collapsed="false">
      <c r="AC508" s="17" t="n">
        <f aca="false">30+488*$AD$5</f>
        <v>60.5</v>
      </c>
      <c r="AD508" s="17" t="n">
        <f aca="false">-Delta_c*AC508</f>
        <v>-6.12690953219816</v>
      </c>
      <c r="AF508" s="11" t="n">
        <f aca="false">(-AD508/$AD$5*AF507)/(Rho_a-AD508/$AD$5)</f>
        <v>-213.724448553424</v>
      </c>
      <c r="AG508" s="11" t="n">
        <f aca="false">IF(AC508&lt;Floor_F,MAX((-(Cost_k*Ubar_c+Delay_D)*(1-EXP(-Rho_a*LN((Top_c-AC508)/(Top_c-Floor_F))/Delta_c))/Rho_a+EXP(-Rho_a*LN((Top_c-AC508)/(Top_c-Floor_F))/Delta_c)*(-Cost_k*Delta_c*Floor_F/Rho_a)),(-Delay_D/Rho_a)),(EXP(-Rho_a*LN(AC508/Floor_F)/Delta_c)*(-Cost_k*Delta_c*Floor_F/Rho_a)))</f>
        <v>-213.704302704701</v>
      </c>
      <c r="AH508" s="22" t="n">
        <f aca="false">ABS(AF508-AG508)</f>
        <v>0.0201458487232173</v>
      </c>
    </row>
    <row r="509" customFormat="false" ht="15" hidden="false" customHeight="false" outlineLevel="0" collapsed="false">
      <c r="AC509" s="17" t="n">
        <f aca="false">30+489*$AD$5</f>
        <v>60.5625</v>
      </c>
      <c r="AD509" s="17" t="n">
        <f aca="false">-Delta_c*AC509</f>
        <v>-6.13323898419423</v>
      </c>
      <c r="AF509" s="11" t="n">
        <f aca="false">(-AD509/$AD$5*AF508)/(Rho_a-AD509/$AD$5)</f>
        <v>-213.517070868605</v>
      </c>
      <c r="AG509" s="11" t="n">
        <f aca="false">IF(AC509&lt;Floor_F,MAX((-(Cost_k*Ubar_c+Delay_D)*(1-EXP(-Rho_a*LN((Top_c-AC509)/(Top_c-Floor_F))/Delta_c))/Rho_a+EXP(-Rho_a*LN((Top_c-AC509)/(Top_c-Floor_F))/Delta_c)*(-Cost_k*Delta_c*Floor_F/Rho_a)),(-Delay_D/Rho_a)),(EXP(-Rho_a*LN(AC509/Floor_F)/Delta_c)*(-Cost_k*Delta_c*Floor_F/Rho_a)))</f>
        <v>-213.496736865201</v>
      </c>
      <c r="AH509" s="22" t="n">
        <f aca="false">ABS(AF509-AG509)</f>
        <v>0.0203340034044004</v>
      </c>
    </row>
    <row r="510" customFormat="false" ht="15" hidden="false" customHeight="false" outlineLevel="0" collapsed="false">
      <c r="AC510" s="17" t="n">
        <f aca="false">30+490*$AD$5</f>
        <v>60.625</v>
      </c>
      <c r="AD510" s="17" t="n">
        <f aca="false">-Delta_c*AC510</f>
        <v>-6.1395684361903</v>
      </c>
      <c r="AF510" s="11" t="n">
        <f aca="false">(-AD510/$AD$5*AF509)/(Rho_a-AD510/$AD$5)</f>
        <v>-213.310107780137</v>
      </c>
      <c r="AG510" s="11" t="n">
        <f aca="false">IF(AC510&lt;Floor_F,MAX((-(Cost_k*Ubar_c+Delay_D)*(1-EXP(-Rho_a*LN((Top_c-AC510)/(Top_c-Floor_F))/Delta_c))/Rho_a+EXP(-Rho_a*LN((Top_c-AC510)/(Top_c-Floor_F))/Delta_c)*(-Cost_k*Delta_c*Floor_F/Rho_a)),(-Delay_D/Rho_a)),(EXP(-Rho_a*LN(AC510/Floor_F)/Delta_c)*(-Cost_k*Delta_c*Floor_F/Rho_a)))</f>
        <v>-213.289586413452</v>
      </c>
      <c r="AH510" s="22" t="n">
        <f aca="false">ABS(AF510-AG510)</f>
        <v>0.0205213666856992</v>
      </c>
    </row>
    <row r="511" customFormat="false" ht="15" hidden="false" customHeight="false" outlineLevel="0" collapsed="false">
      <c r="AC511" s="17" t="n">
        <f aca="false">30+491*$AD$5</f>
        <v>60.6875</v>
      </c>
      <c r="AD511" s="17" t="n">
        <f aca="false">-Delta_c*AC511</f>
        <v>-6.14589788818637</v>
      </c>
      <c r="AF511" s="11" t="n">
        <f aca="false">(-AD511/$AD$5*AF510)/(Rho_a-AD511/$AD$5)</f>
        <v>-213.103558033434</v>
      </c>
      <c r="AG511" s="11" t="n">
        <f aca="false">IF(AC511&lt;Floor_F,MAX((-(Cost_k*Ubar_c+Delay_D)*(1-EXP(-Rho_a*LN((Top_c-AC511)/(Top_c-Floor_F))/Delta_c))/Rho_a+EXP(-Rho_a*LN((Top_c-AC511)/(Top_c-Floor_F))/Delta_c)*(-Cost_k*Delta_c*Floor_F/Rho_a)),(-Delay_D/Rho_a)),(EXP(-Rho_a*LN(AC511/Floor_F)/Delta_c)*(-Cost_k*Delta_c*Floor_F/Rho_a)))</f>
        <v>-213.082850091216</v>
      </c>
      <c r="AH511" s="22" t="n">
        <f aca="false">ABS(AF511-AG511)</f>
        <v>0.0207079422183654</v>
      </c>
    </row>
    <row r="512" customFormat="false" ht="15" hidden="false" customHeight="false" outlineLevel="0" collapsed="false">
      <c r="AC512" s="17" t="n">
        <f aca="false">30+492*$AD$5</f>
        <v>60.75</v>
      </c>
      <c r="AD512" s="17" t="n">
        <f aca="false">-Delta_c*AC512</f>
        <v>-6.15222734018245</v>
      </c>
      <c r="AF512" s="11" t="n">
        <f aca="false">(-AD512/$AD$5*AF511)/(Rho_a-AD512/$AD$5)</f>
        <v>-212.89742037899</v>
      </c>
      <c r="AG512" s="11" t="n">
        <f aca="false">IF(AC512&lt;Floor_F,MAX((-(Cost_k*Ubar_c+Delay_D)*(1-EXP(-Rho_a*LN((Top_c-AC512)/(Top_c-Floor_F))/Delta_c))/Rho_a+EXP(-Rho_a*LN((Top_c-AC512)/(Top_c-Floor_F))/Delta_c)*(-Cost_k*Delta_c*Floor_F/Rho_a)),(-Delay_D/Rho_a)),(EXP(-Rho_a*LN(AC512/Floor_F)/Delta_c)*(-Cost_k*Delta_c*Floor_F/Rho_a)))</f>
        <v>-212.876526645356</v>
      </c>
      <c r="AH512" s="22" t="n">
        <f aca="false">ABS(AF512-AG512)</f>
        <v>0.0208937336337556</v>
      </c>
    </row>
    <row r="513" customFormat="false" ht="15" hidden="false" customHeight="false" outlineLevel="0" collapsed="false">
      <c r="AC513" s="17" t="n">
        <f aca="false">30+493*$AD$5</f>
        <v>60.8125</v>
      </c>
      <c r="AD513" s="17" t="n">
        <f aca="false">-Delta_c*AC513</f>
        <v>-6.15855679217852</v>
      </c>
      <c r="AF513" s="11" t="n">
        <f aca="false">(-AD513/$AD$5*AF512)/(Rho_a-AD513/$AD$5)</f>
        <v>-212.691693572356</v>
      </c>
      <c r="AG513" s="11" t="n">
        <f aca="false">IF(AC513&lt;Floor_F,MAX((-(Cost_k*Ubar_c+Delay_D)*(1-EXP(-Rho_a*LN((Top_c-AC513)/(Top_c-Floor_F))/Delta_c))/Rho_a+EXP(-Rho_a*LN((Top_c-AC513)/(Top_c-Floor_F))/Delta_c)*(-Cost_k*Delta_c*Floor_F/Rho_a)),(-Delay_D/Rho_a)),(EXP(-Rho_a*LN(AC513/Floor_F)/Delta_c)*(-Cost_k*Delta_c*Floor_F/Rho_a)))</f>
        <v>-212.670614827812</v>
      </c>
      <c r="AH513" s="22" t="n">
        <f aca="false">ABS(AF513-AG513)</f>
        <v>0.0210787445436438</v>
      </c>
    </row>
    <row r="514" customFormat="false" ht="15" hidden="false" customHeight="false" outlineLevel="0" collapsed="false">
      <c r="AC514" s="17" t="n">
        <f aca="false">30+494*$AD$5</f>
        <v>60.875</v>
      </c>
      <c r="AD514" s="17" t="n">
        <f aca="false">-Delta_c*AC514</f>
        <v>-6.16488624417459</v>
      </c>
      <c r="AF514" s="11" t="n">
        <f aca="false">(-AD514/$AD$5*AF513)/(Rho_a-AD514/$AD$5)</f>
        <v>-212.486376374113</v>
      </c>
      <c r="AG514" s="11" t="n">
        <f aca="false">IF(AC514&lt;Floor_F,MAX((-(Cost_k*Ubar_c+Delay_D)*(1-EXP(-Rho_a*LN((Top_c-AC514)/(Top_c-Floor_F))/Delta_c))/Rho_a+EXP(-Rho_a*LN((Top_c-AC514)/(Top_c-Floor_F))/Delta_c)*(-Cost_k*Delta_c*Floor_F/Rho_a)),(-Delay_D/Rho_a)),(EXP(-Rho_a*LN(AC514/Floor_F)/Delta_c)*(-Cost_k*Delta_c*Floor_F/Rho_a)))</f>
        <v>-212.465113395573</v>
      </c>
      <c r="AH514" s="22" t="n">
        <f aca="false">ABS(AF514-AG514)</f>
        <v>0.021262978539994</v>
      </c>
    </row>
    <row r="515" customFormat="false" ht="15" hidden="false" customHeight="false" outlineLevel="0" collapsed="false">
      <c r="AC515" s="17" t="n">
        <f aca="false">30+495*$AD$5</f>
        <v>60.9375</v>
      </c>
      <c r="AD515" s="17" t="n">
        <f aca="false">-Delta_c*AC515</f>
        <v>-6.17121569617066</v>
      </c>
      <c r="AF515" s="11" t="n">
        <f aca="false">(-AD515/$AD$5*AF514)/(Rho_a-AD515/$AD$5)</f>
        <v>-212.281467549849</v>
      </c>
      <c r="AG515" s="11" t="n">
        <f aca="false">IF(AC515&lt;Floor_F,MAX((-(Cost_k*Ubar_c+Delay_D)*(1-EXP(-Rho_a*LN((Top_c-AC515)/(Top_c-Floor_F))/Delta_c))/Rho_a+EXP(-Rho_a*LN((Top_c-AC515)/(Top_c-Floor_F))/Delta_c)*(-Cost_k*Delta_c*Floor_F/Rho_a)),(-Delay_D/Rho_a)),(EXP(-Rho_a*LN(AC515/Floor_F)/Delta_c)*(-Cost_k*Delta_c*Floor_F/Rho_a)))</f>
        <v>-212.260021110654</v>
      </c>
      <c r="AH515" s="22" t="n">
        <f aca="false">ABS(AF515-AG515)</f>
        <v>0.02144643919533</v>
      </c>
    </row>
    <row r="516" customFormat="false" ht="15" hidden="false" customHeight="false" outlineLevel="0" collapsed="false">
      <c r="AC516" s="17" t="n">
        <f aca="false">30+496*$AD$5</f>
        <v>61</v>
      </c>
      <c r="AD516" s="17" t="n">
        <f aca="false">-Delta_c*AC516</f>
        <v>-6.17754514816674</v>
      </c>
      <c r="AF516" s="11" t="n">
        <f aca="false">(-AD516/$AD$5*AF515)/(Rho_a-AD516/$AD$5)</f>
        <v>-212.076965870131</v>
      </c>
      <c r="AG516" s="11" t="n">
        <f aca="false">IF(AC516&lt;Floor_F,MAX((-(Cost_k*Ubar_c+Delay_D)*(1-EXP(-Rho_a*LN((Top_c-AC516)/(Top_c-Floor_F))/Delta_c))/Rho_a+EXP(-Rho_a*LN((Top_c-AC516)/(Top_c-Floor_F))/Delta_c)*(-Cost_k*Delta_c*Floor_F/Rho_a)),(-Delay_D/Rho_a)),(EXP(-Rho_a*LN(AC516/Floor_F)/Delta_c)*(-Cost_k*Delta_c*Floor_F/Rho_a)))</f>
        <v>-212.055336740068</v>
      </c>
      <c r="AH516" s="22" t="n">
        <f aca="false">ABS(AF516-AG516)</f>
        <v>0.0216291300629052</v>
      </c>
    </row>
    <row r="517" customFormat="false" ht="15" hidden="false" customHeight="false" outlineLevel="0" collapsed="false">
      <c r="AC517" s="17" t="n">
        <f aca="false">30+497*$AD$5</f>
        <v>61.0625</v>
      </c>
      <c r="AD517" s="17" t="n">
        <f aca="false">-Delta_c*AC517</f>
        <v>-6.18387460016281</v>
      </c>
      <c r="AF517" s="11" t="n">
        <f aca="false">(-AD517/$AD$5*AF516)/(Rho_a-AD517/$AD$5)</f>
        <v>-211.872870110478</v>
      </c>
      <c r="AG517" s="11" t="n">
        <f aca="false">IF(AC517&lt;Floor_F,MAX((-(Cost_k*Ubar_c+Delay_D)*(1-EXP(-Rho_a*LN((Top_c-AC517)/(Top_c-Floor_F))/Delta_c))/Rho_a+EXP(-Rho_a*LN((Top_c-AC517)/(Top_c-Floor_F))/Delta_c)*(-Cost_k*Delta_c*Floor_F/Rho_a)),(-Delay_D/Rho_a)),(EXP(-Rho_a*LN(AC517/Floor_F)/Delta_c)*(-Cost_k*Delta_c*Floor_F/Rho_a)))</f>
        <v>-211.851059055801</v>
      </c>
      <c r="AH517" s="22" t="n">
        <f aca="false">ABS(AF517-AG517)</f>
        <v>0.0218110546764763</v>
      </c>
    </row>
    <row r="518" customFormat="false" ht="15" hidden="false" customHeight="false" outlineLevel="0" collapsed="false">
      <c r="AC518" s="17" t="n">
        <f aca="false">30+498*$AD$5</f>
        <v>61.125</v>
      </c>
      <c r="AD518" s="17" t="n">
        <f aca="false">-Delta_c*AC518</f>
        <v>-6.19020405215888</v>
      </c>
      <c r="AF518" s="11" t="n">
        <f aca="false">(-AD518/$AD$5*AF517)/(Rho_a-AD518/$AD$5)</f>
        <v>-211.669179051342</v>
      </c>
      <c r="AG518" s="11" t="n">
        <f aca="false">IF(AC518&lt;Floor_F,MAX((-(Cost_k*Ubar_c+Delay_D)*(1-EXP(-Rho_a*LN((Top_c-AC518)/(Top_c-Floor_F))/Delta_c))/Rho_a+EXP(-Rho_a*LN((Top_c-AC518)/(Top_c-Floor_F))/Delta_c)*(-Cost_k*Delta_c*Floor_F/Rho_a)),(-Delay_D/Rho_a)),(EXP(-Rho_a*LN(AC518/Floor_F)/Delta_c)*(-Cost_k*Delta_c*Floor_F/Rho_a)))</f>
        <v>-211.647186834791</v>
      </c>
      <c r="AH518" s="22" t="n">
        <f aca="false">ABS(AF518-AG518)</f>
        <v>0.0219922165509274</v>
      </c>
    </row>
    <row r="519" customFormat="false" ht="15" hidden="false" customHeight="false" outlineLevel="0" collapsed="false">
      <c r="AC519" s="17" t="n">
        <f aca="false">30+499*$AD$5</f>
        <v>61.1875</v>
      </c>
      <c r="AD519" s="17" t="n">
        <f aca="false">-Delta_c*AC519</f>
        <v>-6.19653350415495</v>
      </c>
      <c r="AF519" s="11" t="n">
        <f aca="false">(-AD519/$AD$5*AF518)/(Rho_a-AD519/$AD$5)</f>
        <v>-211.465891478079</v>
      </c>
      <c r="AG519" s="11" t="n">
        <f aca="false">IF(AC519&lt;Floor_F,MAX((-(Cost_k*Ubar_c+Delay_D)*(1-EXP(-Rho_a*LN((Top_c-AC519)/(Top_c-Floor_F))/Delta_c))/Rho_a+EXP(-Rho_a*LN((Top_c-AC519)/(Top_c-Floor_F))/Delta_c)*(-Cost_k*Delta_c*Floor_F/Rho_a)),(-Delay_D/Rho_a)),(EXP(-Rho_a*LN(AC519/Floor_F)/Delta_c)*(-Cost_k*Delta_c*Floor_F/Rho_a)))</f>
        <v>-211.443718858897</v>
      </c>
      <c r="AH519" s="22" t="n">
        <f aca="false">ABS(AF519-AG519)</f>
        <v>0.0221726191819869</v>
      </c>
    </row>
    <row r="520" customFormat="false" ht="15" hidden="false" customHeight="false" outlineLevel="0" collapsed="false">
      <c r="AC520" s="17" t="n">
        <f aca="false">30+500*$AD$5</f>
        <v>61.25</v>
      </c>
      <c r="AD520" s="17" t="n">
        <f aca="false">-Delta_c*AC520</f>
        <v>-6.20286295615103</v>
      </c>
      <c r="AF520" s="11" t="n">
        <f aca="false">(-AD520/$AD$5*AF519)/(Rho_a-AD520/$AD$5)</f>
        <v>-211.263006180924</v>
      </c>
      <c r="AG520" s="11" t="n">
        <f aca="false">IF(AC520&lt;Floor_F,MAX((-(Cost_k*Ubar_c+Delay_D)*(1-EXP(-Rho_a*LN((Top_c-AC520)/(Top_c-Floor_F))/Delta_c))/Rho_a+EXP(-Rho_a*LN((Top_c-AC520)/(Top_c-Floor_F))/Delta_c)*(-Cost_k*Delta_c*Floor_F/Rho_a)),(-Delay_D/Rho_a)),(EXP(-Rho_a*LN(AC520/Floor_F)/Delta_c)*(-Cost_k*Delta_c*Floor_F/Rho_a)))</f>
        <v>-211.240653914877</v>
      </c>
      <c r="AH520" s="22" t="n">
        <f aca="false">ABS(AF520-AG520)</f>
        <v>0.0223522660464539</v>
      </c>
    </row>
    <row r="521" customFormat="false" ht="15" hidden="false" customHeight="false" outlineLevel="0" collapsed="false">
      <c r="AC521" s="17" t="n">
        <f aca="false">30+501*$AD$5</f>
        <v>61.3125</v>
      </c>
      <c r="AD521" s="17" t="n">
        <f aca="false">-Delta_c*AC521</f>
        <v>-6.2091924081471</v>
      </c>
      <c r="AF521" s="11" t="n">
        <f aca="false">(-AD521/$AD$5*AF520)/(Rho_a-AD521/$AD$5)</f>
        <v>-211.060521954969</v>
      </c>
      <c r="AG521" s="11" t="n">
        <f aca="false">IF(AC521&lt;Floor_F,MAX((-(Cost_k*Ubar_c+Delay_D)*(1-EXP(-Rho_a*LN((Top_c-AC521)/(Top_c-Floor_F))/Delta_c))/Rho_a+EXP(-Rho_a*LN((Top_c-AC521)/(Top_c-Floor_F))/Delta_c)*(-Cost_k*Delta_c*Floor_F/Rho_a)),(-Delay_D/Rho_a)),(EXP(-Rho_a*LN(AC521/Floor_F)/Delta_c)*(-Cost_k*Delta_c*Floor_F/Rho_a)))</f>
        <v>-211.037990794366</v>
      </c>
      <c r="AH521" s="22" t="n">
        <f aca="false">ABS(AF521-AG521)</f>
        <v>0.02253116060254</v>
      </c>
    </row>
    <row r="522" customFormat="false" ht="15" hidden="false" customHeight="false" outlineLevel="0" collapsed="false">
      <c r="AC522" s="17" t="n">
        <f aca="false">30+502*$AD$5</f>
        <v>61.375</v>
      </c>
      <c r="AD522" s="17" t="n">
        <f aca="false">-Delta_c*AC522</f>
        <v>-6.21552186014317</v>
      </c>
      <c r="AF522" s="11" t="n">
        <f aca="false">(-AD522/$AD$5*AF521)/(Rho_a-AD522/$AD$5)</f>
        <v>-210.858437600136</v>
      </c>
      <c r="AG522" s="11" t="n">
        <f aca="false">IF(AC522&lt;Floor_F,MAX((-(Cost_k*Ubar_c+Delay_D)*(1-EXP(-Rho_a*LN((Top_c-AC522)/(Top_c-Floor_F))/Delta_c))/Rho_a+EXP(-Rho_a*LN((Top_c-AC522)/(Top_c-Floor_F))/Delta_c)*(-Cost_k*Delta_c*Floor_F/Rho_a)),(-Delay_D/Rho_a)),(EXP(-Rho_a*LN(AC522/Floor_F)/Delta_c)*(-Cost_k*Delta_c*Floor_F/Rho_a)))</f>
        <v>-210.835728293846</v>
      </c>
      <c r="AH522" s="22" t="n">
        <f aca="false">ABS(AF522-AG522)</f>
        <v>0.0227093062896131</v>
      </c>
    </row>
    <row r="523" customFormat="false" ht="15" hidden="false" customHeight="false" outlineLevel="0" collapsed="false">
      <c r="AC523" s="17" t="n">
        <f aca="false">30+503*$AD$5</f>
        <v>61.4375</v>
      </c>
      <c r="AD523" s="17" t="n">
        <f aca="false">-Delta_c*AC523</f>
        <v>-6.22185131213924</v>
      </c>
      <c r="AF523" s="11" t="n">
        <f aca="false">(-AD523/$AD$5*AF522)/(Rho_a-AD523/$AD$5)</f>
        <v>-210.656751921154</v>
      </c>
      <c r="AG523" s="11" t="n">
        <f aca="false">IF(AC523&lt;Floor_F,MAX((-(Cost_k*Ubar_c+Delay_D)*(1-EXP(-Rho_a*LN((Top_c-AC523)/(Top_c-Floor_F))/Delta_c))/Rho_a+EXP(-Rho_a*LN((Top_c-AC523)/(Top_c-Floor_F))/Delta_c)*(-Cost_k*Delta_c*Floor_F/Rho_a)),(-Delay_D/Rho_a)),(EXP(-Rho_a*LN(AC523/Floor_F)/Delta_c)*(-Cost_k*Delta_c*Floor_F/Rho_a)))</f>
        <v>-210.633865214625</v>
      </c>
      <c r="AH523" s="22" t="n">
        <f aca="false">ABS(AF523-AG523)</f>
        <v>0.0228867065284817</v>
      </c>
    </row>
    <row r="524" customFormat="false" ht="15" hidden="false" customHeight="false" outlineLevel="0" collapsed="false">
      <c r="AC524" s="17" t="n">
        <f aca="false">30+504*$AD$5</f>
        <v>61.5</v>
      </c>
      <c r="AD524" s="17" t="n">
        <f aca="false">-Delta_c*AC524</f>
        <v>-6.22818076413532</v>
      </c>
      <c r="AF524" s="11" t="n">
        <f aca="false">(-AD524/$AD$5*AF523)/(Rho_a-AD524/$AD$5)</f>
        <v>-210.455463727535</v>
      </c>
      <c r="AG524" s="11" t="n">
        <f aca="false">IF(AC524&lt;Floor_F,MAX((-(Cost_k*Ubar_c+Delay_D)*(1-EXP(-Rho_a*LN((Top_c-AC524)/(Top_c-Floor_F))/Delta_c))/Rho_a+EXP(-Rho_a*LN((Top_c-AC524)/(Top_c-Floor_F))/Delta_c)*(-Cost_k*Delta_c*Floor_F/Rho_a)),(-Delay_D/Rho_a)),(EXP(-Rho_a*LN(AC524/Floor_F)/Delta_c)*(-Cost_k*Delta_c*Floor_F/Rho_a)))</f>
        <v>-210.432400362814</v>
      </c>
      <c r="AH524" s="22" t="n">
        <f aca="false">ABS(AF524-AG524)</f>
        <v>0.0230633647217928</v>
      </c>
    </row>
    <row r="525" customFormat="false" ht="15" hidden="false" customHeight="false" outlineLevel="0" collapsed="false">
      <c r="AC525" s="17" t="n">
        <f aca="false">30+505*$AD$5</f>
        <v>61.5625</v>
      </c>
      <c r="AD525" s="17" t="n">
        <f aca="false">-Delta_c*AC525</f>
        <v>-6.23451021613139</v>
      </c>
      <c r="AF525" s="11" t="n">
        <f aca="false">(-AD525/$AD$5*AF524)/(Rho_a-AD525/$AD$5)</f>
        <v>-210.254571833551</v>
      </c>
      <c r="AG525" s="11" t="n">
        <f aca="false">IF(AC525&lt;Floor_F,MAX((-(Cost_k*Ubar_c+Delay_D)*(1-EXP(-Rho_a*LN((Top_c-AC525)/(Top_c-Floor_F))/Delta_c))/Rho_a+EXP(-Rho_a*LN((Top_c-AC525)/(Top_c-Floor_F))/Delta_c)*(-Cost_k*Delta_c*Floor_F/Rho_a)),(-Delay_D/Rho_a)),(EXP(-Rho_a*LN(AC525/Floor_F)/Delta_c)*(-Cost_k*Delta_c*Floor_F/Rho_a)))</f>
        <v>-210.231332549297</v>
      </c>
      <c r="AH525" s="22" t="n">
        <f aca="false">ABS(AF525-AG525)</f>
        <v>0.0232392842536058</v>
      </c>
    </row>
    <row r="526" customFormat="false" ht="15" hidden="false" customHeight="false" outlineLevel="0" collapsed="false">
      <c r="AC526" s="17" t="n">
        <f aca="false">30+506*$AD$5</f>
        <v>61.625</v>
      </c>
      <c r="AD526" s="17" t="n">
        <f aca="false">-Delta_c*AC526</f>
        <v>-6.24083966812746</v>
      </c>
      <c r="AF526" s="11" t="n">
        <f aca="false">(-AD526/$AD$5*AF525)/(Rho_a-AD526/$AD$5)</f>
        <v>-210.054075058207</v>
      </c>
      <c r="AG526" s="11" t="n">
        <f aca="false">IF(AC526&lt;Floor_F,MAX((-(Cost_k*Ubar_c+Delay_D)*(1-EXP(-Rho_a*LN((Top_c-AC526)/(Top_c-Floor_F))/Delta_c))/Rho_a+EXP(-Rho_a*LN((Top_c-AC526)/(Top_c-Floor_F))/Delta_c)*(-Cost_k*Delta_c*Floor_F/Rho_a)),(-Delay_D/Rho_a)),(EXP(-Rho_a*LN(AC526/Floor_F)/Delta_c)*(-Cost_k*Delta_c*Floor_F/Rho_a)))</f>
        <v>-210.030660589717</v>
      </c>
      <c r="AH526" s="22" t="n">
        <f aca="false">ABS(AF526-AG526)</f>
        <v>0.023414468489932</v>
      </c>
    </row>
    <row r="527" customFormat="false" ht="15" hidden="false" customHeight="false" outlineLevel="0" collapsed="false">
      <c r="AC527" s="17" t="n">
        <f aca="false">30+507*$AD$5</f>
        <v>61.6875</v>
      </c>
      <c r="AD527" s="17" t="n">
        <f aca="false">-Delta_c*AC527</f>
        <v>-6.24716912012353</v>
      </c>
      <c r="AF527" s="11" t="n">
        <f aca="false">(-AD527/$AD$5*AF526)/(Rho_a-AD527/$AD$5)</f>
        <v>-209.853972225219</v>
      </c>
      <c r="AG527" s="11" t="n">
        <f aca="false">IF(AC527&lt;Floor_F,MAX((-(Cost_k*Ubar_c+Delay_D)*(1-EXP(-Rho_a*LN((Top_c-AC527)/(Top_c-Floor_F))/Delta_c))/Rho_a+EXP(-Rho_a*LN((Top_c-AC527)/(Top_c-Floor_F))/Delta_c)*(-Cost_k*Delta_c*Floor_F/Rho_a)),(-Delay_D/Rho_a)),(EXP(-Rho_a*LN(AC527/Floor_F)/Delta_c)*(-Cost_k*Delta_c*Floor_F/Rho_a)))</f>
        <v>-209.83038330444</v>
      </c>
      <c r="AH527" s="22" t="n">
        <f aca="false">ABS(AF527-AG527)</f>
        <v>0.0235889207787636</v>
      </c>
    </row>
    <row r="528" customFormat="false" ht="15" hidden="false" customHeight="false" outlineLevel="0" collapsed="false">
      <c r="AC528" s="17" t="n">
        <f aca="false">30+508*$AD$5</f>
        <v>61.75</v>
      </c>
      <c r="AD528" s="17" t="n">
        <f aca="false">-Delta_c*AC528</f>
        <v>-6.25349857211961</v>
      </c>
      <c r="AF528" s="11" t="n">
        <f aca="false">(-AD528/$AD$5*AF527)/(Rho_a-AD528/$AD$5)</f>
        <v>-209.654262162993</v>
      </c>
      <c r="AG528" s="11" t="n">
        <f aca="false">IF(AC528&lt;Floor_F,MAX((-(Cost_k*Ubar_c+Delay_D)*(1-EXP(-Rho_a*LN((Top_c-AC528)/(Top_c-Floor_F))/Delta_c))/Rho_a+EXP(-Rho_a*LN((Top_c-AC528)/(Top_c-Floor_F))/Delta_c)*(-Cost_k*Delta_c*Floor_F/Rho_a)),(-Delay_D/Rho_a)),(EXP(-Rho_a*LN(AC528/Floor_F)/Delta_c)*(-Cost_k*Delta_c*Floor_F/Rho_a)))</f>
        <v>-209.630499518543</v>
      </c>
      <c r="AH528" s="22" t="n">
        <f aca="false">ABS(AF528-AG528)</f>
        <v>0.0237626444499313</v>
      </c>
    </row>
    <row r="529" customFormat="false" ht="15" hidden="false" customHeight="false" outlineLevel="0" collapsed="false">
      <c r="AC529" s="17" t="n">
        <f aca="false">30+509*$AD$5</f>
        <v>61.8125</v>
      </c>
      <c r="AD529" s="17" t="n">
        <f aca="false">-Delta_c*AC529</f>
        <v>-6.25982802411568</v>
      </c>
      <c r="AF529" s="11" t="n">
        <f aca="false">(-AD529/$AD$5*AF528)/(Rho_a-AD529/$AD$5)</f>
        <v>-209.454943704597</v>
      </c>
      <c r="AG529" s="11" t="n">
        <f aca="false">IF(AC529&lt;Floor_F,MAX((-(Cost_k*Ubar_c+Delay_D)*(1-EXP(-Rho_a*LN((Top_c-AC529)/(Top_c-Floor_F))/Delta_c))/Rho_a+EXP(-Rho_a*LN((Top_c-AC529)/(Top_c-Floor_F))/Delta_c)*(-Cost_k*Delta_c*Floor_F/Rho_a)),(-Delay_D/Rho_a)),(EXP(-Rho_a*LN(AC529/Floor_F)/Delta_c)*(-Cost_k*Delta_c*Floor_F/Rho_a)))</f>
        <v>-209.431008061782</v>
      </c>
      <c r="AH529" s="22" t="n">
        <f aca="false">ABS(AF529-AG529)</f>
        <v>0.0239356428155588</v>
      </c>
    </row>
    <row r="530" customFormat="false" ht="15" hidden="false" customHeight="false" outlineLevel="0" collapsed="false">
      <c r="AC530" s="17" t="n">
        <f aca="false">30+510*$AD$5</f>
        <v>61.875</v>
      </c>
      <c r="AD530" s="17" t="n">
        <f aca="false">-Delta_c*AC530</f>
        <v>-6.26615747611175</v>
      </c>
      <c r="AF530" s="11" t="n">
        <f aca="false">(-AD530/$AD$5*AF529)/(Rho_a-AD530/$AD$5)</f>
        <v>-209.256015687743</v>
      </c>
      <c r="AG530" s="11" t="n">
        <f aca="false">IF(AC530&lt;Floor_F,MAX((-(Cost_k*Ubar_c+Delay_D)*(1-EXP(-Rho_a*LN((Top_c-AC530)/(Top_c-Floor_F))/Delta_c))/Rho_a+EXP(-Rho_a*LN((Top_c-AC530)/(Top_c-Floor_F))/Delta_c)*(-Cost_k*Delta_c*Floor_F/Rho_a)),(-Delay_D/Rho_a)),(EXP(-Rho_a*LN(AC530/Floor_F)/Delta_c)*(-Cost_k*Delta_c*Floor_F/Rho_a)))</f>
        <v>-209.231907768573</v>
      </c>
      <c r="AH530" s="22" t="n">
        <f aca="false">ABS(AF530-AG530)</f>
        <v>0.0241079191701203</v>
      </c>
    </row>
    <row r="531" customFormat="false" ht="15" hidden="false" customHeight="false" outlineLevel="0" collapsed="false">
      <c r="AC531" s="17" t="n">
        <f aca="false">30+511*$AD$5</f>
        <v>61.9375</v>
      </c>
      <c r="AD531" s="17" t="n">
        <f aca="false">-Delta_c*AC531</f>
        <v>-6.27248692810782</v>
      </c>
      <c r="AF531" s="11" t="n">
        <f aca="false">(-AD531/$AD$5*AF530)/(Rho_a-AD531/$AD$5)</f>
        <v>-209.057476954757</v>
      </c>
      <c r="AG531" s="11" t="n">
        <f aca="false">IF(AC531&lt;Floor_F,MAX((-(Cost_k*Ubar_c+Delay_D)*(1-EXP(-Rho_a*LN((Top_c-AC531)/(Top_c-Floor_F))/Delta_c))/Rho_a+EXP(-Rho_a*LN((Top_c-AC531)/(Top_c-Floor_F))/Delta_c)*(-Cost_k*Delta_c*Floor_F/Rho_a)),(-Delay_D/Rho_a)),(EXP(-Rho_a*LN(AC531/Floor_F)/Delta_c)*(-Cost_k*Delta_c*Floor_F/Rho_a)))</f>
        <v>-209.033197477967</v>
      </c>
      <c r="AH531" s="22" t="n">
        <f aca="false">ABS(AF531-AG531)</f>
        <v>0.0242794767902694</v>
      </c>
    </row>
    <row r="532" customFormat="false" ht="15" hidden="false" customHeight="false" outlineLevel="0" collapsed="false">
      <c r="AC532" s="17" t="n">
        <f aca="false">30+512*$AD$5</f>
        <v>62</v>
      </c>
      <c r="AD532" s="17" t="n">
        <f aca="false">-Delta_c*AC532</f>
        <v>-6.27881638010389</v>
      </c>
      <c r="AF532" s="11" t="n">
        <f aca="false">(-AD532/$AD$5*AF531)/(Rho_a-AD532/$AD$5)</f>
        <v>-208.859326352564</v>
      </c>
      <c r="AG532" s="11" t="n">
        <f aca="false">IF(AC532&lt;Floor_F,MAX((-(Cost_k*Ubar_c+Delay_D)*(1-EXP(-Rho_a*LN((Top_c-AC532)/(Top_c-Floor_F))/Delta_c))/Rho_a+EXP(-Rho_a*LN((Top_c-AC532)/(Top_c-Floor_F))/Delta_c)*(-Cost_k*Delta_c*Floor_F/Rho_a)),(-Delay_D/Rho_a)),(EXP(-Rho_a*LN(AC532/Floor_F)/Delta_c)*(-Cost_k*Delta_c*Floor_F/Rho_a)))</f>
        <v>-208.834876033629</v>
      </c>
      <c r="AH532" s="22" t="n">
        <f aca="false">ABS(AF532-AG532)</f>
        <v>0.0244503189352372</v>
      </c>
    </row>
    <row r="533" customFormat="false" ht="15" hidden="false" customHeight="false" outlineLevel="0" collapsed="false">
      <c r="AC533" s="17" t="n">
        <f aca="false">30+513*$AD$5</f>
        <v>62.0625</v>
      </c>
      <c r="AD533" s="17" t="n">
        <f aca="false">-Delta_c*AC533</f>
        <v>-6.28514583209997</v>
      </c>
      <c r="AF533" s="11" t="n">
        <f aca="false">(-AD533/$AD$5*AF532)/(Rho_a-AD533/$AD$5)</f>
        <v>-208.661562732658</v>
      </c>
      <c r="AG533" s="11" t="n">
        <f aca="false">IF(AC533&lt;Floor_F,MAX((-(Cost_k*Ubar_c+Delay_D)*(1-EXP(-Rho_a*LN((Top_c-AC533)/(Top_c-Floor_F))/Delta_c))/Rho_a+EXP(-Rho_a*LN((Top_c-AC533)/(Top_c-Floor_F))/Delta_c)*(-Cost_k*Delta_c*Floor_F/Rho_a)),(-Delay_D/Rho_a)),(EXP(-Rho_a*LN(AC533/Floor_F)/Delta_c)*(-Cost_k*Delta_c*Floor_F/Rho_a)))</f>
        <v>-208.636942283811</v>
      </c>
      <c r="AH533" s="22" t="n">
        <f aca="false">ABS(AF533-AG533)</f>
        <v>0.0246204488468891</v>
      </c>
    </row>
    <row r="534" customFormat="false" ht="15" hidden="false" customHeight="false" outlineLevel="0" collapsed="false">
      <c r="AC534" s="17" t="n">
        <f aca="false">30+514*$AD$5</f>
        <v>62.125</v>
      </c>
      <c r="AD534" s="17" t="n">
        <f aca="false">-Delta_c*AC534</f>
        <v>-6.29147528409604</v>
      </c>
      <c r="AF534" s="11" t="n">
        <f aca="false">(-AD534/$AD$5*AF533)/(Rho_a-AD534/$AD$5)</f>
        <v>-208.464184951084</v>
      </c>
      <c r="AG534" s="11" t="n">
        <f aca="false">IF(AC534&lt;Floor_F,MAX((-(Cost_k*Ubar_c+Delay_D)*(1-EXP(-Rho_a*LN((Top_c-AC534)/(Top_c-Floor_F))/Delta_c))/Rho_a+EXP(-Rho_a*LN((Top_c-AC534)/(Top_c-Floor_F))/Delta_c)*(-Cost_k*Delta_c*Floor_F/Rho_a)),(-Delay_D/Rho_a)),(EXP(-Rho_a*LN(AC534/Floor_F)/Delta_c)*(-Cost_k*Delta_c*Floor_F/Rho_a)))</f>
        <v>-208.439395081334</v>
      </c>
      <c r="AH534" s="22" t="n">
        <f aca="false">ABS(AF534-AG534)</f>
        <v>0.0247898697496964</v>
      </c>
    </row>
    <row r="535" customFormat="false" ht="15" hidden="false" customHeight="false" outlineLevel="0" collapsed="false">
      <c r="AC535" s="17" t="n">
        <f aca="false">30+515*$AD$5</f>
        <v>62.1875</v>
      </c>
      <c r="AD535" s="17" t="n">
        <f aca="false">-Delta_c*AC535</f>
        <v>-6.29780473609211</v>
      </c>
      <c r="AF535" s="11" t="n">
        <f aca="false">(-AD535/$AD$5*AF534)/(Rho_a-AD535/$AD$5)</f>
        <v>-208.267191868413</v>
      </c>
      <c r="AG535" s="11" t="n">
        <f aca="false">IF(AC535&lt;Floor_F,MAX((-(Cost_k*Ubar_c+Delay_D)*(1-EXP(-Rho_a*LN((Top_c-AC535)/(Top_c-Floor_F))/Delta_c))/Rho_a+EXP(-Rho_a*LN((Top_c-AC535)/(Top_c-Floor_F))/Delta_c)*(-Cost_k*Delta_c*Floor_F/Rho_a)),(-Delay_D/Rho_a)),(EXP(-Rho_a*LN(AC535/Floor_F)/Delta_c)*(-Cost_k*Delta_c*Floor_F/Rho_a)))</f>
        <v>-208.242233283562</v>
      </c>
      <c r="AH535" s="22" t="n">
        <f aca="false">ABS(AF535-AG535)</f>
        <v>0.0249585848510208</v>
      </c>
    </row>
    <row r="536" customFormat="false" ht="15" hidden="false" customHeight="false" outlineLevel="0" collapsed="false">
      <c r="AC536" s="17" t="n">
        <f aca="false">30+516*$AD$5</f>
        <v>62.25</v>
      </c>
      <c r="AD536" s="17" t="n">
        <f aca="false">-Delta_c*AC536</f>
        <v>-6.30413418808818</v>
      </c>
      <c r="AF536" s="11" t="n">
        <f aca="false">(-AD536/$AD$5*AF535)/(Rho_a-AD536/$AD$5)</f>
        <v>-208.070582349722</v>
      </c>
      <c r="AG536" s="11" t="n">
        <f aca="false">IF(AC536&lt;Floor_F,MAX((-(Cost_k*Ubar_c+Delay_D)*(1-EXP(-Rho_a*LN((Top_c-AC536)/(Top_c-Floor_F))/Delta_c))/Rho_a+EXP(-Rho_a*LN((Top_c-AC536)/(Top_c-Floor_F))/Delta_c)*(-Cost_k*Delta_c*Floor_F/Rho_a)),(-Delay_D/Rho_a)),(EXP(-Rho_a*LN(AC536/Floor_F)/Delta_c)*(-Cost_k*Delta_c*Floor_F/Rho_a)))</f>
        <v>-208.045455752381</v>
      </c>
      <c r="AH536" s="22" t="n">
        <f aca="false">ABS(AF536-AG536)</f>
        <v>0.0251265973411989</v>
      </c>
    </row>
    <row r="537" customFormat="false" ht="15" hidden="false" customHeight="false" outlineLevel="0" collapsed="false">
      <c r="AC537" s="17" t="n">
        <f aca="false">30+517*$AD$5</f>
        <v>62.3125</v>
      </c>
      <c r="AD537" s="17" t="n">
        <f aca="false">-Delta_c*AC537</f>
        <v>-6.31046364008426</v>
      </c>
      <c r="AF537" s="11" t="n">
        <f aca="false">(-AD537/$AD$5*AF536)/(Rho_a-AD537/$AD$5)</f>
        <v>-207.874355264569</v>
      </c>
      <c r="AG537" s="11" t="n">
        <f aca="false">IF(AC537&lt;Floor_F,MAX((-(Cost_k*Ubar_c+Delay_D)*(1-EXP(-Rho_a*LN((Top_c-AC537)/(Top_c-Floor_F))/Delta_c))/Rho_a+EXP(-Rho_a*LN((Top_c-AC537)/(Top_c-Floor_F))/Delta_c)*(-Cost_k*Delta_c*Floor_F/Rho_a)),(-Delay_D/Rho_a)),(EXP(-Rho_a*LN(AC537/Floor_F)/Delta_c)*(-Cost_k*Delta_c*Floor_F/Rho_a)))</f>
        <v>-207.849061354175</v>
      </c>
      <c r="AH537" s="22" t="n">
        <f aca="false">ABS(AF537-AG537)</f>
        <v>0.025293910393458</v>
      </c>
    </row>
    <row r="538" customFormat="false" ht="15" hidden="false" customHeight="false" outlineLevel="0" collapsed="false">
      <c r="AC538" s="17" t="n">
        <f aca="false">30+518*$AD$5</f>
        <v>62.375</v>
      </c>
      <c r="AD538" s="17" t="n">
        <f aca="false">-Delta_c*AC538</f>
        <v>-6.31679309208033</v>
      </c>
      <c r="AF538" s="11" t="n">
        <f aca="false">(-AD538/$AD$5*AF537)/(Rho_a-AD538/$AD$5)</f>
        <v>-207.678509486971</v>
      </c>
      <c r="AG538" s="11" t="n">
        <f aca="false">IF(AC538&lt;Floor_F,MAX((-(Cost_k*Ubar_c+Delay_D)*(1-EXP(-Rho_a*LN((Top_c-AC538)/(Top_c-Floor_F))/Delta_c))/Rho_a+EXP(-Rho_a*LN((Top_c-AC538)/(Top_c-Floor_F))/Delta_c)*(-Cost_k*Delta_c*Floor_F/Rho_a)),(-Delay_D/Rho_a)),(EXP(-Rho_a*LN(AC538/Floor_F)/Delta_c)*(-Cost_k*Delta_c*Floor_F/Rho_a)))</f>
        <v>-207.653048959806</v>
      </c>
      <c r="AH538" s="22" t="n">
        <f aca="false">ABS(AF538-AG538)</f>
        <v>0.0254605271641708</v>
      </c>
    </row>
    <row r="539" customFormat="false" ht="15" hidden="false" customHeight="false" outlineLevel="0" collapsed="false">
      <c r="AC539" s="17" t="n">
        <f aca="false">30+519*$AD$5</f>
        <v>62.4375</v>
      </c>
      <c r="AD539" s="17" t="n">
        <f aca="false">-Delta_c*AC539</f>
        <v>-6.3231225440764</v>
      </c>
      <c r="AF539" s="11" t="n">
        <f aca="false">(-AD539/$AD$5*AF538)/(Rho_a-AD539/$AD$5)</f>
        <v>-207.483043895384</v>
      </c>
      <c r="AG539" s="11" t="n">
        <f aca="false">IF(AC539&lt;Floor_F,MAX((-(Cost_k*Ubar_c+Delay_D)*(1-EXP(-Rho_a*LN((Top_c-AC539)/(Top_c-Floor_F))/Delta_c))/Rho_a+EXP(-Rho_a*LN((Top_c-AC539)/(Top_c-Floor_F))/Delta_c)*(-Cost_k*Delta_c*Floor_F/Rho_a)),(-Delay_D/Rho_a)),(EXP(-Rho_a*LN(AC539/Floor_F)/Delta_c)*(-Cost_k*Delta_c*Floor_F/Rho_a)))</f>
        <v>-207.457417444591</v>
      </c>
      <c r="AH539" s="22" t="n">
        <f aca="false">ABS(AF539-AG539)</f>
        <v>0.0256264507929984</v>
      </c>
    </row>
    <row r="540" customFormat="false" ht="15" hidden="false" customHeight="false" outlineLevel="0" collapsed="false">
      <c r="AC540" s="17" t="n">
        <f aca="false">30+520*$AD$5</f>
        <v>62.5</v>
      </c>
      <c r="AD540" s="17" t="n">
        <f aca="false">-Delta_c*AC540</f>
        <v>-6.32945199607247</v>
      </c>
      <c r="AF540" s="11" t="n">
        <f aca="false">(-AD540/$AD$5*AF539)/(Rho_a-AD540/$AD$5)</f>
        <v>-207.287957372681</v>
      </c>
      <c r="AG540" s="11" t="n">
        <f aca="false">IF(AC540&lt;Floor_F,MAX((-(Cost_k*Ubar_c+Delay_D)*(1-EXP(-Rho_a*LN((Top_c-AC540)/(Top_c-Floor_F))/Delta_c))/Rho_a+EXP(-Rho_a*LN((Top_c-AC540)/(Top_c-Floor_F))/Delta_c)*(-Cost_k*Delta_c*Floor_F/Rho_a)),(-Delay_D/Rho_a)),(EXP(-Rho_a*LN(AC540/Floor_F)/Delta_c)*(-Cost_k*Delta_c*Floor_F/Rho_a)))</f>
        <v>-207.262165688278</v>
      </c>
      <c r="AH540" s="22" t="n">
        <f aca="false">ABS(AF540-AG540)</f>
        <v>0.0257916844030035</v>
      </c>
    </row>
    <row r="541" customFormat="false" ht="15" hidden="false" customHeight="false" outlineLevel="0" collapsed="false">
      <c r="AC541" s="17" t="n">
        <f aca="false">30+521*$AD$5</f>
        <v>62.5625</v>
      </c>
      <c r="AD541" s="17" t="n">
        <f aca="false">-Delta_c*AC541</f>
        <v>-6.33578144806855</v>
      </c>
      <c r="AF541" s="11" t="n">
        <f aca="false">(-AD541/$AD$5*AF540)/(Rho_a-AD541/$AD$5)</f>
        <v>-207.093248806128</v>
      </c>
      <c r="AG541" s="11" t="n">
        <f aca="false">IF(AC541&lt;Floor_F,MAX((-(Cost_k*Ubar_c+Delay_D)*(1-EXP(-Rho_a*LN((Top_c-AC541)/(Top_c-Floor_F))/Delta_c))/Rho_a+EXP(-Rho_a*LN((Top_c-AC541)/(Top_c-Floor_F))/Delta_c)*(-Cost_k*Delta_c*Floor_F/Rho_a)),(-Delay_D/Rho_a)),(EXP(-Rho_a*LN(AC541/Floor_F)/Delta_c)*(-Cost_k*Delta_c*Floor_F/Rho_a)))</f>
        <v>-207.067292575027</v>
      </c>
      <c r="AH541" s="22" t="n">
        <f aca="false">ABS(AF541-AG541)</f>
        <v>0.0259562311005368</v>
      </c>
    </row>
    <row r="542" customFormat="false" ht="15" hidden="false" customHeight="false" outlineLevel="0" collapsed="false">
      <c r="AC542" s="17" t="n">
        <f aca="false">30+522*$AD$5</f>
        <v>62.625</v>
      </c>
      <c r="AD542" s="17" t="n">
        <f aca="false">-Delta_c*AC542</f>
        <v>-6.34211090006462</v>
      </c>
      <c r="AF542" s="11" t="n">
        <f aca="false">(-AD542/$AD$5*AF541)/(Rho_a-AD542/$AD$5)</f>
        <v>-206.898917087363</v>
      </c>
      <c r="AG542" s="11" t="n">
        <f aca="false">IF(AC542&lt;Floor_F,MAX((-(Cost_k*Ubar_c+Delay_D)*(1-EXP(-Rho_a*LN((Top_c-AC542)/(Top_c-Floor_F))/Delta_c))/Rho_a+EXP(-Rho_a*LN((Top_c-AC542)/(Top_c-Floor_F))/Delta_c)*(-Cost_k*Delta_c*Floor_F/Rho_a)),(-Delay_D/Rho_a)),(EXP(-Rho_a*LN(AC542/Floor_F)/Delta_c)*(-Cost_k*Delta_c*Floor_F/Rho_a)))</f>
        <v>-206.872796993387</v>
      </c>
      <c r="AH542" s="22" t="n">
        <f aca="false">ABS(AF542-AG542)</f>
        <v>0.0261200939756066</v>
      </c>
    </row>
    <row r="543" customFormat="false" ht="15" hidden="false" customHeight="false" outlineLevel="0" collapsed="false">
      <c r="AC543" s="17" t="n">
        <f aca="false">30+523*$AD$5</f>
        <v>62.6875</v>
      </c>
      <c r="AD543" s="17" t="n">
        <f aca="false">-Delta_c*AC543</f>
        <v>-6.34844035206069</v>
      </c>
      <c r="AF543" s="11" t="n">
        <f aca="false">(-AD543/$AD$5*AF542)/(Rho_a-AD543/$AD$5)</f>
        <v>-206.704961112376</v>
      </c>
      <c r="AG543" s="11" t="n">
        <f aca="false">IF(AC543&lt;Floor_F,MAX((-(Cost_k*Ubar_c+Delay_D)*(1-EXP(-Rho_a*LN((Top_c-AC543)/(Top_c-Floor_F))/Delta_c))/Rho_a+EXP(-Rho_a*LN((Top_c-AC543)/(Top_c-Floor_F))/Delta_c)*(-Cost_k*Delta_c*Floor_F/Rho_a)),(-Delay_D/Rho_a)),(EXP(-Rho_a*LN(AC543/Floor_F)/Delta_c)*(-Cost_k*Delta_c*Floor_F/Rho_a)))</f>
        <v>-206.678677836274</v>
      </c>
      <c r="AH543" s="22" t="n">
        <f aca="false">ABS(AF543-AG543)</f>
        <v>0.0262832761018501</v>
      </c>
    </row>
    <row r="544" customFormat="false" ht="15" hidden="false" customHeight="false" outlineLevel="0" collapsed="false">
      <c r="AC544" s="17" t="n">
        <f aca="false">30+524*$AD$5</f>
        <v>62.75</v>
      </c>
      <c r="AD544" s="17" t="n">
        <f aca="false">-Delta_c*AC544</f>
        <v>-6.35476980405676</v>
      </c>
      <c r="AF544" s="11" t="n">
        <f aca="false">(-AD544/$AD$5*AF543)/(Rho_a-AD544/$AD$5)</f>
        <v>-206.511379781487</v>
      </c>
      <c r="AG544" s="11" t="n">
        <f aca="false">IF(AC544&lt;Floor_F,MAX((-(Cost_k*Ubar_c+Delay_D)*(1-EXP(-Rho_a*LN((Top_c-AC544)/(Top_c-Floor_F))/Delta_c))/Rho_a+EXP(-Rho_a*LN((Top_c-AC544)/(Top_c-Floor_F))/Delta_c)*(-Cost_k*Delta_c*Floor_F/Rho_a)),(-Delay_D/Rho_a)),(EXP(-Rho_a*LN(AC544/Floor_F)/Delta_c)*(-Cost_k*Delta_c*Floor_F/Rho_a)))</f>
        <v>-206.48493400095</v>
      </c>
      <c r="AH544" s="22" t="n">
        <f aca="false">ABS(AF544-AG544)</f>
        <v>0.0264457805366192</v>
      </c>
    </row>
    <row r="545" customFormat="false" ht="15" hidden="false" customHeight="false" outlineLevel="0" collapsed="false">
      <c r="AC545" s="17" t="n">
        <f aca="false">30+525*$AD$5</f>
        <v>62.8125</v>
      </c>
      <c r="AD545" s="17" t="n">
        <f aca="false">-Delta_c*AC545</f>
        <v>-6.36109925605284</v>
      </c>
      <c r="AF545" s="11" t="n">
        <f aca="false">(-AD545/$AD$5*AF544)/(Rho_a-AD545/$AD$5)</f>
        <v>-206.318171999323</v>
      </c>
      <c r="AG545" s="11" t="n">
        <f aca="false">IF(AC545&lt;Floor_F,MAX((-(Cost_k*Ubar_c+Delay_D)*(1-EXP(-Rho_a*LN((Top_c-AC545)/(Top_c-Floor_F))/Delta_c))/Rho_a+EXP(-Rho_a*LN((Top_c-AC545)/(Top_c-Floor_F))/Delta_c)*(-Cost_k*Delta_c*Floor_F/Rho_a)),(-Delay_D/Rho_a)),(EXP(-Rho_a*LN(AC545/Floor_F)/Delta_c)*(-Cost_k*Delta_c*Floor_F/Rho_a)))</f>
        <v>-206.291564389002</v>
      </c>
      <c r="AH545" s="22" t="n">
        <f aca="false">ABS(AF545-AG545)</f>
        <v>0.0266076103211788</v>
      </c>
    </row>
    <row r="546" customFormat="false" ht="15" hidden="false" customHeight="false" outlineLevel="0" collapsed="false">
      <c r="AC546" s="17" t="n">
        <f aca="false">30+526*$AD$5</f>
        <v>62.875</v>
      </c>
      <c r="AD546" s="17" t="n">
        <f aca="false">-Delta_c*AC546</f>
        <v>-6.36742870804891</v>
      </c>
      <c r="AF546" s="11" t="n">
        <f aca="false">(-AD546/$AD$5*AF545)/(Rho_a-AD546/$AD$5)</f>
        <v>-206.1253366748</v>
      </c>
      <c r="AG546" s="11" t="n">
        <f aca="false">IF(AC546&lt;Floor_F,MAX((-(Cost_k*Ubar_c+Delay_D)*(1-EXP(-Rho_a*LN((Top_c-AC546)/(Top_c-Floor_F))/Delta_c))/Rho_a+EXP(-Rho_a*LN((Top_c-AC546)/(Top_c-Floor_F))/Delta_c)*(-Cost_k*Delta_c*Floor_F/Rho_a)),(-Delay_D/Rho_a)),(EXP(-Rho_a*LN(AC546/Floor_F)/Delta_c)*(-Cost_k*Delta_c*Floor_F/Rho_a)))</f>
        <v>-206.09856790632</v>
      </c>
      <c r="AH546" s="22" t="n">
        <f aca="false">ABS(AF546-AG546)</f>
        <v>0.0267687684805935</v>
      </c>
    </row>
    <row r="547" customFormat="false" ht="15" hidden="false" customHeight="false" outlineLevel="0" collapsed="false">
      <c r="AC547" s="17" t="n">
        <f aca="false">30+527*$AD$5</f>
        <v>62.9375</v>
      </c>
      <c r="AD547" s="17" t="n">
        <f aca="false">-Delta_c*AC547</f>
        <v>-6.37375816004498</v>
      </c>
      <c r="AF547" s="11" t="n">
        <f aca="false">(-AD547/$AD$5*AF546)/(Rho_a-AD547/$AD$5)</f>
        <v>-205.932872721099</v>
      </c>
      <c r="AG547" s="11" t="n">
        <f aca="false">IF(AC547&lt;Floor_F,MAX((-(Cost_k*Ubar_c+Delay_D)*(1-EXP(-Rho_a*LN((Top_c-AC547)/(Top_c-Floor_F))/Delta_c))/Rho_a+EXP(-Rho_a*LN((Top_c-AC547)/(Top_c-Floor_F))/Delta_c)*(-Cost_k*Delta_c*Floor_F/Rho_a)),(-Delay_D/Rho_a)),(EXP(-Rho_a*LN(AC547/Floor_F)/Delta_c)*(-Cost_k*Delta_c*Floor_F/Rho_a)))</f>
        <v>-205.905943463075</v>
      </c>
      <c r="AH547" s="22" t="n">
        <f aca="false">ABS(AF547-AG547)</f>
        <v>0.0269292580241824</v>
      </c>
    </row>
    <row r="548" customFormat="false" ht="15" hidden="false" customHeight="false" outlineLevel="0" collapsed="false">
      <c r="AC548" s="17" t="n">
        <f aca="false">30+528*$AD$5</f>
        <v>63</v>
      </c>
      <c r="AD548" s="17" t="n">
        <f aca="false">-Delta_c*AC548</f>
        <v>-6.38008761204105</v>
      </c>
      <c r="AF548" s="11" t="n">
        <f aca="false">(-AD548/$AD$5*AF547)/(Rho_a-AD548/$AD$5)</f>
        <v>-205.740779055647</v>
      </c>
      <c r="AG548" s="11" t="n">
        <f aca="false">IF(AC548&lt;Floor_F,MAX((-(Cost_k*Ubar_c+Delay_D)*(1-EXP(-Rho_a*LN((Top_c-AC548)/(Top_c-Floor_F))/Delta_c))/Rho_a+EXP(-Rho_a*LN((Top_c-AC548)/(Top_c-Floor_F))/Delta_c)*(-Cost_k*Delta_c*Floor_F/Rho_a)),(-Delay_D/Rho_a)),(EXP(-Rho_a*LN(AC548/Floor_F)/Delta_c)*(-Cost_k*Delta_c*Floor_F/Rho_a)))</f>
        <v>-205.713689973701</v>
      </c>
      <c r="AH548" s="22" t="n">
        <f aca="false">ABS(AF548-AG548)</f>
        <v>0.0270890819453484</v>
      </c>
    </row>
    <row r="549" customFormat="false" ht="15" hidden="false" customHeight="false" outlineLevel="0" collapsed="false">
      <c r="AC549" s="17" t="n">
        <f aca="false">30+529*$AD$5</f>
        <v>63.0625</v>
      </c>
      <c r="AD549" s="17" t="n">
        <f aca="false">-Delta_c*AC549</f>
        <v>-6.38641706403713</v>
      </c>
      <c r="AF549" s="11" t="n">
        <f aca="false">(-AD549/$AD$5*AF548)/(Rho_a-AD549/$AD$5)</f>
        <v>-205.549054600094</v>
      </c>
      <c r="AG549" s="11" t="n">
        <f aca="false">IF(AC549&lt;Floor_F,MAX((-(Cost_k*Ubar_c+Delay_D)*(1-EXP(-Rho_a*LN((Top_c-AC549)/(Top_c-Floor_F))/Delta_c))/Rho_a+EXP(-Rho_a*LN((Top_c-AC549)/(Top_c-Floor_F))/Delta_c)*(-Cost_k*Delta_c*Floor_F/Rho_a)),(-Delay_D/Rho_a)),(EXP(-Rho_a*LN(AC549/Floor_F)/Delta_c)*(-Cost_k*Delta_c*Floor_F/Rho_a)))</f>
        <v>-205.521806356873</v>
      </c>
      <c r="AH549" s="22" t="n">
        <f aca="false">ABS(AF549-AG549)</f>
        <v>0.0272482432215782</v>
      </c>
    </row>
    <row r="550" customFormat="false" ht="15" hidden="false" customHeight="false" outlineLevel="0" collapsed="false">
      <c r="AC550" s="17" t="n">
        <f aca="false">30+530*$AD$5</f>
        <v>63.125</v>
      </c>
      <c r="AD550" s="17" t="n">
        <f aca="false">-Delta_c*AC550</f>
        <v>-6.3927465160332</v>
      </c>
      <c r="AF550" s="11" t="n">
        <f aca="false">(-AD550/$AD$5*AF549)/(Rho_a-AD550/$AD$5)</f>
        <v>-205.357698280297</v>
      </c>
      <c r="AG550" s="11" t="n">
        <f aca="false">IF(AC550&lt;Floor_F,MAX((-(Cost_k*Ubar_c+Delay_D)*(1-EXP(-Rho_a*LN((Top_c-AC550)/(Top_c-Floor_F))/Delta_c))/Rho_a+EXP(-Rho_a*LN((Top_c-AC550)/(Top_c-Floor_F))/Delta_c)*(-Cost_k*Delta_c*Floor_F/Rho_a)),(-Delay_D/Rho_a)),(EXP(-Rho_a*LN(AC550/Floor_F)/Delta_c)*(-Cost_k*Delta_c*Floor_F/Rho_a)))</f>
        <v>-205.330291535482</v>
      </c>
      <c r="AH550" s="22" t="n">
        <f aca="false">ABS(AF550-AG550)</f>
        <v>0.0274067448148969</v>
      </c>
    </row>
    <row r="551" customFormat="false" ht="15" hidden="false" customHeight="false" outlineLevel="0" collapsed="false">
      <c r="AC551" s="17" t="n">
        <f aca="false">30+531*$AD$5</f>
        <v>63.1875</v>
      </c>
      <c r="AD551" s="17" t="n">
        <f aca="false">-Delta_c*AC551</f>
        <v>-6.39907596802927</v>
      </c>
      <c r="AF551" s="11" t="n">
        <f aca="false">(-AD551/$AD$5*AF550)/(Rho_a-AD551/$AD$5)</f>
        <v>-205.166709026293</v>
      </c>
      <c r="AG551" s="11" t="n">
        <f aca="false">IF(AC551&lt;Floor_F,MAX((-(Cost_k*Ubar_c+Delay_D)*(1-EXP(-Rho_a*LN((Top_c-AC551)/(Top_c-Floor_F))/Delta_c))/Rho_a+EXP(-Rho_a*LN((Top_c-AC551)/(Top_c-Floor_F))/Delta_c)*(-Cost_k*Delta_c*Floor_F/Rho_a)),(-Delay_D/Rho_a)),(EXP(-Rho_a*LN(AC551/Floor_F)/Delta_c)*(-Cost_k*Delta_c*Floor_F/Rho_a)))</f>
        <v>-205.139144436621</v>
      </c>
      <c r="AH551" s="22" t="n">
        <f aca="false">ABS(AF551-AG551)</f>
        <v>0.0275645896716696</v>
      </c>
    </row>
    <row r="552" customFormat="false" ht="15" hidden="false" customHeight="false" outlineLevel="0" collapsed="false">
      <c r="AC552" s="17" t="n">
        <f aca="false">30+532*$AD$5</f>
        <v>63.25</v>
      </c>
      <c r="AD552" s="17" t="n">
        <f aca="false">-Delta_c*AC552</f>
        <v>-6.40540542002534</v>
      </c>
      <c r="AF552" s="11" t="n">
        <f aca="false">(-AD552/$AD$5*AF551)/(Rho_a-AD552/$AD$5)</f>
        <v>-204.976085772284</v>
      </c>
      <c r="AG552" s="11" t="n">
        <f aca="false">IF(AC552&lt;Floor_F,MAX((-(Cost_k*Ubar_c+Delay_D)*(1-EXP(-Rho_a*LN((Top_c-AC552)/(Top_c-Floor_F))/Delta_c))/Rho_a+EXP(-Rho_a*LN((Top_c-AC552)/(Top_c-Floor_F))/Delta_c)*(-Cost_k*Delta_c*Floor_F/Rho_a)),(-Delay_D/Rho_a)),(EXP(-Rho_a*LN(AC552/Floor_F)/Delta_c)*(-Cost_k*Delta_c*Floor_F/Rho_a)))</f>
        <v>-204.948363991562</v>
      </c>
      <c r="AH552" s="22" t="n">
        <f aca="false">ABS(AF552-AG552)</f>
        <v>0.0277217807227999</v>
      </c>
    </row>
    <row r="553" customFormat="false" ht="15" hidden="false" customHeight="false" outlineLevel="0" collapsed="false">
      <c r="AC553" s="17" t="n">
        <f aca="false">30+533*$AD$5</f>
        <v>63.3125</v>
      </c>
      <c r="AD553" s="17" t="n">
        <f aca="false">-Delta_c*AC553</f>
        <v>-6.41173487202142</v>
      </c>
      <c r="AF553" s="11" t="n">
        <f aca="false">(-AD553/$AD$5*AF552)/(Rho_a-AD553/$AD$5)</f>
        <v>-204.785827456616</v>
      </c>
      <c r="AG553" s="11" t="n">
        <f aca="false">IF(AC553&lt;Floor_F,MAX((-(Cost_k*Ubar_c+Delay_D)*(1-EXP(-Rho_a*LN((Top_c-AC553)/(Top_c-Floor_F))/Delta_c))/Rho_a+EXP(-Rho_a*LN((Top_c-AC553)/(Top_c-Floor_F))/Delta_c)*(-Cost_k*Delta_c*Floor_F/Rho_a)),(-Delay_D/Rho_a)),(EXP(-Rho_a*LN(AC553/Floor_F)/Delta_c)*(-Cost_k*Delta_c*Floor_F/Rho_a)))</f>
        <v>-204.757949135732</v>
      </c>
      <c r="AH553" s="22" t="n">
        <f aca="false">ABS(AF553-AG553)</f>
        <v>0.0278783208838718</v>
      </c>
    </row>
    <row r="554" customFormat="false" ht="15" hidden="false" customHeight="false" outlineLevel="0" collapsed="false">
      <c r="AC554" s="17" t="n">
        <f aca="false">30+534*$AD$5</f>
        <v>63.375</v>
      </c>
      <c r="AD554" s="17" t="n">
        <f aca="false">-Delta_c*AC554</f>
        <v>-6.41806432401749</v>
      </c>
      <c r="AF554" s="11" t="n">
        <f aca="false">(-AD554/$AD$5*AF553)/(Rho_a-AD554/$AD$5)</f>
        <v>-204.595933021753</v>
      </c>
      <c r="AG554" s="11" t="n">
        <f aca="false">IF(AC554&lt;Floor_F,MAX((-(Cost_k*Ubar_c+Delay_D)*(1-EXP(-Rho_a*LN((Top_c-AC554)/(Top_c-Floor_F))/Delta_c))/Rho_a+EXP(-Rho_a*LN((Top_c-AC554)/(Top_c-Floor_F))/Delta_c)*(-Cost_k*Delta_c*Floor_F/Rho_a)),(-Delay_D/Rho_a)),(EXP(-Rho_a*LN(AC554/Floor_F)/Delta_c)*(-Cost_k*Delta_c*Floor_F/Rho_a)))</f>
        <v>-204.567898808698</v>
      </c>
      <c r="AH554" s="22" t="n">
        <f aca="false">ABS(AF554-AG554)</f>
        <v>0.0280342130551787</v>
      </c>
    </row>
    <row r="555" customFormat="false" ht="15" hidden="false" customHeight="false" outlineLevel="0" collapsed="false">
      <c r="AC555" s="17" t="n">
        <f aca="false">30+535*$AD$5</f>
        <v>63.4375</v>
      </c>
      <c r="AD555" s="17" t="n">
        <f aca="false">-Delta_c*AC555</f>
        <v>-6.42439377601356</v>
      </c>
      <c r="AF555" s="11" t="n">
        <f aca="false">(-AD555/$AD$5*AF554)/(Rho_a-AD555/$AD$5)</f>
        <v>-204.406401414266</v>
      </c>
      <c r="AG555" s="11" t="n">
        <f aca="false">IF(AC555&lt;Floor_F,MAX((-(Cost_k*Ubar_c+Delay_D)*(1-EXP(-Rho_a*LN((Top_c-AC555)/(Top_c-Floor_F))/Delta_c))/Rho_a+EXP(-Rho_a*LN((Top_c-AC555)/(Top_c-Floor_F))/Delta_c)*(-Cost_k*Delta_c*Floor_F/Rho_a)),(-Delay_D/Rho_a)),(EXP(-Rho_a*LN(AC555/Floor_F)/Delta_c)*(-Cost_k*Delta_c*Floor_F/Rho_a)))</f>
        <v>-204.378211954144</v>
      </c>
      <c r="AH555" s="22" t="n">
        <f aca="false">ABS(AF555-AG555)</f>
        <v>0.0281894601216948</v>
      </c>
    </row>
    <row r="556" customFormat="false" ht="15" hidden="false" customHeight="false" outlineLevel="0" collapsed="false">
      <c r="AC556" s="17" t="n">
        <f aca="false">30+536*$AD$5</f>
        <v>63.5</v>
      </c>
      <c r="AD556" s="17" t="n">
        <f aca="false">-Delta_c*AC556</f>
        <v>-6.43072322800963</v>
      </c>
      <c r="AF556" s="11" t="n">
        <f aca="false">(-AD556/$AD$5*AF555)/(Rho_a-AD556/$AD$5)</f>
        <v>-204.217231584807</v>
      </c>
      <c r="AG556" s="11" t="n">
        <f aca="false">IF(AC556&lt;Floor_F,MAX((-(Cost_k*Ubar_c+Delay_D)*(1-EXP(-Rho_a*LN((Top_c-AC556)/(Top_c-Floor_F))/Delta_c))/Rho_a+EXP(-Rho_a*LN((Top_c-AC556)/(Top_c-Floor_F))/Delta_c)*(-Cost_k*Delta_c*Floor_F/Rho_a)),(-Delay_D/Rho_a)),(EXP(-Rho_a*LN(AC556/Floor_F)/Delta_c)*(-Cost_k*Delta_c*Floor_F/Rho_a)))</f>
        <v>-204.188887519853</v>
      </c>
      <c r="AH556" s="22" t="n">
        <f aca="false">ABS(AF556-AG556)</f>
        <v>0.0283440649535578</v>
      </c>
    </row>
    <row r="557" customFormat="false" ht="15" hidden="false" customHeight="false" outlineLevel="0" collapsed="false">
      <c r="AC557" s="17" t="n">
        <f aca="false">30+537*$AD$5</f>
        <v>63.5625</v>
      </c>
      <c r="AD557" s="17" t="n">
        <f aca="false">-Delta_c*AC557</f>
        <v>-6.43705268000571</v>
      </c>
      <c r="AF557" s="11" t="n">
        <f aca="false">(-AD557/$AD$5*AF556)/(Rho_a-AD557/$AD$5)</f>
        <v>-204.028422488089</v>
      </c>
      <c r="AG557" s="11" t="n">
        <f aca="false">IF(AC557&lt;Floor_F,MAX((-(Cost_k*Ubar_c+Delay_D)*(1-EXP(-Rho_a*LN((Top_c-AC557)/(Top_c-Floor_F))/Delta_c))/Rho_a+EXP(-Rho_a*LN((Top_c-AC557)/(Top_c-Floor_F))/Delta_c)*(-Cost_k*Delta_c*Floor_F/Rho_a)),(-Delay_D/Rho_a)),(EXP(-Rho_a*LN(AC557/Floor_F)/Delta_c)*(-Cost_k*Delta_c*Floor_F/Rho_a)))</f>
        <v>-203.999924457684</v>
      </c>
      <c r="AH557" s="22" t="n">
        <f aca="false">ABS(AF557-AG557)</f>
        <v>0.0284980304056433</v>
      </c>
    </row>
    <row r="558" customFormat="false" ht="15" hidden="false" customHeight="false" outlineLevel="0" collapsed="false">
      <c r="AC558" s="17" t="n">
        <f aca="false">30+538*$AD$5</f>
        <v>63.625</v>
      </c>
      <c r="AD558" s="17" t="n">
        <f aca="false">-Delta_c*AC558</f>
        <v>-6.44338213200178</v>
      </c>
      <c r="AF558" s="11" t="n">
        <f aca="false">(-AD558/$AD$5*AF557)/(Rho_a-AD558/$AD$5)</f>
        <v>-203.839973082872</v>
      </c>
      <c r="AG558" s="11" t="n">
        <f aca="false">IF(AC558&lt;Floor_F,MAX((-(Cost_k*Ubar_c+Delay_D)*(1-EXP(-Rho_a*LN((Top_c-AC558)/(Top_c-Floor_F))/Delta_c))/Rho_a+EXP(-Rho_a*LN((Top_c-AC558)/(Top_c-Floor_F))/Delta_c)*(-Cost_k*Delta_c*Floor_F/Rho_a)),(-Delay_D/Rho_a)),(EXP(-Rho_a*LN(AC558/Floor_F)/Delta_c)*(-Cost_k*Delta_c*Floor_F/Rho_a)))</f>
        <v>-203.811321723554</v>
      </c>
      <c r="AH558" s="22" t="n">
        <f aca="false">ABS(AF558-AG558)</f>
        <v>0.0286513593180473</v>
      </c>
    </row>
    <row r="559" customFormat="false" ht="15" hidden="false" customHeight="false" outlineLevel="0" collapsed="false">
      <c r="AC559" s="17" t="n">
        <f aca="false">30+539*$AD$5</f>
        <v>63.6875</v>
      </c>
      <c r="AD559" s="17" t="n">
        <f aca="false">-Delta_c*AC559</f>
        <v>-6.44971158399785</v>
      </c>
      <c r="AF559" s="11" t="n">
        <f aca="false">(-AD559/$AD$5*AF558)/(Rho_a-AD559/$AD$5)</f>
        <v>-203.651882331935</v>
      </c>
      <c r="AG559" s="11" t="n">
        <f aca="false">IF(AC559&lt;Floor_F,MAX((-(Cost_k*Ubar_c+Delay_D)*(1-EXP(-Rho_a*LN((Top_c-AC559)/(Top_c-Floor_F))/Delta_c))/Rho_a+EXP(-Rho_a*LN((Top_c-AC559)/(Top_c-Floor_F))/Delta_c)*(-Cost_k*Delta_c*Floor_F/Rho_a)),(-Delay_D/Rho_a)),(EXP(-Rho_a*LN(AC559/Floor_F)/Delta_c)*(-Cost_k*Delta_c*Floor_F/Rho_a)))</f>
        <v>-203.623078277419</v>
      </c>
      <c r="AH559" s="22" t="n">
        <f aca="false">ABS(AF559-AG559)</f>
        <v>0.0288040545160584</v>
      </c>
    </row>
    <row r="560" customFormat="false" ht="15" hidden="false" customHeight="false" outlineLevel="0" collapsed="false">
      <c r="AC560" s="17" t="n">
        <f aca="false">30+540*$AD$5</f>
        <v>63.75</v>
      </c>
      <c r="AD560" s="17" t="n">
        <f aca="false">-Delta_c*AC560</f>
        <v>-6.45604103599392</v>
      </c>
      <c r="AF560" s="11" t="n">
        <f aca="false">(-AD560/$AD$5*AF559)/(Rho_a-AD560/$AD$5)</f>
        <v>-203.464149202064</v>
      </c>
      <c r="AG560" s="11" t="n">
        <f aca="false">IF(AC560&lt;Floor_F,MAX((-(Cost_k*Ubar_c+Delay_D)*(1-EXP(-Rho_a*LN((Top_c-AC560)/(Top_c-Floor_F))/Delta_c))/Rho_a+EXP(-Rho_a*LN((Top_c-AC560)/(Top_c-Floor_F))/Delta_c)*(-Cost_k*Delta_c*Floor_F/Rho_a)),(-Delay_D/Rho_a)),(EXP(-Rho_a*LN(AC560/Floor_F)/Delta_c)*(-Cost_k*Delta_c*Floor_F/Rho_a)))</f>
        <v>-203.435193083254</v>
      </c>
      <c r="AH560" s="22" t="n">
        <f aca="false">ABS(AF560-AG560)</f>
        <v>0.0289561188102709</v>
      </c>
    </row>
    <row r="561" customFormat="false" ht="15" hidden="false" customHeight="false" outlineLevel="0" collapsed="false">
      <c r="AC561" s="17" t="n">
        <f aca="false">30+541*$AD$5</f>
        <v>63.8125</v>
      </c>
      <c r="AD561" s="17" t="n">
        <f aca="false">-Delta_c*AC561</f>
        <v>-6.46237048799</v>
      </c>
      <c r="AF561" s="11" t="n">
        <f aca="false">(-AD561/$AD$5*AF560)/(Rho_a-AD561/$AD$5)</f>
        <v>-203.276772664029</v>
      </c>
      <c r="AG561" s="11" t="n">
        <f aca="false">IF(AC561&lt;Floor_F,MAX((-(Cost_k*Ubar_c+Delay_D)*(1-EXP(-Rho_a*LN((Top_c-AC561)/(Top_c-Floor_F))/Delta_c))/Rho_a+EXP(-Rho_a*LN((Top_c-AC561)/(Top_c-Floor_F))/Delta_c)*(-Cost_k*Delta_c*Floor_F/Rho_a)),(-Delay_D/Rho_a)),(EXP(-Rho_a*LN(AC561/Floor_F)/Delta_c)*(-Cost_k*Delta_c*Floor_F/Rho_a)))</f>
        <v>-203.247665109033</v>
      </c>
      <c r="AH561" s="22" t="n">
        <f aca="false">ABS(AF561-AG561)</f>
        <v>0.0291075549964432</v>
      </c>
    </row>
    <row r="562" customFormat="false" ht="15" hidden="false" customHeight="false" outlineLevel="0" collapsed="false">
      <c r="AC562" s="17" t="n">
        <f aca="false">30+542*$AD$5</f>
        <v>63.875</v>
      </c>
      <c r="AD562" s="17" t="n">
        <f aca="false">-Delta_c*AC562</f>
        <v>-6.46869993998607</v>
      </c>
      <c r="AF562" s="11" t="n">
        <f aca="false">(-AD562/$AD$5*AF561)/(Rho_a-AD562/$AD$5)</f>
        <v>-203.089751692564</v>
      </c>
      <c r="AG562" s="11" t="n">
        <f aca="false">IF(AC562&lt;Floor_F,MAX((-(Cost_k*Ubar_c+Delay_D)*(1-EXP(-Rho_a*LN((Top_c-AC562)/(Top_c-Floor_F))/Delta_c))/Rho_a+EXP(-Rho_a*LN((Top_c-AC562)/(Top_c-Floor_F))/Delta_c)*(-Cost_k*Delta_c*Floor_F/Rho_a)),(-Delay_D/Rho_a)),(EXP(-Rho_a*LN(AC562/Floor_F)/Delta_c)*(-Cost_k*Delta_c*Floor_F/Rho_a)))</f>
        <v>-203.060493326708</v>
      </c>
      <c r="AH562" s="22" t="n">
        <f aca="false">ABS(AF562-AG562)</f>
        <v>0.0292583658561227</v>
      </c>
    </row>
    <row r="563" customFormat="false" ht="15" hidden="false" customHeight="false" outlineLevel="0" collapsed="false">
      <c r="AC563" s="17" t="n">
        <f aca="false">30+543*$AD$5</f>
        <v>63.9375</v>
      </c>
      <c r="AD563" s="17" t="n">
        <f aca="false">-Delta_c*AC563</f>
        <v>-6.47502939198214</v>
      </c>
      <c r="AF563" s="11" t="n">
        <f aca="false">(-AD563/$AD$5*AF562)/(Rho_a-AD563/$AD$5)</f>
        <v>-202.903085266352</v>
      </c>
      <c r="AG563" s="11" t="n">
        <f aca="false">IF(AC563&lt;Floor_F,MAX((-(Cost_k*Ubar_c+Delay_D)*(1-EXP(-Rho_a*LN((Top_c-AC563)/(Top_c-Floor_F))/Delta_c))/Rho_a+EXP(-Rho_a*LN((Top_c-AC563)/(Top_c-Floor_F))/Delta_c)*(-Cost_k*Delta_c*Floor_F/Rho_a)),(-Delay_D/Rho_a)),(EXP(-Rho_a*LN(AC563/Floor_F)/Delta_c)*(-Cost_k*Delta_c*Floor_F/Rho_a)))</f>
        <v>-202.873676712196</v>
      </c>
      <c r="AH563" s="22" t="n">
        <f aca="false">ABS(AF563-AG563)</f>
        <v>0.0294085541560207</v>
      </c>
    </row>
    <row r="564" customFormat="false" ht="15" hidden="false" customHeight="false" outlineLevel="0" collapsed="false">
      <c r="AC564" s="17" t="n">
        <f aca="false">30+544*$AD$5</f>
        <v>64</v>
      </c>
      <c r="AD564" s="17" t="n">
        <f aca="false">-Delta_c*AC564</f>
        <v>-6.48135884397821</v>
      </c>
      <c r="AF564" s="11" t="n">
        <f aca="false">(-AD564/$AD$5*AF563)/(Rho_a-AD564/$AD$5)</f>
        <v>-202.716772367999</v>
      </c>
      <c r="AG564" s="11" t="n">
        <f aca="false">IF(AC564&lt;Floor_F,MAX((-(Cost_k*Ubar_c+Delay_D)*(1-EXP(-Rho_a*LN((Top_c-AC564)/(Top_c-Floor_F))/Delta_c))/Rho_a+EXP(-Rho_a*LN((Top_c-AC564)/(Top_c-Floor_F))/Delta_c)*(-Cost_k*Delta_c*Floor_F/Rho_a)),(-Delay_D/Rho_a)),(EXP(-Rho_a*LN(AC564/Floor_F)/Delta_c)*(-Cost_k*Delta_c*Floor_F/Rho_a)))</f>
        <v>-202.68721424535</v>
      </c>
      <c r="AH564" s="22" t="n">
        <f aca="false">ABS(AF564-AG564)</f>
        <v>0.0295581226486945</v>
      </c>
    </row>
    <row r="565" customFormat="false" ht="15" hidden="false" customHeight="false" outlineLevel="0" collapsed="false">
      <c r="AC565" s="17" t="n">
        <f aca="false">30+545*$AD$5</f>
        <v>64.0625</v>
      </c>
      <c r="AD565" s="17" t="n">
        <f aca="false">-Delta_c*AC565</f>
        <v>-6.48768829597429</v>
      </c>
      <c r="AF565" s="11" t="n">
        <f aca="false">(-AD565/$AD$5*AF564)/(Rho_a-AD565/$AD$5)</f>
        <v>-202.530811984024</v>
      </c>
      <c r="AG565" s="11" t="n">
        <f aca="false">IF(AC565&lt;Floor_F,MAX((-(Cost_k*Ubar_c+Delay_D)*(1-EXP(-Rho_a*LN((Top_c-AC565)/(Top_c-Floor_F))/Delta_c))/Rho_a+EXP(-Rho_a*LN((Top_c-AC565)/(Top_c-Floor_F))/Delta_c)*(-Cost_k*Delta_c*Floor_F/Rho_a)),(-Delay_D/Rho_a)),(EXP(-Rho_a*LN(AC565/Floor_F)/Delta_c)*(-Cost_k*Delta_c*Floor_F/Rho_a)))</f>
        <v>-202.501104909951</v>
      </c>
      <c r="AH565" s="22" t="n">
        <f aca="false">ABS(AF565-AG565)</f>
        <v>0.0297070740725189</v>
      </c>
    </row>
    <row r="566" customFormat="false" ht="15" hidden="false" customHeight="false" outlineLevel="0" collapsed="false">
      <c r="AC566" s="17" t="n">
        <f aca="false">30+546*$AD$5</f>
        <v>64.125</v>
      </c>
      <c r="AD566" s="17" t="n">
        <f aca="false">-Delta_c*AC566</f>
        <v>-6.49401774797036</v>
      </c>
      <c r="AF566" s="11" t="n">
        <f aca="false">(-AD566/$AD$5*AF565)/(Rho_a-AD566/$AD$5)</f>
        <v>-202.345203104832</v>
      </c>
      <c r="AG566" s="11" t="n">
        <f aca="false">IF(AC566&lt;Floor_F,MAX((-(Cost_k*Ubar_c+Delay_D)*(1-EXP(-Rho_a*LN((Top_c-AC566)/(Top_c-Floor_F))/Delta_c))/Rho_a+EXP(-Rho_a*LN((Top_c-AC566)/(Top_c-Floor_F))/Delta_c)*(-Cost_k*Delta_c*Floor_F/Rho_a)),(-Delay_D/Rho_a)),(EXP(-Rho_a*LN(AC566/Floor_F)/Delta_c)*(-Cost_k*Delta_c*Floor_F/Rho_a)))</f>
        <v>-202.31534769368</v>
      </c>
      <c r="AH566" s="22" t="n">
        <f aca="false">ABS(AF566-AG566)</f>
        <v>0.0298554111514022</v>
      </c>
    </row>
    <row r="567" customFormat="false" ht="15" hidden="false" customHeight="false" outlineLevel="0" collapsed="false">
      <c r="AC567" s="17" t="n">
        <f aca="false">30+547*$AD$5</f>
        <v>64.1875</v>
      </c>
      <c r="AD567" s="17" t="n">
        <f aca="false">-Delta_c*AC567</f>
        <v>-6.50034719996643</v>
      </c>
      <c r="AF567" s="11" t="n">
        <f aca="false">(-AD567/$AD$5*AF566)/(Rho_a-AD567/$AD$5)</f>
        <v>-202.1599447247</v>
      </c>
      <c r="AG567" s="11" t="n">
        <f aca="false">IF(AC567&lt;Floor_F,MAX((-(Cost_k*Ubar_c+Delay_D)*(1-EXP(-Rho_a*LN((Top_c-AC567)/(Top_c-Floor_F))/Delta_c))/Rho_a+EXP(-Rho_a*LN((Top_c-AC567)/(Top_c-Floor_F))/Delta_c)*(-Cost_k*Delta_c*Floor_F/Rho_a)),(-Delay_D/Rho_a)),(EXP(-Rho_a*LN(AC567/Floor_F)/Delta_c)*(-Cost_k*Delta_c*Floor_F/Rho_a)))</f>
        <v>-202.129941588105</v>
      </c>
      <c r="AH567" s="22" t="n">
        <f aca="false">ABS(AF567-AG567)</f>
        <v>0.0300031365952975</v>
      </c>
    </row>
    <row r="568" customFormat="false" ht="15" hidden="false" customHeight="false" outlineLevel="0" collapsed="false">
      <c r="AC568" s="17" t="n">
        <f aca="false">30+548*$AD$5</f>
        <v>64.25</v>
      </c>
      <c r="AD568" s="17" t="n">
        <f aca="false">-Delta_c*AC568</f>
        <v>-6.5066766519625</v>
      </c>
      <c r="AF568" s="11" t="n">
        <f aca="false">(-AD568/$AD$5*AF567)/(Rho_a-AD568/$AD$5)</f>
        <v>-201.975035841758</v>
      </c>
      <c r="AG568" s="11" t="n">
        <f aca="false">IF(AC568&lt;Floor_F,MAX((-(Cost_k*Ubar_c+Delay_D)*(1-EXP(-Rho_a*LN((Top_c-AC568)/(Top_c-Floor_F))/Delta_c))/Rho_a+EXP(-Rho_a*LN((Top_c-AC568)/(Top_c-Floor_F))/Delta_c)*(-Cost_k*Delta_c*Floor_F/Rho_a)),(-Delay_D/Rho_a)),(EXP(-Rho_a*LN(AC568/Floor_F)/Delta_c)*(-Cost_k*Delta_c*Floor_F/Rho_a)))</f>
        <v>-201.944885588658</v>
      </c>
      <c r="AH568" s="22" t="n">
        <f aca="false">ABS(AF568-AG568)</f>
        <v>0.0301502531001461</v>
      </c>
    </row>
    <row r="569" customFormat="false" ht="15" hidden="false" customHeight="false" outlineLevel="0" collapsed="false">
      <c r="AC569" s="17" t="n">
        <f aca="false">30+549*$AD$5</f>
        <v>64.3125</v>
      </c>
      <c r="AD569" s="17" t="n">
        <f aca="false">-Delta_c*AC569</f>
        <v>-6.51300610395858</v>
      </c>
      <c r="AF569" s="11" t="n">
        <f aca="false">(-AD569/$AD$5*AF568)/(Rho_a-AD569/$AD$5)</f>
        <v>-201.790475457969</v>
      </c>
      <c r="AG569" s="11" t="n">
        <f aca="false">IF(AC569&lt;Floor_F,MAX((-(Cost_k*Ubar_c+Delay_D)*(1-EXP(-Rho_a*LN((Top_c-AC569)/(Top_c-Floor_F))/Delta_c))/Rho_a+EXP(-Rho_a*LN((Top_c-AC569)/(Top_c-Floor_F))/Delta_c)*(-Cost_k*Delta_c*Floor_F/Rho_a)),(-Delay_D/Rho_a)),(EXP(-Rho_a*LN(AC569/Floor_F)/Delta_c)*(-Cost_k*Delta_c*Floor_F/Rho_a)))</f>
        <v>-201.760178694621</v>
      </c>
      <c r="AH569" s="22" t="n">
        <f aca="false">ABS(AF569-AG569)</f>
        <v>0.0302967633478772</v>
      </c>
    </row>
    <row r="570" customFormat="false" ht="15" hidden="false" customHeight="false" outlineLevel="0" collapsed="false">
      <c r="AC570" s="17" t="n">
        <f aca="false">30+550*$AD$5</f>
        <v>64.375</v>
      </c>
      <c r="AD570" s="17" t="n">
        <f aca="false">-Delta_c*AC570</f>
        <v>-6.51933555595465</v>
      </c>
      <c r="AF570" s="11" t="n">
        <f aca="false">(-AD570/$AD$5*AF569)/(Rho_a-AD570/$AD$5)</f>
        <v>-201.60626257911</v>
      </c>
      <c r="AG570" s="11" t="n">
        <f aca="false">IF(AC570&lt;Floor_F,MAX((-(Cost_k*Ubar_c+Delay_D)*(1-EXP(-Rho_a*LN((Top_c-AC570)/(Top_c-Floor_F))/Delta_c))/Rho_a+EXP(-Rho_a*LN((Top_c-AC570)/(Top_c-Floor_F))/Delta_c)*(-Cost_k*Delta_c*Floor_F/Rho_a)),(-Delay_D/Rho_a)),(EXP(-Rho_a*LN(AC570/Floor_F)/Delta_c)*(-Cost_k*Delta_c*Floor_F/Rho_a)))</f>
        <v>-201.575819909104</v>
      </c>
      <c r="AH570" s="22" t="n">
        <f aca="false">ABS(AF570-AG570)</f>
        <v>0.0304426700065221</v>
      </c>
    </row>
    <row r="571" customFormat="false" ht="15" hidden="false" customHeight="false" outlineLevel="0" collapsed="false">
      <c r="AC571" s="17" t="n">
        <f aca="false">30+551*$AD$5</f>
        <v>64.4375</v>
      </c>
      <c r="AD571" s="17" t="n">
        <f aca="false">-Delta_c*AC571</f>
        <v>-6.52566500795072</v>
      </c>
      <c r="AF571" s="11" t="n">
        <f aca="false">(-AD571/$AD$5*AF570)/(Rho_a-AD571/$AD$5)</f>
        <v>-201.422396214758</v>
      </c>
      <c r="AG571" s="11" t="n">
        <f aca="false">IF(AC571&lt;Floor_F,MAX((-(Cost_k*Ubar_c+Delay_D)*(1-EXP(-Rho_a*LN((Top_c-AC571)/(Top_c-Floor_F))/Delta_c))/Rho_a+EXP(-Rho_a*LN((Top_c-AC571)/(Top_c-Floor_F))/Delta_c)*(-Cost_k*Delta_c*Floor_F/Rho_a)),(-Delay_D/Rho_a)),(EXP(-Rho_a*LN(AC571/Floor_F)/Delta_c)*(-Cost_k*Delta_c*Floor_F/Rho_a)))</f>
        <v>-201.391808239028</v>
      </c>
      <c r="AH571" s="22" t="n">
        <f aca="false">ABS(AF571-AG571)</f>
        <v>0.0305879757305547</v>
      </c>
    </row>
    <row r="572" customFormat="false" ht="15" hidden="false" customHeight="false" outlineLevel="0" collapsed="false">
      <c r="AC572" s="17" t="n">
        <f aca="false">30+552*$AD$5</f>
        <v>64.5</v>
      </c>
      <c r="AD572" s="17" t="n">
        <f aca="false">-Delta_c*AC572</f>
        <v>-6.53199445994679</v>
      </c>
      <c r="AF572" s="11" t="n">
        <f aca="false">(-AD572/$AD$5*AF571)/(Rho_a-AD572/$AD$5)</f>
        <v>-201.238875378267</v>
      </c>
      <c r="AG572" s="11" t="n">
        <f aca="false">IF(AC572&lt;Floor_F,MAX((-(Cost_k*Ubar_c+Delay_D)*(1-EXP(-Rho_a*LN((Top_c-AC572)/(Top_c-Floor_F))/Delta_c))/Rho_a+EXP(-Rho_a*LN((Top_c-AC572)/(Top_c-Floor_F))/Delta_c)*(-Cost_k*Delta_c*Floor_F/Rho_a)),(-Delay_D/Rho_a)),(EXP(-Rho_a*LN(AC572/Floor_F)/Delta_c)*(-Cost_k*Delta_c*Floor_F/Rho_a)))</f>
        <v>-201.208142695107</v>
      </c>
      <c r="AH572" s="22" t="n">
        <f aca="false">ABS(AF572-AG572)</f>
        <v>0.0307326831604655</v>
      </c>
    </row>
    <row r="573" customFormat="false" ht="15" hidden="false" customHeight="false" outlineLevel="0" collapsed="false">
      <c r="AC573" s="17" t="n">
        <f aca="false">30+553*$AD$5</f>
        <v>64.5625</v>
      </c>
      <c r="AD573" s="17" t="n">
        <f aca="false">-Delta_c*AC573</f>
        <v>-6.53832391194287</v>
      </c>
      <c r="AF573" s="11" t="n">
        <f aca="false">(-AD573/$AD$5*AF572)/(Rho_a-AD573/$AD$5)</f>
        <v>-201.055699086752</v>
      </c>
      <c r="AG573" s="11" t="n">
        <f aca="false">IF(AC573&lt;Floor_F,MAX((-(Cost_k*Ubar_c+Delay_D)*(1-EXP(-Rho_a*LN((Top_c-AC573)/(Top_c-Floor_F))/Delta_c))/Rho_a+EXP(-Rho_a*LN((Top_c-AC573)/(Top_c-Floor_F))/Delta_c)*(-Cost_k*Delta_c*Floor_F/Rho_a)),(-Delay_D/Rho_a)),(EXP(-Rho_a*LN(AC573/Floor_F)/Delta_c)*(-Cost_k*Delta_c*Floor_F/Rho_a)))</f>
        <v>-201.024822291829</v>
      </c>
      <c r="AH573" s="22" t="n">
        <f aca="false">ABS(AF573-AG573)</f>
        <v>0.0308767949233868</v>
      </c>
    </row>
    <row r="574" customFormat="false" ht="15" hidden="false" customHeight="false" outlineLevel="0" collapsed="false">
      <c r="AC574" s="17" t="n">
        <f aca="false">30+554*$AD$5</f>
        <v>64.625</v>
      </c>
      <c r="AD574" s="17" t="n">
        <f aca="false">-Delta_c*AC574</f>
        <v>-6.54465336393894</v>
      </c>
      <c r="AF574" s="11" t="n">
        <f aca="false">(-AD574/$AD$5*AF573)/(Rho_a-AD574/$AD$5)</f>
        <v>-200.872866361071</v>
      </c>
      <c r="AG574" s="11" t="n">
        <f aca="false">IF(AC574&lt;Floor_F,MAX((-(Cost_k*Ubar_c+Delay_D)*(1-EXP(-Rho_a*LN((Top_c-AC574)/(Top_c-Floor_F))/Delta_c))/Rho_a+EXP(-Rho_a*LN((Top_c-AC574)/(Top_c-Floor_F))/Delta_c)*(-Cost_k*Delta_c*Floor_F/Rho_a)),(-Delay_D/Rho_a)),(EXP(-Rho_a*LN(AC574/Floor_F)/Delta_c)*(-Cost_k*Delta_c*Floor_F/Rho_a)))</f>
        <v>-200.841846047438</v>
      </c>
      <c r="AH574" s="22" t="n">
        <f aca="false">ABS(AF574-AG574)</f>
        <v>0.0310203136328084</v>
      </c>
    </row>
    <row r="575" customFormat="false" ht="15" hidden="false" customHeight="false" outlineLevel="0" collapsed="false">
      <c r="AC575" s="17" t="n">
        <f aca="false">30+555*$AD$5</f>
        <v>64.6875</v>
      </c>
      <c r="AD575" s="17" t="n">
        <f aca="false">-Delta_c*AC575</f>
        <v>-6.55098281593501</v>
      </c>
      <c r="AF575" s="11" t="n">
        <f aca="false">(-AD575/$AD$5*AF574)/(Rho_a-AD575/$AD$5)</f>
        <v>-200.690376225807</v>
      </c>
      <c r="AG575" s="11" t="n">
        <f aca="false">IF(AC575&lt;Floor_F,MAX((-(Cost_k*Ubar_c+Delay_D)*(1-EXP(-Rho_a*LN((Top_c-AC575)/(Top_c-Floor_F))/Delta_c))/Rho_a+EXP(-Rho_a*LN((Top_c-AC575)/(Top_c-Floor_F))/Delta_c)*(-Cost_k*Delta_c*Floor_F/Rho_a)),(-Delay_D/Rho_a)),(EXP(-Rho_a*LN(AC575/Floor_F)/Delta_c)*(-Cost_k*Delta_c*Floor_F/Rho_a)))</f>
        <v>-200.659212983918</v>
      </c>
      <c r="AH575" s="22" t="n">
        <f aca="false">ABS(AF575-AG575)</f>
        <v>0.0311632418886916</v>
      </c>
    </row>
    <row r="576" customFormat="false" ht="15" hidden="false" customHeight="false" outlineLevel="0" collapsed="false">
      <c r="AC576" s="17" t="n">
        <f aca="false">30+556*$AD$5</f>
        <v>64.75</v>
      </c>
      <c r="AD576" s="17" t="n">
        <f aca="false">-Delta_c*AC576</f>
        <v>-6.55731226793108</v>
      </c>
      <c r="AF576" s="11" t="n">
        <f aca="false">(-AD576/$AD$5*AF575)/(Rho_a-AD576/$AD$5)</f>
        <v>-200.50822770925</v>
      </c>
      <c r="AG576" s="11" t="n">
        <f aca="false">IF(AC576&lt;Floor_F,MAX((-(Cost_k*Ubar_c+Delay_D)*(1-EXP(-Rho_a*LN((Top_c-AC576)/(Top_c-Floor_F))/Delta_c))/Rho_a+EXP(-Rho_a*LN((Top_c-AC576)/(Top_c-Floor_F))/Delta_c)*(-Cost_k*Delta_c*Floor_F/Rho_a)),(-Delay_D/Rho_a)),(EXP(-Rho_a*LN(AC576/Floor_F)/Delta_c)*(-Cost_k*Delta_c*Floor_F/Rho_a)))</f>
        <v>-200.476922126972</v>
      </c>
      <c r="AH576" s="22" t="n">
        <f aca="false">ABS(AF576-AG576)</f>
        <v>0.0313055822778381</v>
      </c>
    </row>
    <row r="577" customFormat="false" ht="15" hidden="false" customHeight="false" outlineLevel="0" collapsed="false">
      <c r="AC577" s="17" t="n">
        <f aca="false">30+557*$AD$5</f>
        <v>64.8125</v>
      </c>
      <c r="AD577" s="17" t="n">
        <f aca="false">-Delta_c*AC577</f>
        <v>-6.56364171992716</v>
      </c>
      <c r="AF577" s="11" t="n">
        <f aca="false">(-AD577/$AD$5*AF576)/(Rho_a-AD577/$AD$5)</f>
        <v>-200.326419843381</v>
      </c>
      <c r="AG577" s="11" t="n">
        <f aca="false">IF(AC577&lt;Floor_F,MAX((-(Cost_k*Ubar_c+Delay_D)*(1-EXP(-Rho_a*LN((Top_c-AC577)/(Top_c-Floor_F))/Delta_c))/Rho_a+EXP(-Rho_a*LN((Top_c-AC577)/(Top_c-Floor_F))/Delta_c)*(-Cost_k*Delta_c*Floor_F/Rho_a)),(-Delay_D/Rho_a)),(EXP(-Rho_a*LN(AC577/Floor_F)/Delta_c)*(-Cost_k*Delta_c*Floor_F/Rho_a)))</f>
        <v>-200.294972506008</v>
      </c>
      <c r="AH577" s="22" t="n">
        <f aca="false">ABS(AF577-AG577)</f>
        <v>0.031447337373578</v>
      </c>
    </row>
    <row r="578" customFormat="false" ht="15" hidden="false" customHeight="false" outlineLevel="0" collapsed="false">
      <c r="AC578" s="17" t="n">
        <f aca="false">30+558*$AD$5</f>
        <v>64.875</v>
      </c>
      <c r="AD578" s="17" t="n">
        <f aca="false">-Delta_c*AC578</f>
        <v>-6.56997117192323</v>
      </c>
      <c r="AF578" s="11" t="n">
        <f aca="false">(-AD578/$AD$5*AF577)/(Rho_a-AD578/$AD$5)</f>
        <v>-200.144951663853</v>
      </c>
      <c r="AG578" s="11" t="n">
        <f aca="false">IF(AC578&lt;Floor_F,MAX((-(Cost_k*Ubar_c+Delay_D)*(1-EXP(-Rho_a*LN((Top_c-AC578)/(Top_c-Floor_F))/Delta_c))/Rho_a+EXP(-Rho_a*LN((Top_c-AC578)/(Top_c-Floor_F))/Delta_c)*(-Cost_k*Delta_c*Floor_F/Rho_a)),(-Delay_D/Rho_a)),(EXP(-Rho_a*LN(AC578/Floor_F)/Delta_c)*(-Cost_k*Delta_c*Floor_F/Rho_a)))</f>
        <v>-200.113363154117</v>
      </c>
      <c r="AH578" s="22" t="n">
        <f aca="false">ABS(AF578-AG578)</f>
        <v>0.0315885097361104</v>
      </c>
    </row>
    <row r="579" customFormat="false" ht="15" hidden="false" customHeight="false" outlineLevel="0" collapsed="false">
      <c r="AC579" s="17" t="n">
        <f aca="false">30+559*$AD$5</f>
        <v>64.9375</v>
      </c>
      <c r="AD579" s="17" t="n">
        <f aca="false">-Delta_c*AC579</f>
        <v>-6.5763006239193</v>
      </c>
      <c r="AF579" s="11" t="n">
        <f aca="false">(-AD579/$AD$5*AF578)/(Rho_a-AD579/$AD$5)</f>
        <v>-199.963822209971</v>
      </c>
      <c r="AG579" s="11" t="n">
        <f aca="false">IF(AC579&lt;Floor_F,MAX((-(Cost_k*Ubar_c+Delay_D)*(1-EXP(-Rho_a*LN((Top_c-AC579)/(Top_c-Floor_F))/Delta_c))/Rho_a+EXP(-Rho_a*LN((Top_c-AC579)/(Top_c-Floor_F))/Delta_c)*(-Cost_k*Delta_c*Floor_F/Rho_a)),(-Delay_D/Rho_a)),(EXP(-Rho_a*LN(AC579/Floor_F)/Delta_c)*(-Cost_k*Delta_c*Floor_F/Rho_a)))</f>
        <v>-199.932093108058</v>
      </c>
      <c r="AH579" s="22" t="n">
        <f aca="false">ABS(AF579-AG579)</f>
        <v>0.0317291019125889</v>
      </c>
    </row>
    <row r="580" customFormat="false" ht="15" hidden="false" customHeight="false" outlineLevel="0" collapsed="false">
      <c r="AC580" s="17" t="n">
        <f aca="false">30+560*$AD$5</f>
        <v>65</v>
      </c>
      <c r="AD580" s="17" t="n">
        <f aca="false">-Delta_c*AC580</f>
        <v>-6.58263007591537</v>
      </c>
      <c r="AF580" s="11" t="n">
        <f aca="false">(-AD580/$AD$5*AF579)/(Rho_a-AD580/$AD$5)</f>
        <v>-199.78303052468</v>
      </c>
      <c r="AG580" s="11" t="n">
        <f aca="false">IF(AC580&lt;Floor_F,MAX((-(Cost_k*Ubar_c+Delay_D)*(1-EXP(-Rho_a*LN((Top_c-AC580)/(Top_c-Floor_F))/Delta_c))/Rho_a+EXP(-Rho_a*LN((Top_c-AC580)/(Top_c-Floor_F))/Delta_c)*(-Cost_k*Delta_c*Floor_F/Rho_a)),(-Delay_D/Rho_a)),(EXP(-Rho_a*LN(AC580/Floor_F)/Delta_c)*(-Cost_k*Delta_c*Floor_F/Rho_a)))</f>
        <v>-199.751161408243</v>
      </c>
      <c r="AH580" s="22" t="n">
        <f aca="false">ABS(AF580-AG580)</f>
        <v>0.0318691164369795</v>
      </c>
    </row>
    <row r="581" customFormat="false" ht="15" hidden="false" customHeight="false" outlineLevel="0" collapsed="false">
      <c r="AC581" s="17" t="n">
        <f aca="false">30+561*$AD$5</f>
        <v>65.0625</v>
      </c>
      <c r="AD581" s="17" t="n">
        <f aca="false">-Delta_c*AC581</f>
        <v>-6.58895952791145</v>
      </c>
      <c r="AF581" s="11" t="n">
        <f aca="false">(-AD581/$AD$5*AF580)/(Rho_a-AD581/$AD$5)</f>
        <v>-199.602575654544</v>
      </c>
      <c r="AG581" s="11" t="n">
        <f aca="false">IF(AC581&lt;Floor_F,MAX((-(Cost_k*Ubar_c+Delay_D)*(1-EXP(-Rho_a*LN((Top_c-AC581)/(Top_c-Floor_F))/Delta_c))/Rho_a+EXP(-Rho_a*LN((Top_c-AC581)/(Top_c-Floor_F))/Delta_c)*(-Cost_k*Delta_c*Floor_F/Rho_a)),(-Delay_D/Rho_a)),(EXP(-Rho_a*LN(AC581/Floor_F)/Delta_c)*(-Cost_k*Delta_c*Floor_F/Rho_a)))</f>
        <v>-199.570567098713</v>
      </c>
      <c r="AH581" s="22" t="n">
        <f aca="false">ABS(AF581-AG581)</f>
        <v>0.0320085558303447</v>
      </c>
    </row>
    <row r="582" customFormat="false" ht="15" hidden="false" customHeight="false" outlineLevel="0" collapsed="false">
      <c r="AC582" s="17" t="n">
        <f aca="false">30+562*$AD$5</f>
        <v>65.125</v>
      </c>
      <c r="AD582" s="17" t="n">
        <f aca="false">-Delta_c*AC582</f>
        <v>-6.59528897990752</v>
      </c>
      <c r="AF582" s="11" t="n">
        <f aca="false">(-AD582/$AD$5*AF581)/(Rho_a-AD582/$AD$5)</f>
        <v>-199.42245664973</v>
      </c>
      <c r="AG582" s="11" t="n">
        <f aca="false">IF(AC582&lt;Floor_F,MAX((-(Cost_k*Ubar_c+Delay_D)*(1-EXP(-Rho_a*LN((Top_c-AC582)/(Top_c-Floor_F))/Delta_c))/Rho_a+EXP(-Rho_a*LN((Top_c-AC582)/(Top_c-Floor_F))/Delta_c)*(-Cost_k*Delta_c*Floor_F/Rho_a)),(-Delay_D/Rho_a)),(EXP(-Rho_a*LN(AC582/Floor_F)/Delta_c)*(-Cost_k*Delta_c*Floor_F/Rho_a)))</f>
        <v>-199.390309227129</v>
      </c>
      <c r="AH582" s="22" t="n">
        <f aca="false">ABS(AF582-AG582)</f>
        <v>0.0321474226008434</v>
      </c>
    </row>
    <row r="583" customFormat="false" ht="15" hidden="false" customHeight="false" outlineLevel="0" collapsed="false">
      <c r="AC583" s="17" t="n">
        <f aca="false">30+563*$AD$5</f>
        <v>65.1875</v>
      </c>
      <c r="AD583" s="17" t="n">
        <f aca="false">-Delta_c*AC583</f>
        <v>-6.60161843190359</v>
      </c>
      <c r="AF583" s="11" t="n">
        <f aca="false">(-AD583/$AD$5*AF582)/(Rho_a-AD583/$AD$5)</f>
        <v>-199.242672563992</v>
      </c>
      <c r="AG583" s="11" t="n">
        <f aca="false">IF(AC583&lt;Floor_F,MAX((-(Cost_k*Ubar_c+Delay_D)*(1-EXP(-Rho_a*LN((Top_c-AC583)/(Top_c-Floor_F))/Delta_c))/Rho_a+EXP(-Rho_a*LN((Top_c-AC583)/(Top_c-Floor_F))/Delta_c)*(-Cost_k*Delta_c*Floor_F/Rho_a)),(-Delay_D/Rho_a)),(EXP(-Rho_a*LN(AC583/Floor_F)/Delta_c)*(-Cost_k*Delta_c*Floor_F/Rho_a)))</f>
        <v>-199.210386844748</v>
      </c>
      <c r="AH583" s="22" t="n">
        <f aca="false">ABS(AF583-AG583)</f>
        <v>0.0322857192438732</v>
      </c>
    </row>
    <row r="584" customFormat="false" ht="15" hidden="false" customHeight="false" outlineLevel="0" collapsed="false">
      <c r="AC584" s="17" t="n">
        <f aca="false">30+564*$AD$5</f>
        <v>65.25</v>
      </c>
      <c r="AD584" s="17" t="n">
        <f aca="false">-Delta_c*AC584</f>
        <v>-6.60794788389966</v>
      </c>
      <c r="AF584" s="11" t="n">
        <f aca="false">(-AD584/$AD$5*AF583)/(Rho_a-AD584/$AD$5)</f>
        <v>-199.063222454651</v>
      </c>
      <c r="AG584" s="11" t="n">
        <f aca="false">IF(AC584&lt;Floor_F,MAX((-(Cost_k*Ubar_c+Delay_D)*(1-EXP(-Rho_a*LN((Top_c-AC584)/(Top_c-Floor_F))/Delta_c))/Rho_a+EXP(-Rho_a*LN((Top_c-AC584)/(Top_c-Floor_F))/Delta_c)*(-Cost_k*Delta_c*Floor_F/Rho_a)),(-Delay_D/Rho_a)),(EXP(-Rho_a*LN(AC584/Floor_F)/Delta_c)*(-Cost_k*Delta_c*Floor_F/Rho_a)))</f>
        <v>-199.030799006409</v>
      </c>
      <c r="AH584" s="22" t="n">
        <f aca="false">ABS(AF584-AG584)</f>
        <v>0.032423448241957</v>
      </c>
    </row>
    <row r="585" customFormat="false" ht="15" hidden="false" customHeight="false" outlineLevel="0" collapsed="false">
      <c r="AC585" s="17" t="n">
        <f aca="false">30+565*$AD$5</f>
        <v>65.3125</v>
      </c>
      <c r="AD585" s="17" t="n">
        <f aca="false">-Delta_c*AC585</f>
        <v>-6.61427733589574</v>
      </c>
      <c r="AF585" s="11" t="n">
        <f aca="false">(-AD585/$AD$5*AF584)/(Rho_a-AD585/$AD$5)</f>
        <v>-198.884105382581</v>
      </c>
      <c r="AG585" s="11" t="n">
        <f aca="false">IF(AC585&lt;Floor_F,MAX((-(Cost_k*Ubar_c+Delay_D)*(1-EXP(-Rho_a*LN((Top_c-AC585)/(Top_c-Floor_F))/Delta_c))/Rho_a+EXP(-Rho_a*LN((Top_c-AC585)/(Top_c-Floor_F))/Delta_c)*(-Cost_k*Delta_c*Floor_F/Rho_a)),(-Delay_D/Rho_a)),(EXP(-Rho_a*LN(AC585/Floor_F)/Delta_c)*(-Cost_k*Delta_c*Floor_F/Rho_a)))</f>
        <v>-198.851544770515</v>
      </c>
      <c r="AH585" s="22" t="n">
        <f aca="false">ABS(AF585-AG585)</f>
        <v>0.0325606120651401</v>
      </c>
    </row>
    <row r="586" customFormat="false" ht="15" hidden="false" customHeight="false" outlineLevel="0" collapsed="false">
      <c r="AC586" s="17" t="n">
        <f aca="false">30+566*$AD$5</f>
        <v>65.375</v>
      </c>
      <c r="AD586" s="17" t="n">
        <f aca="false">-Delta_c*AC586</f>
        <v>-6.62060678789181</v>
      </c>
      <c r="AF586" s="11" t="n">
        <f aca="false">(-AD586/$AD$5*AF585)/(Rho_a-AD586/$AD$5)</f>
        <v>-198.705320412191</v>
      </c>
      <c r="AG586" s="11" t="n">
        <f aca="false">IF(AC586&lt;Floor_F,MAX((-(Cost_k*Ubar_c+Delay_D)*(1-EXP(-Rho_a*LN((Top_c-AC586)/(Top_c-Floor_F))/Delta_c))/Rho_a+EXP(-Rho_a*LN((Top_c-AC586)/(Top_c-Floor_F))/Delta_c)*(-Cost_k*Delta_c*Floor_F/Rho_a)),(-Delay_D/Rho_a)),(EXP(-Rho_a*LN(AC586/Floor_F)/Delta_c)*(-Cost_k*Delta_c*Floor_F/Rho_a)))</f>
        <v>-198.67262319902</v>
      </c>
      <c r="AH586" s="22" t="n">
        <f aca="false">ABS(AF586-AG586)</f>
        <v>0.032697213170735</v>
      </c>
    </row>
    <row r="587" customFormat="false" ht="15" hidden="false" customHeight="false" outlineLevel="0" collapsed="false">
      <c r="AC587" s="17" t="n">
        <f aca="false">30+567*$AD$5</f>
        <v>65.4375</v>
      </c>
      <c r="AD587" s="17" t="n">
        <f aca="false">-Delta_c*AC587</f>
        <v>-6.62693623988788</v>
      </c>
      <c r="AF587" s="11" t="n">
        <f aca="false">(-AD587/$AD$5*AF586)/(Rho_a-AD587/$AD$5)</f>
        <v>-198.526866611409</v>
      </c>
      <c r="AG587" s="11" t="n">
        <f aca="false">IF(AC587&lt;Floor_F,MAX((-(Cost_k*Ubar_c+Delay_D)*(1-EXP(-Rho_a*LN((Top_c-AC587)/(Top_c-Floor_F))/Delta_c))/Rho_a+EXP(-Rho_a*LN((Top_c-AC587)/(Top_c-Floor_F))/Delta_c)*(-Cost_k*Delta_c*Floor_F/Rho_a)),(-Delay_D/Rho_a)),(EXP(-Rho_a*LN(AC587/Floor_F)/Delta_c)*(-Cost_k*Delta_c*Floor_F/Rho_a)))</f>
        <v>-198.494033357406</v>
      </c>
      <c r="AH587" s="22" t="n">
        <f aca="false">ABS(AF587-AG587)</f>
        <v>0.0328332540036058</v>
      </c>
    </row>
    <row r="588" customFormat="false" ht="15" hidden="false" customHeight="false" outlineLevel="0" collapsed="false">
      <c r="AC588" s="17" t="n">
        <f aca="false">30+568*$AD$5</f>
        <v>65.5</v>
      </c>
      <c r="AD588" s="17" t="n">
        <f aca="false">-Delta_c*AC588</f>
        <v>-6.63326569188395</v>
      </c>
      <c r="AF588" s="11" t="n">
        <f aca="false">(-AD588/$AD$5*AF587)/(Rho_a-AD588/$AD$5)</f>
        <v>-198.348743051666</v>
      </c>
      <c r="AG588" s="11" t="n">
        <f aca="false">IF(AC588&lt;Floor_F,MAX((-(Cost_k*Ubar_c+Delay_D)*(1-EXP(-Rho_a*LN((Top_c-AC588)/(Top_c-Floor_F))/Delta_c))/Rho_a+EXP(-Rho_a*LN((Top_c-AC588)/(Top_c-Floor_F))/Delta_c)*(-Cost_k*Delta_c*Floor_F/Rho_a)),(-Delay_D/Rho_a)),(EXP(-Rho_a*LN(AC588/Floor_F)/Delta_c)*(-Cost_k*Delta_c*Floor_F/Rho_a)))</f>
        <v>-198.315774314669</v>
      </c>
      <c r="AH588" s="22" t="n">
        <f aca="false">ABS(AF588-AG588)</f>
        <v>0.0329687369961391</v>
      </c>
    </row>
    <row r="589" customFormat="false" ht="15" hidden="false" customHeight="false" outlineLevel="0" collapsed="false">
      <c r="AC589" s="17" t="n">
        <f aca="false">30+569*$AD$5</f>
        <v>65.5625</v>
      </c>
      <c r="AD589" s="17" t="n">
        <f aca="false">-Delta_c*AC589</f>
        <v>-6.63959514388003</v>
      </c>
      <c r="AF589" s="11" t="n">
        <f aca="false">(-AD589/$AD$5*AF588)/(Rho_a-AD589/$AD$5)</f>
        <v>-198.170948807875</v>
      </c>
      <c r="AG589" s="11" t="n">
        <f aca="false">IF(AC589&lt;Floor_F,MAX((-(Cost_k*Ubar_c+Delay_D)*(1-EXP(-Rho_a*LN((Top_c-AC589)/(Top_c-Floor_F))/Delta_c))/Rho_a+EXP(-Rho_a*LN((Top_c-AC589)/(Top_c-Floor_F))/Delta_c)*(-Cost_k*Delta_c*Floor_F/Rho_a)),(-Delay_D/Rho_a)),(EXP(-Rho_a*LN(AC589/Floor_F)/Delta_c)*(-Cost_k*Delta_c*Floor_F/Rho_a)))</f>
        <v>-198.137845143307</v>
      </c>
      <c r="AH589" s="22" t="n">
        <f aca="false">ABS(AF589-AG589)</f>
        <v>0.0331036645684435</v>
      </c>
    </row>
    <row r="590" customFormat="false" ht="15" hidden="false" customHeight="false" outlineLevel="0" collapsed="false">
      <c r="AC590" s="17" t="n">
        <f aca="false">30+570*$AD$5</f>
        <v>65.625</v>
      </c>
      <c r="AD590" s="17" t="n">
        <f aca="false">-Delta_c*AC590</f>
        <v>-6.6459245958761</v>
      </c>
      <c r="AF590" s="11" t="n">
        <f aca="false">(-AD590/$AD$5*AF589)/(Rho_a-AD590/$AD$5)</f>
        <v>-197.993482958423</v>
      </c>
      <c r="AG590" s="11" t="n">
        <f aca="false">IF(AC590&lt;Floor_F,MAX((-(Cost_k*Ubar_c+Delay_D)*(1-EXP(-Rho_a*LN((Top_c-AC590)/(Top_c-Floor_F))/Delta_c))/Rho_a+EXP(-Rho_a*LN((Top_c-AC590)/(Top_c-Floor_F))/Delta_c)*(-Cost_k*Delta_c*Floor_F/Rho_a)),(-Delay_D/Rho_a)),(EXP(-Rho_a*LN(AC590/Floor_F)/Delta_c)*(-Cost_k*Delta_c*Floor_F/Rho_a)))</f>
        <v>-197.960244919295</v>
      </c>
      <c r="AH590" s="22" t="n">
        <f aca="false">ABS(AF590-AG590)</f>
        <v>0.0332380391282072</v>
      </c>
    </row>
    <row r="591" customFormat="false" ht="15" hidden="false" customHeight="false" outlineLevel="0" collapsed="false">
      <c r="AC591" s="17" t="n">
        <f aca="false">30+571*$AD$5</f>
        <v>65.6875</v>
      </c>
      <c r="AD591" s="17" t="n">
        <f aca="false">-Delta_c*AC591</f>
        <v>-6.65225404787217</v>
      </c>
      <c r="AF591" s="11" t="n">
        <f aca="false">(-AD591/$AD$5*AF590)/(Rho_a-AD591/$AD$5)</f>
        <v>-197.816344585146</v>
      </c>
      <c r="AG591" s="11" t="n">
        <f aca="false">IF(AC591&lt;Floor_F,MAX((-(Cost_k*Ubar_c+Delay_D)*(1-EXP(-Rho_a*LN((Top_c-AC591)/(Top_c-Floor_F))/Delta_c))/Rho_a+EXP(-Rho_a*LN((Top_c-AC591)/(Top_c-Floor_F))/Delta_c)*(-Cost_k*Delta_c*Floor_F/Rho_a)),(-Delay_D/Rho_a)),(EXP(-Rho_a*LN(AC591/Floor_F)/Delta_c)*(-Cost_k*Delta_c*Floor_F/Rho_a)))</f>
        <v>-197.782972722075</v>
      </c>
      <c r="AH591" s="22" t="n">
        <f aca="false">ABS(AF591-AG591)</f>
        <v>0.0333718630710393</v>
      </c>
    </row>
    <row r="592" customFormat="false" ht="15" hidden="false" customHeight="false" outlineLevel="0" collapsed="false">
      <c r="AC592" s="17" t="n">
        <f aca="false">30+572*$AD$5</f>
        <v>65.75</v>
      </c>
      <c r="AD592" s="17" t="n">
        <f aca="false">-Delta_c*AC592</f>
        <v>-6.65858349986824</v>
      </c>
      <c r="AF592" s="11" t="n">
        <f aca="false">(-AD592/$AD$5*AF591)/(Rho_a-AD592/$AD$5)</f>
        <v>-197.639532773318</v>
      </c>
      <c r="AG592" s="11" t="n">
        <f aca="false">IF(AC592&lt;Floor_F,MAX((-(Cost_k*Ubar_c+Delay_D)*(1-EXP(-Rho_a*LN((Top_c-AC592)/(Top_c-Floor_F))/Delta_c))/Rho_a+EXP(-Rho_a*LN((Top_c-AC592)/(Top_c-Floor_F))/Delta_c)*(-Cost_k*Delta_c*Floor_F/Rho_a)),(-Delay_D/Rho_a)),(EXP(-Rho_a*LN(AC592/Floor_F)/Delta_c)*(-Cost_k*Delta_c*Floor_F/Rho_a)))</f>
        <v>-197.606027634538</v>
      </c>
      <c r="AH592" s="22" t="n">
        <f aca="false">ABS(AF592-AG592)</f>
        <v>0.0335051387803276</v>
      </c>
    </row>
    <row r="593" customFormat="false" ht="15" hidden="false" customHeight="false" outlineLevel="0" collapsed="false">
      <c r="AC593" s="17" t="n">
        <f aca="false">30+573*$AD$5</f>
        <v>65.8125</v>
      </c>
      <c r="AD593" s="17" t="n">
        <f aca="false">-Delta_c*AC593</f>
        <v>-6.66491295186432</v>
      </c>
      <c r="AF593" s="11" t="n">
        <f aca="false">(-AD593/$AD$5*AF592)/(Rho_a-AD593/$AD$5)</f>
        <v>-197.463046611635</v>
      </c>
      <c r="AG593" s="11" t="n">
        <f aca="false">IF(AC593&lt;Floor_F,MAX((-(Cost_k*Ubar_c+Delay_D)*(1-EXP(-Rho_a*LN((Top_c-AC593)/(Top_c-Floor_F))/Delta_c))/Rho_a+EXP(-Rho_a*LN((Top_c-AC593)/(Top_c-Floor_F))/Delta_c)*(-Cost_k*Delta_c*Floor_F/Rho_a)),(-Delay_D/Rho_a)),(EXP(-Rho_a*LN(AC593/Floor_F)/Delta_c)*(-Cost_k*Delta_c*Floor_F/Rho_a)))</f>
        <v>-197.429408743008</v>
      </c>
      <c r="AH593" s="22" t="n">
        <f aca="false">ABS(AF593-AG593)</f>
        <v>0.0336378686272951</v>
      </c>
    </row>
    <row r="594" customFormat="false" ht="15" hidden="false" customHeight="false" outlineLevel="0" collapsed="false">
      <c r="AC594" s="17" t="n">
        <f aca="false">30+574*$AD$5</f>
        <v>65.875</v>
      </c>
      <c r="AD594" s="17" t="n">
        <f aca="false">-Delta_c*AC594</f>
        <v>-6.67124240386039</v>
      </c>
      <c r="AF594" s="11" t="n">
        <f aca="false">(-AD594/$AD$5*AF593)/(Rho_a-AD594/$AD$5)</f>
        <v>-197.286885192195</v>
      </c>
      <c r="AG594" s="11" t="n">
        <f aca="false">IF(AC594&lt;Floor_F,MAX((-(Cost_k*Ubar_c+Delay_D)*(1-EXP(-Rho_a*LN((Top_c-AC594)/(Top_c-Floor_F))/Delta_c))/Rho_a+EXP(-Rho_a*LN((Top_c-AC594)/(Top_c-Floor_F))/Delta_c)*(-Cost_k*Delta_c*Floor_F/Rho_a)),(-Delay_D/Rho_a)),(EXP(-Rho_a*LN(AC594/Floor_F)/Delta_c)*(-Cost_k*Delta_c*Floor_F/Rho_a)))</f>
        <v>-197.253115137223</v>
      </c>
      <c r="AH594" s="22" t="n">
        <f aca="false">ABS(AF594-AG594)</f>
        <v>0.0337700549713986</v>
      </c>
    </row>
    <row r="595" customFormat="false" ht="15" hidden="false" customHeight="false" outlineLevel="0" collapsed="false">
      <c r="AC595" s="17" t="n">
        <f aca="false">30+575*$AD$5</f>
        <v>65.9375</v>
      </c>
      <c r="AD595" s="17" t="n">
        <f aca="false">-Delta_c*AC595</f>
        <v>-6.67757185585646</v>
      </c>
      <c r="AF595" s="11" t="n">
        <f aca="false">(-AD595/$AD$5*AF594)/(Rho_a-AD595/$AD$5)</f>
        <v>-197.111047610486</v>
      </c>
      <c r="AG595" s="11" t="n">
        <f aca="false">IF(AC595&lt;Floor_F,MAX((-(Cost_k*Ubar_c+Delay_D)*(1-EXP(-Rho_a*LN((Top_c-AC595)/(Top_c-Floor_F))/Delta_c))/Rho_a+EXP(-Rho_a*LN((Top_c-AC595)/(Top_c-Floor_F))/Delta_c)*(-Cost_k*Delta_c*Floor_F/Rho_a)),(-Delay_D/Rho_a)),(EXP(-Rho_a*LN(AC595/Floor_F)/Delta_c)*(-Cost_k*Delta_c*Floor_F/Rho_a)))</f>
        <v>-197.077145910326</v>
      </c>
      <c r="AH595" s="22" t="n">
        <f aca="false">ABS(AF595-AG595)</f>
        <v>0.0339017001599871</v>
      </c>
    </row>
    <row r="596" customFormat="false" ht="15" hidden="false" customHeight="false" outlineLevel="0" collapsed="false">
      <c r="AC596" s="17" t="n">
        <f aca="false">30+576*$AD$5</f>
        <v>66</v>
      </c>
      <c r="AD596" s="17" t="n">
        <f aca="false">-Delta_c*AC596</f>
        <v>-6.68390130785253</v>
      </c>
      <c r="AF596" s="11" t="n">
        <f aca="false">(-AD596/$AD$5*AF595)/(Rho_a-AD596/$AD$5)</f>
        <v>-196.935532965368</v>
      </c>
      <c r="AG596" s="11" t="n">
        <f aca="false">IF(AC596&lt;Floor_F,MAX((-(Cost_k*Ubar_c+Delay_D)*(1-EXP(-Rho_a*LN((Top_c-AC596)/(Top_c-Floor_F))/Delta_c))/Rho_a+EXP(-Rho_a*LN((Top_c-AC596)/(Top_c-Floor_F))/Delta_c)*(-Cost_k*Delta_c*Floor_F/Rho_a)),(-Delay_D/Rho_a)),(EXP(-Rho_a*LN(AC596/Floor_F)/Delta_c)*(-Cost_k*Delta_c*Floor_F/Rho_a)))</f>
        <v>-196.901500158839</v>
      </c>
      <c r="AH596" s="22" t="n">
        <f aca="false">ABS(AF596-AG596)</f>
        <v>0.0340328065285291</v>
      </c>
    </row>
    <row r="597" customFormat="false" ht="15" hidden="false" customHeight="false" outlineLevel="0" collapsed="false">
      <c r="AC597" s="17" t="n">
        <f aca="false">30+577*$AD$5</f>
        <v>66.0625</v>
      </c>
      <c r="AD597" s="17" t="n">
        <f aca="false">-Delta_c*AC597</f>
        <v>-6.69023075984861</v>
      </c>
      <c r="AF597" s="11" t="n">
        <f aca="false">(-AD597/$AD$5*AF596)/(Rho_a-AD597/$AD$5)</f>
        <v>-196.760340359059</v>
      </c>
      <c r="AG597" s="11" t="n">
        <f aca="false">IF(AC597&lt;Floor_F,MAX((-(Cost_k*Ubar_c+Delay_D)*(1-EXP(-Rho_a*LN((Top_c-AC597)/(Top_c-Floor_F))/Delta_c))/Rho_a+EXP(-Rho_a*LN((Top_c-AC597)/(Top_c-Floor_F))/Delta_c)*(-Cost_k*Delta_c*Floor_F/Rho_a)),(-Delay_D/Rho_a)),(EXP(-Rho_a*LN(AC597/Floor_F)/Delta_c)*(-Cost_k*Delta_c*Floor_F/Rho_a)))</f>
        <v>-196.726176982658</v>
      </c>
      <c r="AH597" s="22" t="n">
        <f aca="false">ABS(AF597-AG597)</f>
        <v>0.0341633764008122</v>
      </c>
    </row>
    <row r="598" customFormat="false" ht="15" hidden="false" customHeight="false" outlineLevel="0" collapsed="false">
      <c r="AC598" s="17" t="n">
        <f aca="false">30+578*$AD$5</f>
        <v>66.125</v>
      </c>
      <c r="AD598" s="17" t="n">
        <f aca="false">-Delta_c*AC598</f>
        <v>-6.69656021184468</v>
      </c>
      <c r="AF598" s="11" t="n">
        <f aca="false">(-AD598/$AD$5*AF597)/(Rho_a-AD598/$AD$5)</f>
        <v>-196.585468897119</v>
      </c>
      <c r="AG598" s="11" t="n">
        <f aca="false">IF(AC598&lt;Floor_F,MAX((-(Cost_k*Ubar_c+Delay_D)*(1-EXP(-Rho_a*LN((Top_c-AC598)/(Top_c-Floor_F))/Delta_c))/Rho_a+EXP(-Rho_a*LN((Top_c-AC598)/(Top_c-Floor_F))/Delta_c)*(-Cost_k*Delta_c*Floor_F/Rho_a)),(-Delay_D/Rho_a)),(EXP(-Rho_a*LN(AC598/Floor_F)/Delta_c)*(-Cost_k*Delta_c*Floor_F/Rho_a)))</f>
        <v>-196.55117548503</v>
      </c>
      <c r="AH598" s="22" t="n">
        <f aca="false">ABS(AF598-AG598)</f>
        <v>0.0342934120888003</v>
      </c>
    </row>
    <row r="599" customFormat="false" ht="15" hidden="false" customHeight="false" outlineLevel="0" collapsed="false">
      <c r="AC599" s="17" t="n">
        <f aca="false">30+579*$AD$5</f>
        <v>66.1875</v>
      </c>
      <c r="AD599" s="17" t="n">
        <f aca="false">-Delta_c*AC599</f>
        <v>-6.70288966384075</v>
      </c>
      <c r="AF599" s="11" t="n">
        <f aca="false">(-AD599/$AD$5*AF598)/(Rho_a-AD599/$AD$5)</f>
        <v>-196.410917688431</v>
      </c>
      <c r="AG599" s="11" t="n">
        <f aca="false">IF(AC599&lt;Floor_F,MAX((-(Cost_k*Ubar_c+Delay_D)*(1-EXP(-Rho_a*LN((Top_c-AC599)/(Top_c-Floor_F))/Delta_c))/Rho_a+EXP(-Rho_a*LN((Top_c-AC599)/(Top_c-Floor_F))/Delta_c)*(-Cost_k*Delta_c*Floor_F/Rho_a)),(-Delay_D/Rho_a)),(EXP(-Rho_a*LN(AC599/Floor_F)/Delta_c)*(-Cost_k*Delta_c*Floor_F/Rho_a)))</f>
        <v>-196.376494772538</v>
      </c>
      <c r="AH599" s="22" t="n">
        <f aca="false">ABS(AF599-AG599)</f>
        <v>0.0344229158928897</v>
      </c>
    </row>
    <row r="600" customFormat="false" ht="15" hidden="false" customHeight="false" outlineLevel="0" collapsed="false">
      <c r="AC600" s="17" t="n">
        <f aca="false">30+580*$AD$5</f>
        <v>66.25</v>
      </c>
      <c r="AD600" s="17" t="n">
        <f aca="false">-Delta_c*AC600</f>
        <v>-6.70921911583682</v>
      </c>
      <c r="AF600" s="11" t="n">
        <f aca="false">(-AD600/$AD$5*AF599)/(Rho_a-AD600/$AD$5)</f>
        <v>-196.23668584519</v>
      </c>
      <c r="AG600" s="11" t="n">
        <f aca="false">IF(AC600&lt;Floor_F,MAX((-(Cost_k*Ubar_c+Delay_D)*(1-EXP(-Rho_a*LN((Top_c-AC600)/(Top_c-Floor_F))/Delta_c))/Rho_a+EXP(-Rho_a*LN((Top_c-AC600)/(Top_c-Floor_F))/Delta_c)*(-Cost_k*Delta_c*Floor_F/Rho_a)),(-Delay_D/Rho_a)),(EXP(-Rho_a*LN(AC600/Floor_F)/Delta_c)*(-Cost_k*Delta_c*Floor_F/Rho_a)))</f>
        <v>-196.202133955088</v>
      </c>
      <c r="AH600" s="22" t="n">
        <f aca="false">ABS(AF600-AG600)</f>
        <v>0.0345518901018522</v>
      </c>
    </row>
    <row r="601" customFormat="false" ht="15" hidden="false" customHeight="false" outlineLevel="0" collapsed="false">
      <c r="AC601" s="17" t="n">
        <f aca="false">30+581*$AD$5</f>
        <v>66.3125</v>
      </c>
      <c r="AD601" s="17" t="n">
        <f aca="false">-Delta_c*AC601</f>
        <v>-6.7155485678329</v>
      </c>
      <c r="AF601" s="11" t="n">
        <f aca="false">(-AD601/$AD$5*AF600)/(Rho_a-AD601/$AD$5)</f>
        <v>-196.062772482887</v>
      </c>
      <c r="AG601" s="11" t="n">
        <f aca="false">IF(AC601&lt;Floor_F,MAX((-(Cost_k*Ubar_c+Delay_D)*(1-EXP(-Rho_a*LN((Top_c-AC601)/(Top_c-Floor_F))/Delta_c))/Rho_a+EXP(-Rho_a*LN((Top_c-AC601)/(Top_c-Floor_F))/Delta_c)*(-Cost_k*Delta_c*Floor_F/Rho_a)),(-Delay_D/Rho_a)),(EXP(-Rho_a*LN(AC601/Floor_F)/Delta_c)*(-Cost_k*Delta_c*Floor_F/Rho_a)))</f>
        <v>-196.028092145894</v>
      </c>
      <c r="AH601" s="22" t="n">
        <f aca="false">ABS(AF601-AG601)</f>
        <v>0.0346803369929773</v>
      </c>
    </row>
    <row r="602" customFormat="false" ht="15" hidden="false" customHeight="false" outlineLevel="0" collapsed="false">
      <c r="AC602" s="17" t="n">
        <f aca="false">30+582*$AD$5</f>
        <v>66.375</v>
      </c>
      <c r="AD602" s="17" t="n">
        <f aca="false">-Delta_c*AC602</f>
        <v>-6.72187801982897</v>
      </c>
      <c r="AF602" s="11" t="n">
        <f aca="false">(-AD602/$AD$5*AF601)/(Rho_a-AD602/$AD$5)</f>
        <v>-195.88917672029</v>
      </c>
      <c r="AG602" s="11" t="n">
        <f aca="false">IF(AC602&lt;Floor_F,MAX((-(Cost_k*Ubar_c+Delay_D)*(1-EXP(-Rho_a*LN((Top_c-AC602)/(Top_c-Floor_F))/Delta_c))/Rho_a+EXP(-Rho_a*LN((Top_c-AC602)/(Top_c-Floor_F))/Delta_c)*(-Cost_k*Delta_c*Floor_F/Rho_a)),(-Delay_D/Rho_a)),(EXP(-Rho_a*LN(AC602/Floor_F)/Delta_c)*(-Cost_k*Delta_c*Floor_F/Rho_a)))</f>
        <v>-195.854368461458</v>
      </c>
      <c r="AH602" s="22" t="n">
        <f aca="false">ABS(AF602-AG602)</f>
        <v>0.0348082588320438</v>
      </c>
    </row>
    <row r="603" customFormat="false" ht="15" hidden="false" customHeight="false" outlineLevel="0" collapsed="false">
      <c r="AC603" s="17" t="n">
        <f aca="false">30+583*$AD$5</f>
        <v>66.4375</v>
      </c>
      <c r="AD603" s="17" t="n">
        <f aca="false">-Delta_c*AC603</f>
        <v>-6.72820747182504</v>
      </c>
      <c r="AF603" s="11" t="n">
        <f aca="false">(-AD603/$AD$5*AF602)/(Rho_a-AD603/$AD$5)</f>
        <v>-195.715897679434</v>
      </c>
      <c r="AG603" s="11" t="n">
        <f aca="false">IF(AC603&lt;Floor_F,MAX((-(Cost_k*Ubar_c+Delay_D)*(1-EXP(-Rho_a*LN((Top_c-AC603)/(Top_c-Floor_F))/Delta_c))/Rho_a+EXP(-Rho_a*LN((Top_c-AC603)/(Top_c-Floor_F))/Delta_c)*(-Cost_k*Delta_c*Floor_F/Rho_a)),(-Delay_D/Rho_a)),(EXP(-Rho_a*LN(AC603/Floor_F)/Delta_c)*(-Cost_k*Delta_c*Floor_F/Rho_a)))</f>
        <v>-195.68096202156</v>
      </c>
      <c r="AH603" s="22" t="n">
        <f aca="false">ABS(AF603-AG603)</f>
        <v>0.0349356578734898</v>
      </c>
    </row>
    <row r="604" customFormat="false" ht="15" hidden="false" customHeight="false" outlineLevel="0" collapsed="false">
      <c r="AC604" s="17" t="n">
        <f aca="false">30+584*$AD$5</f>
        <v>66.5</v>
      </c>
      <c r="AD604" s="17" t="n">
        <f aca="false">-Delta_c*AC604</f>
        <v>-6.73453692382111</v>
      </c>
      <c r="AF604" s="11" t="n">
        <f aca="false">(-AD604/$AD$5*AF603)/(Rho_a-AD604/$AD$5)</f>
        <v>-195.542934485601</v>
      </c>
      <c r="AG604" s="11" t="n">
        <f aca="false">IF(AC604&lt;Floor_F,MAX((-(Cost_k*Ubar_c+Delay_D)*(1-EXP(-Rho_a*LN((Top_c-AC604)/(Top_c-Floor_F))/Delta_c))/Rho_a+EXP(-Rho_a*LN((Top_c-AC604)/(Top_c-Floor_F))/Delta_c)*(-Cost_k*Delta_c*Floor_F/Rho_a)),(-Delay_D/Rho_a)),(EXP(-Rho_a*LN(AC604/Floor_F)/Delta_c)*(-Cost_k*Delta_c*Floor_F/Rho_a)))</f>
        <v>-195.507871949241</v>
      </c>
      <c r="AH604" s="22" t="n">
        <f aca="false">ABS(AF604-AG604)</f>
        <v>0.0350625363604138</v>
      </c>
    </row>
    <row r="605" customFormat="false" ht="15" hidden="false" customHeight="false" outlineLevel="0" collapsed="false">
      <c r="AC605" s="17" t="n">
        <f aca="false">30+585*$AD$5</f>
        <v>66.5625</v>
      </c>
      <c r="AD605" s="17" t="n">
        <f aca="false">-Delta_c*AC605</f>
        <v>-6.74086637581719</v>
      </c>
      <c r="AF605" s="11" t="n">
        <f aca="false">(-AD605/$AD$5*AF604)/(Rho_a-AD605/$AD$5)</f>
        <v>-195.370286267308</v>
      </c>
      <c r="AG605" s="11" t="n">
        <f aca="false">IF(AC605&lt;Floor_F,MAX((-(Cost_k*Ubar_c+Delay_D)*(1-EXP(-Rho_a*LN((Top_c-AC605)/(Top_c-Floor_F))/Delta_c))/Rho_a+EXP(-Rho_a*LN((Top_c-AC605)/(Top_c-Floor_F))/Delta_c)*(-Cost_k*Delta_c*Floor_F/Rho_a)),(-Delay_D/Rho_a)),(EXP(-Rho_a*LN(AC605/Floor_F)/Delta_c)*(-Cost_k*Delta_c*Floor_F/Rho_a)))</f>
        <v>-195.335097370783</v>
      </c>
      <c r="AH605" s="22" t="n">
        <f aca="false">ABS(AF605-AG605)</f>
        <v>0.0351888965247156</v>
      </c>
    </row>
    <row r="606" customFormat="false" ht="15" hidden="false" customHeight="false" outlineLevel="0" collapsed="false">
      <c r="AC606" s="17" t="n">
        <f aca="false">30+586*$AD$5</f>
        <v>66.625</v>
      </c>
      <c r="AD606" s="17" t="n">
        <f aca="false">-Delta_c*AC606</f>
        <v>-6.74719582781326</v>
      </c>
      <c r="AF606" s="11" t="n">
        <f aca="false">(-AD606/$AD$5*AF605)/(Rho_a-AD606/$AD$5)</f>
        <v>-195.197952156292</v>
      </c>
      <c r="AG606" s="11" t="n">
        <f aca="false">IF(AC606&lt;Floor_F,MAX((-(Cost_k*Ubar_c+Delay_D)*(1-EXP(-Rho_a*LN((Top_c-AC606)/(Top_c-Floor_F))/Delta_c))/Rho_a+EXP(-Rho_a*LN((Top_c-AC606)/(Top_c-Floor_F))/Delta_c)*(-Cost_k*Delta_c*Floor_F/Rho_a)),(-Delay_D/Rho_a)),(EXP(-Rho_a*LN(AC606/Floor_F)/Delta_c)*(-Cost_k*Delta_c*Floor_F/Rho_a)))</f>
        <v>-195.162637415704</v>
      </c>
      <c r="AH606" s="22" t="n">
        <f aca="false">ABS(AF606-AG606)</f>
        <v>0.0353147405870686</v>
      </c>
    </row>
    <row r="607" customFormat="false" ht="15" hidden="false" customHeight="false" outlineLevel="0" collapsed="false">
      <c r="AC607" s="17" t="n">
        <f aca="false">30+587*$AD$5</f>
        <v>66.6875</v>
      </c>
      <c r="AD607" s="17" t="n">
        <f aca="false">-Delta_c*AC607</f>
        <v>-6.75352527980933</v>
      </c>
      <c r="AF607" s="11" t="n">
        <f aca="false">(-AD607/$AD$5*AF606)/(Rho_a-AD607/$AD$5)</f>
        <v>-195.025931287492</v>
      </c>
      <c r="AG607" s="11" t="n">
        <f aca="false">IF(AC607&lt;Floor_F,MAX((-(Cost_k*Ubar_c+Delay_D)*(1-EXP(-Rho_a*LN((Top_c-AC607)/(Top_c-Floor_F))/Delta_c))/Rho_a+EXP(-Rho_a*LN((Top_c-AC607)/(Top_c-Floor_F))/Delta_c)*(-Cost_k*Delta_c*Floor_F/Rho_a)),(-Delay_D/Rho_a)),(EXP(-Rho_a*LN(AC607/Floor_F)/Delta_c)*(-Cost_k*Delta_c*Floor_F/Rho_a)))</f>
        <v>-194.990491216735</v>
      </c>
      <c r="AH607" s="22" t="n">
        <f aca="false">ABS(AF607-AG607)</f>
        <v>0.0354400707570335</v>
      </c>
    </row>
    <row r="608" customFormat="false" ht="15" hidden="false" customHeight="false" outlineLevel="0" collapsed="false">
      <c r="AC608" s="17" t="n">
        <f aca="false">30+588*$AD$5</f>
        <v>66.75</v>
      </c>
      <c r="AD608" s="17" t="n">
        <f aca="false">-Delta_c*AC608</f>
        <v>-6.7598547318054</v>
      </c>
      <c r="AF608" s="11" t="n">
        <f aca="false">(-AD608/$AD$5*AF607)/(Rho_a-AD608/$AD$5)</f>
        <v>-194.854222799038</v>
      </c>
      <c r="AG608" s="11" t="n">
        <f aca="false">IF(AC608&lt;Floor_F,MAX((-(Cost_k*Ubar_c+Delay_D)*(1-EXP(-Rho_a*LN((Top_c-AC608)/(Top_c-Floor_F))/Delta_c))/Rho_a+EXP(-Rho_a*LN((Top_c-AC608)/(Top_c-Floor_F))/Delta_c)*(-Cost_k*Delta_c*Floor_F/Rho_a)),(-Delay_D/Rho_a)),(EXP(-Rho_a*LN(AC608/Floor_F)/Delta_c)*(-Cost_k*Delta_c*Floor_F/Rho_a)))</f>
        <v>-194.818657909805</v>
      </c>
      <c r="AH608" s="22" t="n">
        <f aca="false">ABS(AF608-AG608)</f>
        <v>0.0355648892331431</v>
      </c>
    </row>
    <row r="609" customFormat="false" ht="15" hidden="false" customHeight="false" outlineLevel="0" collapsed="false">
      <c r="AC609" s="17" t="n">
        <f aca="false">30+589*$AD$5</f>
        <v>66.8125</v>
      </c>
      <c r="AD609" s="17" t="n">
        <f aca="false">-Delta_c*AC609</f>
        <v>-6.76618418380148</v>
      </c>
      <c r="AF609" s="11" t="n">
        <f aca="false">(-AD609/$AD$5*AF608)/(Rho_a-AD609/$AD$5)</f>
        <v>-194.682825832236</v>
      </c>
      <c r="AG609" s="11" t="n">
        <f aca="false">IF(AC609&lt;Floor_F,MAX((-(Cost_k*Ubar_c+Delay_D)*(1-EXP(-Rho_a*LN((Top_c-AC609)/(Top_c-Floor_F))/Delta_c))/Rho_a+EXP(-Rho_a*LN((Top_c-AC609)/(Top_c-Floor_F))/Delta_c)*(-Cost_k*Delta_c*Floor_F/Rho_a)),(-Delay_D/Rho_a)),(EXP(-Rho_a*LN(AC609/Floor_F)/Delta_c)*(-Cost_k*Delta_c*Floor_F/Rho_a)))</f>
        <v>-194.647136634033</v>
      </c>
      <c r="AH609" s="22" t="n">
        <f aca="false">ABS(AF609-AG609)</f>
        <v>0.0356891982028742</v>
      </c>
    </row>
    <row r="610" customFormat="false" ht="15" hidden="false" customHeight="false" outlineLevel="0" collapsed="false">
      <c r="AC610" s="17" t="n">
        <f aca="false">30+590*$AD$5</f>
        <v>66.875</v>
      </c>
      <c r="AD610" s="17" t="n">
        <f aca="false">-Delta_c*AC610</f>
        <v>-6.77251363579755</v>
      </c>
      <c r="AF610" s="11" t="n">
        <f aca="false">(-AD610/$AD$5*AF609)/(Rho_a-AD610/$AD$5)</f>
        <v>-194.511739531549</v>
      </c>
      <c r="AG610" s="11" t="n">
        <f aca="false">IF(AC610&lt;Floor_F,MAX((-(Cost_k*Ubar_c+Delay_D)*(1-EXP(-Rho_a*LN((Top_c-AC610)/(Top_c-Floor_F))/Delta_c))/Rho_a+EXP(-Rho_a*LN((Top_c-AC610)/(Top_c-Floor_F))/Delta_c)*(-Cost_k*Delta_c*Floor_F/Rho_a)),(-Delay_D/Rho_a)),(EXP(-Rho_a*LN(AC610/Floor_F)/Delta_c)*(-Cost_k*Delta_c*Floor_F/Rho_a)))</f>
        <v>-194.475926531706</v>
      </c>
      <c r="AH610" s="22" t="n">
        <f aca="false">ABS(AF610-AG610)</f>
        <v>0.0358129998428183</v>
      </c>
    </row>
    <row r="611" customFormat="false" ht="15" hidden="false" customHeight="false" outlineLevel="0" collapsed="false">
      <c r="AC611" s="17" t="n">
        <f aca="false">30+591*$AD$5</f>
        <v>66.9375</v>
      </c>
      <c r="AD611" s="17" t="n">
        <f aca="false">-Delta_c*AC611</f>
        <v>-6.77884308779362</v>
      </c>
      <c r="AF611" s="11" t="n">
        <f aca="false">(-AD611/$AD$5*AF610)/(Rho_a-AD611/$AD$5)</f>
        <v>-194.340963044588</v>
      </c>
      <c r="AG611" s="11" t="n">
        <f aca="false">IF(AC611&lt;Floor_F,MAX((-(Cost_k*Ubar_c+Delay_D)*(1-EXP(-Rho_a*LN((Top_c-AC611)/(Top_c-Floor_F))/Delta_c))/Rho_a+EXP(-Rho_a*LN((Top_c-AC611)/(Top_c-Floor_F))/Delta_c)*(-Cost_k*Delta_c*Floor_F/Rho_a)),(-Delay_D/Rho_a)),(EXP(-Rho_a*LN(AC611/Floor_F)/Delta_c)*(-Cost_k*Delta_c*Floor_F/Rho_a)))</f>
        <v>-194.305026748269</v>
      </c>
      <c r="AH611" s="22" t="n">
        <f aca="false">ABS(AF611-AG611)</f>
        <v>0.0359362963188232</v>
      </c>
    </row>
    <row r="612" customFormat="false" ht="15" hidden="false" customHeight="false" outlineLevel="0" collapsed="false">
      <c r="AC612" s="17" t="n">
        <f aca="false">30+592*$AD$5</f>
        <v>67</v>
      </c>
      <c r="AD612" s="17" t="n">
        <f aca="false">-Delta_c*AC612</f>
        <v>-6.78517253978969</v>
      </c>
      <c r="AF612" s="11" t="n">
        <f aca="false">(-AD612/$AD$5*AF611)/(Rho_a-AD612/$AD$5)</f>
        <v>-194.170495522093</v>
      </c>
      <c r="AG612" s="11" t="n">
        <f aca="false">IF(AC612&lt;Floor_F,MAX((-(Cost_k*Ubar_c+Delay_D)*(1-EXP(-Rho_a*LN((Top_c-AC612)/(Top_c-Floor_F))/Delta_c))/Rho_a+EXP(-Rho_a*LN((Top_c-AC612)/(Top_c-Floor_F))/Delta_c)*(-Cost_k*Delta_c*Floor_F/Rho_a)),(-Delay_D/Rho_a)),(EXP(-Rho_a*LN(AC612/Floor_F)/Delta_c)*(-Cost_k*Delta_c*Floor_F/Rho_a)))</f>
        <v>-194.134436432307</v>
      </c>
      <c r="AH612" s="22" t="n">
        <f aca="false">ABS(AF612-AG612)</f>
        <v>0.0360590897857662</v>
      </c>
    </row>
    <row r="613" customFormat="false" ht="15" hidden="false" customHeight="false" outlineLevel="0" collapsed="false">
      <c r="AC613" s="17" t="n">
        <f aca="false">30+593*$AD$5</f>
        <v>67.0625</v>
      </c>
      <c r="AD613" s="17" t="n">
        <f aca="false">-Delta_c*AC613</f>
        <v>-6.79150199178577</v>
      </c>
      <c r="AF613" s="11" t="n">
        <f aca="false">(-AD613/$AD$5*AF612)/(Rho_a-AD613/$AD$5)</f>
        <v>-194.000336117923</v>
      </c>
      <c r="AG613" s="11" t="n">
        <f aca="false">IF(AC613&lt;Floor_F,MAX((-(Cost_k*Ubar_c+Delay_D)*(1-EXP(-Rho_a*LN((Top_c-AC613)/(Top_c-Floor_F))/Delta_c))/Rho_a+EXP(-Rho_a*LN((Top_c-AC613)/(Top_c-Floor_F))/Delta_c)*(-Cost_k*Delta_c*Floor_F/Rho_a)),(-Delay_D/Rho_a)),(EXP(-Rho_a*LN(AC613/Floor_F)/Delta_c)*(-Cost_k*Delta_c*Floor_F/Rho_a)))</f>
        <v>-193.964154735535</v>
      </c>
      <c r="AH613" s="22" t="n">
        <f aca="false">ABS(AF613-AG613)</f>
        <v>0.0361813823878379</v>
      </c>
    </row>
    <row r="614" customFormat="false" ht="15" hidden="false" customHeight="false" outlineLevel="0" collapsed="false">
      <c r="AC614" s="17" t="n">
        <f aca="false">30+594*$AD$5</f>
        <v>67.125</v>
      </c>
      <c r="AD614" s="17" t="n">
        <f aca="false">-Delta_c*AC614</f>
        <v>-6.79783144378184</v>
      </c>
      <c r="AF614" s="11" t="n">
        <f aca="false">(-AD614/$AD$5*AF613)/(Rho_a-AD614/$AD$5)</f>
        <v>-193.830483989037</v>
      </c>
      <c r="AG614" s="11" t="n">
        <f aca="false">IF(AC614&lt;Floor_F,MAX((-(Cost_k*Ubar_c+Delay_D)*(1-EXP(-Rho_a*LN((Top_c-AC614)/(Top_c-Floor_F))/Delta_c))/Rho_a+EXP(-Rho_a*LN((Top_c-AC614)/(Top_c-Floor_F))/Delta_c)*(-Cost_k*Delta_c*Floor_F/Rho_a)),(-Delay_D/Rho_a)),(EXP(-Rho_a*LN(AC614/Floor_F)/Delta_c)*(-Cost_k*Delta_c*Floor_F/Rho_a)))</f>
        <v>-193.794180812778</v>
      </c>
      <c r="AH614" s="22" t="n">
        <f aca="false">ABS(AF614-AG614)</f>
        <v>0.036303176258599</v>
      </c>
    </row>
    <row r="615" customFormat="false" ht="15" hidden="false" customHeight="false" outlineLevel="0" collapsed="false">
      <c r="AC615" s="17" t="n">
        <f aca="false">30+595*$AD$5</f>
        <v>67.1875</v>
      </c>
      <c r="AD615" s="17" t="n">
        <f aca="false">-Delta_c*AC615</f>
        <v>-6.80416089577791</v>
      </c>
      <c r="AF615" s="11" t="n">
        <f aca="false">(-AD615/$AD$5*AF614)/(Rho_a-AD615/$AD$5)</f>
        <v>-193.660938295483</v>
      </c>
      <c r="AG615" s="11" t="n">
        <f aca="false">IF(AC615&lt;Floor_F,MAX((-(Cost_k*Ubar_c+Delay_D)*(1-EXP(-Rho_a*LN((Top_c-AC615)/(Top_c-Floor_F))/Delta_c))/Rho_a+EXP(-Rho_a*LN((Top_c-AC615)/(Top_c-Floor_F))/Delta_c)*(-Cost_k*Delta_c*Floor_F/Rho_a)),(-Delay_D/Rho_a)),(EXP(-Rho_a*LN(AC615/Floor_F)/Delta_c)*(-Cost_k*Delta_c*Floor_F/Rho_a)))</f>
        <v>-193.624513821962</v>
      </c>
      <c r="AH615" s="22" t="n">
        <f aca="false">ABS(AF615-AG615)</f>
        <v>0.0364244735209809</v>
      </c>
    </row>
    <row r="616" customFormat="false" ht="15" hidden="false" customHeight="false" outlineLevel="0" collapsed="false">
      <c r="AC616" s="17" t="n">
        <f aca="false">30+596*$AD$5</f>
        <v>67.25</v>
      </c>
      <c r="AD616" s="17" t="n">
        <f aca="false">-Delta_c*AC616</f>
        <v>-6.81049034777398</v>
      </c>
      <c r="AF616" s="11" t="n">
        <f aca="false">(-AD616/$AD$5*AF615)/(Rho_a-AD616/$AD$5)</f>
        <v>-193.491698200383</v>
      </c>
      <c r="AG616" s="11" t="n">
        <f aca="false">IF(AC616&lt;Floor_F,MAX((-(Cost_k*Ubar_c+Delay_D)*(1-EXP(-Rho_a*LN((Top_c-AC616)/(Top_c-Floor_F))/Delta_c))/Rho_a+EXP(-Rho_a*LN((Top_c-AC616)/(Top_c-Floor_F))/Delta_c)*(-Cost_k*Delta_c*Floor_F/Rho_a)),(-Delay_D/Rho_a)),(EXP(-Rho_a*LN(AC616/Floor_F)/Delta_c)*(-Cost_k*Delta_c*Floor_F/Rho_a)))</f>
        <v>-193.455152924096</v>
      </c>
      <c r="AH616" s="22" t="n">
        <f aca="false">ABS(AF616-AG616)</f>
        <v>0.0365452762873417</v>
      </c>
    </row>
    <row r="617" customFormat="false" ht="15" hidden="false" customHeight="false" outlineLevel="0" collapsed="false">
      <c r="AC617" s="17" t="n">
        <f aca="false">30+597*$AD$5</f>
        <v>67.3125</v>
      </c>
      <c r="AD617" s="17" t="n">
        <f aca="false">-Delta_c*AC617</f>
        <v>-6.81681979977006</v>
      </c>
      <c r="AF617" s="11" t="n">
        <f aca="false">(-AD617/$AD$5*AF616)/(Rho_a-AD617/$AD$5)</f>
        <v>-193.322762869919</v>
      </c>
      <c r="AG617" s="11" t="n">
        <f aca="false">IF(AC617&lt;Floor_F,MAX((-(Cost_k*Ubar_c+Delay_D)*(1-EXP(-Rho_a*LN((Top_c-AC617)/(Top_c-Floor_F))/Delta_c))/Rho_a+EXP(-Rho_a*LN((Top_c-AC617)/(Top_c-Floor_F))/Delta_c)*(-Cost_k*Delta_c*Floor_F/Rho_a)),(-Delay_D/Rho_a)),(EXP(-Rho_a*LN(AC617/Floor_F)/Delta_c)*(-Cost_k*Delta_c*Floor_F/Rho_a)))</f>
        <v>-193.28609728326</v>
      </c>
      <c r="AH617" s="22" t="n">
        <f aca="false">ABS(AF617-AG617)</f>
        <v>0.0366655866595806</v>
      </c>
    </row>
    <row r="618" customFormat="false" ht="15" hidden="false" customHeight="false" outlineLevel="0" collapsed="false">
      <c r="AC618" s="17" t="n">
        <f aca="false">30+598*$AD$5</f>
        <v>67.375</v>
      </c>
      <c r="AD618" s="17" t="n">
        <f aca="false">-Delta_c*AC618</f>
        <v>-6.82314925176613</v>
      </c>
      <c r="AF618" s="11" t="n">
        <f aca="false">(-AD618/$AD$5*AF617)/(Rho_a-AD618/$AD$5)</f>
        <v>-193.154131473318</v>
      </c>
      <c r="AG618" s="11" t="n">
        <f aca="false">IF(AC618&lt;Floor_F,MAX((-(Cost_k*Ubar_c+Delay_D)*(1-EXP(-Rho_a*LN((Top_c-AC618)/(Top_c-Floor_F))/Delta_c))/Rho_a+EXP(-Rho_a*LN((Top_c-AC618)/(Top_c-Floor_F))/Delta_c)*(-Cost_k*Delta_c*Floor_F/Rho_a)),(-Delay_D/Rho_a)),(EXP(-Rho_a*LN(AC618/Floor_F)/Delta_c)*(-Cost_k*Delta_c*Floor_F/Rho_a)))</f>
        <v>-193.117346066589</v>
      </c>
      <c r="AH618" s="22" t="n">
        <f aca="false">ABS(AF618-AG618)</f>
        <v>0.0367854067291944</v>
      </c>
    </row>
    <row r="619" customFormat="false" ht="15" hidden="false" customHeight="false" outlineLevel="0" collapsed="false">
      <c r="AC619" s="17" t="n">
        <f aca="false">30+599*$AD$5</f>
        <v>67.4375</v>
      </c>
      <c r="AD619" s="17" t="n">
        <f aca="false">-Delta_c*AC619</f>
        <v>-6.8294787037622</v>
      </c>
      <c r="AF619" s="11" t="n">
        <f aca="false">(-AD619/$AD$5*AF618)/(Rho_a-AD619/$AD$5)</f>
        <v>-192.98580318284</v>
      </c>
      <c r="AG619" s="11" t="n">
        <f aca="false">IF(AC619&lt;Floor_F,MAX((-(Cost_k*Ubar_c+Delay_D)*(1-EXP(-Rho_a*LN((Top_c-AC619)/(Top_c-Floor_F))/Delta_c))/Rho_a+EXP(-Rho_a*LN((Top_c-AC619)/(Top_c-Floor_F))/Delta_c)*(-Cost_k*Delta_c*Floor_F/Rho_a)),(-Delay_D/Rho_a)),(EXP(-Rho_a*LN(AC619/Floor_F)/Delta_c)*(-Cost_k*Delta_c*Floor_F/Rho_a)))</f>
        <v>-192.948898444262</v>
      </c>
      <c r="AH619" s="22" t="n">
        <f aca="false">ABS(AF619-AG619)</f>
        <v>0.0369047385772205</v>
      </c>
    </row>
    <row r="620" customFormat="false" ht="15" hidden="false" customHeight="false" outlineLevel="0" collapsed="false">
      <c r="AC620" s="17" t="n">
        <f aca="false">30+600*$AD$5</f>
        <v>67.5</v>
      </c>
      <c r="AD620" s="17" t="n">
        <f aca="false">-Delta_c*AC620</f>
        <v>-6.83580815575827</v>
      </c>
      <c r="AF620" s="11" t="n">
        <f aca="false">(-AD620/$AD$5*AF619)/(Rho_a-AD620/$AD$5)</f>
        <v>-192.81777717376</v>
      </c>
      <c r="AG620" s="11" t="n">
        <f aca="false">IF(AC620&lt;Floor_F,MAX((-(Cost_k*Ubar_c+Delay_D)*(1-EXP(-Rho_a*LN((Top_c-AC620)/(Top_c-Floor_F))/Delta_c))/Rho_a+EXP(-Rho_a*LN((Top_c-AC620)/(Top_c-Floor_F))/Delta_c)*(-Cost_k*Delta_c*Floor_F/Rho_a)),(-Delay_D/Rho_a)),(EXP(-Rho_a*LN(AC620/Floor_F)/Delta_c)*(-Cost_k*Delta_c*Floor_F/Rho_a)))</f>
        <v>-192.780753589486</v>
      </c>
      <c r="AH620" s="22" t="n">
        <f aca="false">ABS(AF620-AG620)</f>
        <v>0.0370235842744933</v>
      </c>
    </row>
    <row r="621" customFormat="false" ht="15" hidden="false" customHeight="false" outlineLevel="0" collapsed="false">
      <c r="AC621" s="17" t="n">
        <f aca="false">30+601*$AD$5</f>
        <v>67.5625</v>
      </c>
      <c r="AD621" s="17" t="n">
        <f aca="false">-Delta_c*AC621</f>
        <v>-6.84213760775435</v>
      </c>
      <c r="AF621" s="11" t="n">
        <f aca="false">(-AD621/$AD$5*AF620)/(Rho_a-AD621/$AD$5)</f>
        <v>-192.650052624362</v>
      </c>
      <c r="AG621" s="11" t="n">
        <f aca="false">IF(AC621&lt;Floor_F,MAX((-(Cost_k*Ubar_c+Delay_D)*(1-EXP(-Rho_a*LN((Top_c-AC621)/(Top_c-Floor_F))/Delta_c))/Rho_a+EXP(-Rho_a*LN((Top_c-AC621)/(Top_c-Floor_F))/Delta_c)*(-Cost_k*Delta_c*Floor_F/Rho_a)),(-Delay_D/Rho_a)),(EXP(-Rho_a*LN(AC621/Floor_F)/Delta_c)*(-Cost_k*Delta_c*Floor_F/Rho_a)))</f>
        <v>-192.61291067848</v>
      </c>
      <c r="AH621" s="22" t="n">
        <f aca="false">ABS(AF621-AG621)</f>
        <v>0.0371419458815296</v>
      </c>
    </row>
    <row r="622" customFormat="false" ht="15" hidden="false" customHeight="false" outlineLevel="0" collapsed="false">
      <c r="AC622" s="17" t="n">
        <f aca="false">30+602*$AD$5</f>
        <v>67.625</v>
      </c>
      <c r="AD622" s="17" t="n">
        <f aca="false">-Delta_c*AC622</f>
        <v>-6.84846705975042</v>
      </c>
      <c r="AF622" s="11" t="n">
        <f aca="false">(-AD622/$AD$5*AF621)/(Rho_a-AD622/$AD$5)</f>
        <v>-192.482628715916</v>
      </c>
      <c r="AG622" s="11" t="n">
        <f aca="false">IF(AC622&lt;Floor_F,MAX((-(Cost_k*Ubar_c+Delay_D)*(1-EXP(-Rho_a*LN((Top_c-AC622)/(Top_c-Floor_F))/Delta_c))/Rho_a+EXP(-Rho_a*LN((Top_c-AC622)/(Top_c-Floor_F))/Delta_c)*(-Cost_k*Delta_c*Floor_F/Rho_a)),(-Delay_D/Rho_a)),(EXP(-Rho_a*LN(AC622/Floor_F)/Delta_c)*(-Cost_k*Delta_c*Floor_F/Rho_a)))</f>
        <v>-192.445368890467</v>
      </c>
      <c r="AH622" s="22" t="n">
        <f aca="false">ABS(AF622-AG622)</f>
        <v>0.0372598254487002</v>
      </c>
    </row>
    <row r="623" customFormat="false" ht="15" hidden="false" customHeight="false" outlineLevel="0" collapsed="false">
      <c r="AC623" s="17" t="n">
        <f aca="false">30+603*$AD$5</f>
        <v>67.6875</v>
      </c>
      <c r="AD623" s="17" t="n">
        <f aca="false">-Delta_c*AC623</f>
        <v>-6.85479651174649</v>
      </c>
      <c r="AF623" s="11" t="n">
        <f aca="false">(-AD623/$AD$5*AF622)/(Rho_a-AD623/$AD$5)</f>
        <v>-192.315504632671</v>
      </c>
      <c r="AG623" s="11" t="n">
        <f aca="false">IF(AC623&lt;Floor_F,MAX((-(Cost_k*Ubar_c+Delay_D)*(1-EXP(-Rho_a*LN((Top_c-AC623)/(Top_c-Floor_F))/Delta_c))/Rho_a+EXP(-Rho_a*LN((Top_c-AC623)/(Top_c-Floor_F))/Delta_c)*(-Cost_k*Delta_c*Floor_F/Rho_a)),(-Delay_D/Rho_a)),(EXP(-Rho_a*LN(AC623/Floor_F)/Delta_c)*(-Cost_k*Delta_c*Floor_F/Rho_a)))</f>
        <v>-192.278127407654</v>
      </c>
      <c r="AH623" s="22" t="n">
        <f aca="false">ABS(AF623-AG623)</f>
        <v>0.0373772250162006</v>
      </c>
    </row>
    <row r="624" customFormat="false" ht="15" hidden="false" customHeight="false" outlineLevel="0" collapsed="false">
      <c r="AC624" s="17" t="n">
        <f aca="false">30+604*$AD$5</f>
        <v>67.75</v>
      </c>
      <c r="AD624" s="17" t="n">
        <f aca="false">-Delta_c*AC624</f>
        <v>-6.86112596374256</v>
      </c>
      <c r="AF624" s="11" t="n">
        <f aca="false">(-AD624/$AD$5*AF623)/(Rho_a-AD624/$AD$5)</f>
        <v>-192.148679561839</v>
      </c>
      <c r="AG624" s="11" t="n">
        <f aca="false">IF(AC624&lt;Floor_F,MAX((-(Cost_k*Ubar_c+Delay_D)*(1-EXP(-Rho_a*LN((Top_c-AC624)/(Top_c-Floor_F))/Delta_c))/Rho_a+EXP(-Rho_a*LN((Top_c-AC624)/(Top_c-Floor_F))/Delta_c)*(-Cost_k*Delta_c*Floor_F/Rho_a)),(-Delay_D/Rho_a)),(EXP(-Rho_a*LN(AC624/Floor_F)/Delta_c)*(-Cost_k*Delta_c*Floor_F/Rho_a)))</f>
        <v>-192.111185415225</v>
      </c>
      <c r="AH624" s="22" t="n">
        <f aca="false">ABS(AF624-AG624)</f>
        <v>0.0374941466142502</v>
      </c>
    </row>
    <row r="625" customFormat="false" ht="15" hidden="false" customHeight="false" outlineLevel="0" collapsed="false">
      <c r="AC625" s="17" t="n">
        <f aca="false">30+605*$AD$5</f>
        <v>67.8125</v>
      </c>
      <c r="AD625" s="17" t="n">
        <f aca="false">-Delta_c*AC625</f>
        <v>-6.86745541573863</v>
      </c>
      <c r="AF625" s="11" t="n">
        <f aca="false">(-AD625/$AD$5*AF624)/(Rho_a-AD625/$AD$5)</f>
        <v>-191.982152693582</v>
      </c>
      <c r="AG625" s="11" t="n">
        <f aca="false">IF(AC625&lt;Floor_F,MAX((-(Cost_k*Ubar_c+Delay_D)*(1-EXP(-Rho_a*LN((Top_c-AC625)/(Top_c-Floor_F))/Delta_c))/Rho_a+EXP(-Rho_a*LN((Top_c-AC625)/(Top_c-Floor_F))/Delta_c)*(-Cost_k*Delta_c*Floor_F/Rho_a)),(-Delay_D/Rho_a)),(EXP(-Rho_a*LN(AC625/Floor_F)/Delta_c)*(-Cost_k*Delta_c*Floor_F/Rho_a)))</f>
        <v>-191.944542101319</v>
      </c>
      <c r="AH625" s="22" t="n">
        <f aca="false">ABS(AF625-AG625)</f>
        <v>0.0376105922628653</v>
      </c>
    </row>
    <row r="626" customFormat="false" ht="15" hidden="false" customHeight="false" outlineLevel="0" collapsed="false">
      <c r="AC626" s="17" t="n">
        <f aca="false">30+606*$AD$5</f>
        <v>67.875</v>
      </c>
      <c r="AD626" s="17" t="n">
        <f aca="false">-Delta_c*AC626</f>
        <v>-6.87378486773471</v>
      </c>
      <c r="AF626" s="11" t="n">
        <f aca="false">(-AD626/$AD$5*AF625)/(Rho_a-AD626/$AD$5)</f>
        <v>-191.815923220998</v>
      </c>
      <c r="AG626" s="11" t="n">
        <f aca="false">IF(AC626&lt;Floor_F,MAX((-(Cost_k*Ubar_c+Delay_D)*(1-EXP(-Rho_a*LN((Top_c-AC626)/(Top_c-Floor_F))/Delta_c))/Rho_a+EXP(-Rho_a*LN((Top_c-AC626)/(Top_c-Floor_F))/Delta_c)*(-Cost_k*Delta_c*Floor_F/Rho_a)),(-Delay_D/Rho_a)),(EXP(-Rho_a*LN(AC626/Floor_F)/Delta_c)*(-Cost_k*Delta_c*Floor_F/Rho_a)))</f>
        <v>-191.778196657025</v>
      </c>
      <c r="AH626" s="22" t="n">
        <f aca="false">ABS(AF626-AG626)</f>
        <v>0.0377265639723987</v>
      </c>
    </row>
    <row r="627" customFormat="false" ht="15" hidden="false" customHeight="false" outlineLevel="0" collapsed="false">
      <c r="AC627" s="17" t="n">
        <f aca="false">30+607*$AD$5</f>
        <v>67.9375</v>
      </c>
      <c r="AD627" s="17" t="n">
        <f aca="false">-Delta_c*AC627</f>
        <v>-6.88011431973078</v>
      </c>
      <c r="AF627" s="11" t="n">
        <f aca="false">(-AD627/$AD$5*AF626)/(Rho_a-AD627/$AD$5)</f>
        <v>-191.649990340107</v>
      </c>
      <c r="AG627" s="11" t="n">
        <f aca="false">IF(AC627&lt;Floor_F,MAX((-(Cost_k*Ubar_c+Delay_D)*(1-EXP(-Rho_a*LN((Top_c-AC627)/(Top_c-Floor_F))/Delta_c))/Rho_a+EXP(-Rho_a*LN((Top_c-AC627)/(Top_c-Floor_F))/Delta_c)*(-Cost_k*Delta_c*Floor_F/Rho_a)),(-Delay_D/Rho_a)),(EXP(-Rho_a*LN(AC627/Floor_F)/Delta_c)*(-Cost_k*Delta_c*Floor_F/Rho_a)))</f>
        <v>-191.612148276365</v>
      </c>
      <c r="AH627" s="22" t="n">
        <f aca="false">ABS(AF627-AG627)</f>
        <v>0.0378420637429713</v>
      </c>
    </row>
    <row r="628" customFormat="false" ht="15" hidden="false" customHeight="false" outlineLevel="0" collapsed="false">
      <c r="AC628" s="17" t="n">
        <f aca="false">30+608*$AD$5</f>
        <v>68</v>
      </c>
      <c r="AD628" s="17" t="n">
        <f aca="false">-Delta_c*AC628</f>
        <v>-6.88644377172685</v>
      </c>
      <c r="AF628" s="11" t="n">
        <f aca="false">(-AD628/$AD$5*AF627)/(Rho_a-AD628/$AD$5)</f>
        <v>-191.484353249842</v>
      </c>
      <c r="AG628" s="11" t="n">
        <f aca="false">IF(AC628&lt;Floor_F,MAX((-(Cost_k*Ubar_c+Delay_D)*(1-EXP(-Rho_a*LN((Top_c-AC628)/(Top_c-Floor_F))/Delta_c))/Rho_a+EXP(-Rho_a*LN((Top_c-AC628)/(Top_c-Floor_F))/Delta_c)*(-Cost_k*Delta_c*Floor_F/Rho_a)),(-Delay_D/Rho_a)),(EXP(-Rho_a*LN(AC628/Floor_F)/Delta_c)*(-Cost_k*Delta_c*Floor_F/Rho_a)))</f>
        <v>-191.446396156277</v>
      </c>
      <c r="AH628" s="22" t="n">
        <f aca="false">ABS(AF628-AG628)</f>
        <v>0.0379570935651259</v>
      </c>
    </row>
    <row r="629" customFormat="false" ht="15" hidden="false" customHeight="false" outlineLevel="0" collapsed="false">
      <c r="AC629" s="17" t="n">
        <f aca="false">30+609*$AD$5</f>
        <v>68.0625</v>
      </c>
      <c r="AD629" s="17" t="n">
        <f aca="false">-Delta_c*AC629</f>
        <v>-6.89277322372293</v>
      </c>
      <c r="AF629" s="11" t="n">
        <f aca="false">(-AD629/$AD$5*AF628)/(Rho_a-AD629/$AD$5)</f>
        <v>-191.31901115203</v>
      </c>
      <c r="AG629" s="11" t="n">
        <f aca="false">IF(AC629&lt;Floor_F,MAX((-(Cost_k*Ubar_c+Delay_D)*(1-EXP(-Rho_a*LN((Top_c-AC629)/(Top_c-Floor_F))/Delta_c))/Rho_a+EXP(-Rho_a*LN((Top_c-AC629)/(Top_c-Floor_F))/Delta_c)*(-Cost_k*Delta_c*Floor_F/Rho_a)),(-Delay_D/Rho_a)),(EXP(-Rho_a*LN(AC629/Floor_F)/Delta_c)*(-Cost_k*Delta_c*Floor_F/Rho_a)))</f>
        <v>-191.280939496611</v>
      </c>
      <c r="AH629" s="22" t="n">
        <f aca="false">ABS(AF629-AG629)</f>
        <v>0.0380716554195431</v>
      </c>
    </row>
    <row r="630" customFormat="false" ht="15" hidden="false" customHeight="false" outlineLevel="0" collapsed="false">
      <c r="AC630" s="17" t="n">
        <f aca="false">30+610*$AD$5</f>
        <v>68.125</v>
      </c>
      <c r="AD630" s="17" t="n">
        <f aca="false">-Delta_c*AC630</f>
        <v>-6.899102675719</v>
      </c>
      <c r="AF630" s="11" t="n">
        <f aca="false">(-AD630/$AD$5*AF629)/(Rho_a-AD630/$AD$5)</f>
        <v>-191.153963251381</v>
      </c>
      <c r="AG630" s="11" t="n">
        <f aca="false">IF(AC630&lt;Floor_F,MAX((-(Cost_k*Ubar_c+Delay_D)*(1-EXP(-Rho_a*LN((Top_c-AC630)/(Top_c-Floor_F))/Delta_c))/Rho_a+EXP(-Rho_a*LN((Top_c-AC630)/(Top_c-Floor_F))/Delta_c)*(-Cost_k*Delta_c*Floor_F/Rho_a)),(-Delay_D/Rho_a)),(EXP(-Rho_a*LN(AC630/Floor_F)/Delta_c)*(-Cost_k*Delta_c*Floor_F/Rho_a)))</f>
        <v>-191.115777500104</v>
      </c>
      <c r="AH630" s="22" t="n">
        <f aca="false">ABS(AF630-AG630)</f>
        <v>0.0381857512770409</v>
      </c>
    </row>
    <row r="631" customFormat="false" ht="15" hidden="false" customHeight="false" outlineLevel="0" collapsed="false">
      <c r="AC631" s="17" t="n">
        <f aca="false">30+611*$AD$5</f>
        <v>68.1875</v>
      </c>
      <c r="AD631" s="17" t="n">
        <f aca="false">-Delta_c*AC631</f>
        <v>-6.90543212771507</v>
      </c>
      <c r="AF631" s="11" t="n">
        <f aca="false">(-AD631/$AD$5*AF630)/(Rho_a-AD631/$AD$5)</f>
        <v>-190.989208755478</v>
      </c>
      <c r="AG631" s="11" t="n">
        <f aca="false">IF(AC631&lt;Floor_F,MAX((-(Cost_k*Ubar_c+Delay_D)*(1-EXP(-Rho_a*LN((Top_c-AC631)/(Top_c-Floor_F))/Delta_c))/Rho_a+EXP(-Rho_a*LN((Top_c-AC631)/(Top_c-Floor_F))/Delta_c)*(-Cost_k*Delta_c*Floor_F/Rho_a)),(-Delay_D/Rho_a)),(EXP(-Rho_a*LN(AC631/Floor_F)/Delta_c)*(-Cost_k*Delta_c*Floor_F/Rho_a)))</f>
        <v>-190.950909372379</v>
      </c>
      <c r="AH631" s="22" t="n">
        <f aca="false">ABS(AF631-AG631)</f>
        <v>0.0382993830990017</v>
      </c>
    </row>
    <row r="632" customFormat="false" ht="15" hidden="false" customHeight="false" outlineLevel="0" collapsed="false">
      <c r="AC632" s="17" t="n">
        <f aca="false">30+612*$AD$5</f>
        <v>68.25</v>
      </c>
      <c r="AD632" s="17" t="n">
        <f aca="false">-Delta_c*AC632</f>
        <v>-6.91176157971114</v>
      </c>
      <c r="AF632" s="11" t="n">
        <f aca="false">(-AD632/$AD$5*AF631)/(Rho_a-AD632/$AD$5)</f>
        <v>-190.824746874758</v>
      </c>
      <c r="AG632" s="11" t="n">
        <f aca="false">IF(AC632&lt;Floor_F,MAX((-(Cost_k*Ubar_c+Delay_D)*(1-EXP(-Rho_a*LN((Top_c-AC632)/(Top_c-Floor_F))/Delta_c))/Rho_a+EXP(-Rho_a*LN((Top_c-AC632)/(Top_c-Floor_F))/Delta_c)*(-Cost_k*Delta_c*Floor_F/Rho_a)),(-Delay_D/Rho_a)),(EXP(-Rho_a*LN(AC632/Floor_F)/Delta_c)*(-Cost_k*Delta_c*Floor_F/Rho_a)))</f>
        <v>-190.786334321921</v>
      </c>
      <c r="AH632" s="22" t="n">
        <f aca="false">ABS(AF632-AG632)</f>
        <v>0.0384125528370021</v>
      </c>
    </row>
    <row r="633" customFormat="false" ht="15" hidden="false" customHeight="false" outlineLevel="0" collapsed="false">
      <c r="AC633" s="17" t="n">
        <f aca="false">30+613*$AD$5</f>
        <v>68.3125</v>
      </c>
      <c r="AD633" s="17" t="n">
        <f aca="false">-Delta_c*AC633</f>
        <v>-6.91809103170721</v>
      </c>
      <c r="AF633" s="11" t="n">
        <f aca="false">(-AD633/$AD$5*AF632)/(Rho_a-AD633/$AD$5)</f>
        <v>-190.660576822506</v>
      </c>
      <c r="AG633" s="11" t="n">
        <f aca="false">IF(AC633&lt;Floor_F,MAX((-(Cost_k*Ubar_c+Delay_D)*(1-EXP(-Rho_a*LN((Top_c-AC633)/(Top_c-Floor_F))/Delta_c))/Rho_a+EXP(-Rho_a*LN((Top_c-AC633)/(Top_c-Floor_F))/Delta_c)*(-Cost_k*Delta_c*Floor_F/Rho_a)),(-Delay_D/Rho_a)),(EXP(-Rho_a*LN(AC633/Floor_F)/Delta_c)*(-Cost_k*Delta_c*Floor_F/Rho_a)))</f>
        <v>-190.622051560073</v>
      </c>
      <c r="AH633" s="22" t="n">
        <f aca="false">ABS(AF633-AG633)</f>
        <v>0.038525262433069</v>
      </c>
    </row>
    <row r="634" customFormat="false" ht="15" hidden="false" customHeight="false" outlineLevel="0" collapsed="false">
      <c r="AC634" s="17" t="n">
        <f aca="false">30+614*$AD$5</f>
        <v>68.375</v>
      </c>
      <c r="AD634" s="17" t="n">
        <f aca="false">-Delta_c*AC634</f>
        <v>-6.92442048370329</v>
      </c>
      <c r="AF634" s="11" t="n">
        <f aca="false">(-AD634/$AD$5*AF633)/(Rho_a-AD634/$AD$5)</f>
        <v>-190.496697814837</v>
      </c>
      <c r="AG634" s="11" t="n">
        <f aca="false">IF(AC634&lt;Floor_F,MAX((-(Cost_k*Ubar_c+Delay_D)*(1-EXP(-Rho_a*LN((Top_c-AC634)/(Top_c-Floor_F))/Delta_c))/Rho_a+EXP(-Rho_a*LN((Top_c-AC634)/(Top_c-Floor_F))/Delta_c)*(-Cost_k*Delta_c*Floor_F/Rho_a)),(-Delay_D/Rho_a)),(EXP(-Rho_a*LN(AC634/Floor_F)/Delta_c)*(-Cost_k*Delta_c*Floor_F/Rho_a)))</f>
        <v>-190.458060301017</v>
      </c>
      <c r="AH634" s="22" t="n">
        <f aca="false">ABS(AF634-AG634)</f>
        <v>0.0386375138198218</v>
      </c>
    </row>
    <row r="635" customFormat="false" ht="15" hidden="false" customHeight="false" outlineLevel="0" collapsed="false">
      <c r="AC635" s="17" t="n">
        <f aca="false">30+615*$AD$5</f>
        <v>68.4375</v>
      </c>
      <c r="AD635" s="17" t="n">
        <f aca="false">-Delta_c*AC635</f>
        <v>-6.93074993569936</v>
      </c>
      <c r="AF635" s="11" t="n">
        <f aca="false">(-AD635/$AD$5*AF634)/(Rho_a-AD635/$AD$5)</f>
        <v>-190.333109070685</v>
      </c>
      <c r="AG635" s="11" t="n">
        <f aca="false">IF(AC635&lt;Floor_F,MAX((-(Cost_k*Ubar_c+Delay_D)*(1-EXP(-Rho_a*LN((Top_c-AC635)/(Top_c-Floor_F))/Delta_c))/Rho_a+EXP(-Rho_a*LN((Top_c-AC635)/(Top_c-Floor_F))/Delta_c)*(-Cost_k*Delta_c*Floor_F/Rho_a)),(-Delay_D/Rho_a)),(EXP(-Rho_a*LN(AC635/Floor_F)/Delta_c)*(-Cost_k*Delta_c*Floor_F/Rho_a)))</f>
        <v>-190.294359761764</v>
      </c>
      <c r="AH635" s="22" t="n">
        <f aca="false">ABS(AF635-AG635)</f>
        <v>0.0387493089203872</v>
      </c>
    </row>
    <row r="636" customFormat="false" ht="15" hidden="false" customHeight="false" outlineLevel="0" collapsed="false">
      <c r="AC636" s="17" t="n">
        <f aca="false">30+616*$AD$5</f>
        <v>68.5</v>
      </c>
      <c r="AD636" s="17" t="n">
        <f aca="false">-Delta_c*AC636</f>
        <v>-6.93707938769543</v>
      </c>
      <c r="AF636" s="11" t="n">
        <f aca="false">(-AD636/$AD$5*AF635)/(Rho_a-AD636/$AD$5)</f>
        <v>-190.169809811789</v>
      </c>
      <c r="AG636" s="11" t="n">
        <f aca="false">IF(AC636&lt;Floor_F,MAX((-(Cost_k*Ubar_c+Delay_D)*(1-EXP(-Rho_a*LN((Top_c-AC636)/(Top_c-Floor_F))/Delta_c))/Rho_a+EXP(-Rho_a*LN((Top_c-AC636)/(Top_c-Floor_F))/Delta_c)*(-Cost_k*Delta_c*Floor_F/Rho_a)),(-Delay_D/Rho_a)),(EXP(-Rho_a*LN(AC636/Floor_F)/Delta_c)*(-Cost_k*Delta_c*Floor_F/Rho_a)))</f>
        <v>-190.130949162141</v>
      </c>
      <c r="AH636" s="22" t="n">
        <f aca="false">ABS(AF636-AG636)</f>
        <v>0.0388606496484272</v>
      </c>
    </row>
    <row r="637" customFormat="false" ht="15" hidden="false" customHeight="false" outlineLevel="0" collapsed="false">
      <c r="AC637" s="17" t="n">
        <f aca="false">30+617*$AD$5</f>
        <v>68.5625</v>
      </c>
      <c r="AD637" s="17" t="n">
        <f aca="false">-Delta_c*AC637</f>
        <v>-6.94340883969151</v>
      </c>
      <c r="AF637" s="11" t="n">
        <f aca="false">(-AD637/$AD$5*AF636)/(Rho_a-AD637/$AD$5)</f>
        <v>-190.006799262686</v>
      </c>
      <c r="AG637" s="11" t="n">
        <f aca="false">IF(AC637&lt;Floor_F,MAX((-(Cost_k*Ubar_c+Delay_D)*(1-EXP(-Rho_a*LN((Top_c-AC637)/(Top_c-Floor_F))/Delta_c))/Rho_a+EXP(-Rho_a*LN((Top_c-AC637)/(Top_c-Floor_F))/Delta_c)*(-Cost_k*Delta_c*Floor_F/Rho_a)),(-Delay_D/Rho_a)),(EXP(-Rho_a*LN(AC637/Floor_F)/Delta_c)*(-Cost_k*Delta_c*Floor_F/Rho_a)))</f>
        <v>-189.967827724777</v>
      </c>
      <c r="AH637" s="22" t="n">
        <f aca="false">ABS(AF637-AG637)</f>
        <v>0.0389715379083384</v>
      </c>
    </row>
    <row r="638" customFormat="false" ht="15" hidden="false" customHeight="false" outlineLevel="0" collapsed="false">
      <c r="AC638" s="17" t="n">
        <f aca="false">30+618*$AD$5</f>
        <v>68.625</v>
      </c>
      <c r="AD638" s="17" t="n">
        <f aca="false">-Delta_c*AC638</f>
        <v>-6.94973829168758</v>
      </c>
      <c r="AF638" s="11" t="n">
        <f aca="false">(-AD638/$AD$5*AF637)/(Rho_a-AD638/$AD$5)</f>
        <v>-189.844076650688</v>
      </c>
      <c r="AG638" s="11" t="n">
        <f aca="false">IF(AC638&lt;Floor_F,MAX((-(Cost_k*Ubar_c+Delay_D)*(1-EXP(-Rho_a*LN((Top_c-AC638)/(Top_c-Floor_F))/Delta_c))/Rho_a+EXP(-Rho_a*LN((Top_c-AC638)/(Top_c-Floor_F))/Delta_c)*(-Cost_k*Delta_c*Floor_F/Rho_a)),(-Delay_D/Rho_a)),(EXP(-Rho_a*LN(AC638/Floor_F)/Delta_c)*(-Cost_k*Delta_c*Floor_F/Rho_a)))</f>
        <v>-189.804994675093</v>
      </c>
      <c r="AH638" s="22" t="n">
        <f aca="false">ABS(AF638-AG638)</f>
        <v>0.0390819755951384</v>
      </c>
    </row>
    <row r="639" customFormat="false" ht="15" hidden="false" customHeight="false" outlineLevel="0" collapsed="false">
      <c r="AC639" s="17" t="n">
        <f aca="false">30+619*$AD$5</f>
        <v>68.6875</v>
      </c>
      <c r="AD639" s="17" t="n">
        <f aca="false">-Delta_c*AC639</f>
        <v>-6.95606774368365</v>
      </c>
      <c r="AF639" s="11" t="n">
        <f aca="false">(-AD639/$AD$5*AF638)/(Rho_a-AD639/$AD$5)</f>
        <v>-189.68164120588</v>
      </c>
      <c r="AG639" s="11" t="n">
        <f aca="false">IF(AC639&lt;Floor_F,MAX((-(Cost_k*Ubar_c+Delay_D)*(1-EXP(-Rho_a*LN((Top_c-AC639)/(Top_c-Floor_F))/Delta_c))/Rho_a+EXP(-Rho_a*LN((Top_c-AC639)/(Top_c-Floor_F))/Delta_c)*(-Cost_k*Delta_c*Floor_F/Rho_a)),(-Delay_D/Rho_a)),(EXP(-Rho_a*LN(AC639/Floor_F)/Delta_c)*(-Cost_k*Delta_c*Floor_F/Rho_a)))</f>
        <v>-189.642449241286</v>
      </c>
      <c r="AH639" s="22" t="n">
        <f aca="false">ABS(AF639-AG639)</f>
        <v>0.0391919645946928</v>
      </c>
    </row>
    <row r="640" customFormat="false" ht="15" hidden="false" customHeight="false" outlineLevel="0" collapsed="false">
      <c r="AC640" s="17" t="n">
        <f aca="false">30+620*$AD$5</f>
        <v>68.75</v>
      </c>
      <c r="AD640" s="17" t="n">
        <f aca="false">-Delta_c*AC640</f>
        <v>-6.96239719567972</v>
      </c>
      <c r="AF640" s="11" t="n">
        <f aca="false">(-AD640/$AD$5*AF639)/(Rho_a-AD640/$AD$5)</f>
        <v>-189.519492161103</v>
      </c>
      <c r="AG640" s="11" t="n">
        <f aca="false">IF(AC640&lt;Floor_F,MAX((-(Cost_k*Ubar_c+Delay_D)*(1-EXP(-Rho_a*LN((Top_c-AC640)/(Top_c-Floor_F))/Delta_c))/Rho_a+EXP(-Rho_a*LN((Top_c-AC640)/(Top_c-Floor_F))/Delta_c)*(-Cost_k*Delta_c*Floor_F/Rho_a)),(-Delay_D/Rho_a)),(EXP(-Rho_a*LN(AC640/Floor_F)/Delta_c)*(-Cost_k*Delta_c*Floor_F/Rho_a)))</f>
        <v>-189.480190654319</v>
      </c>
      <c r="AH640" s="22" t="n">
        <f aca="false">ABS(AF640-AG640)</f>
        <v>0.0393015067837155</v>
      </c>
    </row>
    <row r="641" customFormat="false" ht="15" hidden="false" customHeight="false" outlineLevel="0" collapsed="false">
      <c r="AC641" s="17" t="n">
        <f aca="false">30+621*$AD$5</f>
        <v>68.8125</v>
      </c>
      <c r="AD641" s="17" t="n">
        <f aca="false">-Delta_c*AC641</f>
        <v>-6.96872664767579</v>
      </c>
      <c r="AF641" s="11" t="n">
        <f aca="false">(-AD641/$AD$5*AF640)/(Rho_a-AD641/$AD$5)</f>
        <v>-189.357628751938</v>
      </c>
      <c r="AG641" s="11" t="n">
        <f aca="false">IF(AC641&lt;Floor_F,MAX((-(Cost_k*Ubar_c+Delay_D)*(1-EXP(-Rho_a*LN((Top_c-AC641)/(Top_c-Floor_F))/Delta_c))/Rho_a+EXP(-Rho_a*LN((Top_c-AC641)/(Top_c-Floor_F))/Delta_c)*(-Cost_k*Delta_c*Floor_F/Rho_a)),(-Delay_D/Rho_a)),(EXP(-Rho_a*LN(AC641/Floor_F)/Delta_c)*(-Cost_k*Delta_c*Floor_F/Rho_a)))</f>
        <v>-189.318218147908</v>
      </c>
      <c r="AH641" s="22" t="n">
        <f aca="false">ABS(AF641-AG641)</f>
        <v>0.0394106040295981</v>
      </c>
    </row>
    <row r="642" customFormat="false" ht="15" hidden="false" customHeight="false" outlineLevel="0" collapsed="false">
      <c r="AC642" s="17" t="n">
        <f aca="false">30+622*$AD$5</f>
        <v>68.875</v>
      </c>
      <c r="AD642" s="17" t="n">
        <f aca="false">-Delta_c*AC642</f>
        <v>-6.97505609967187</v>
      </c>
      <c r="AF642" s="11" t="n">
        <f aca="false">(-AD642/$AD$5*AF641)/(Rho_a-AD642/$AD$5)</f>
        <v>-189.196050216702</v>
      </c>
      <c r="AG642" s="11" t="n">
        <f aca="false">IF(AC642&lt;Floor_F,MAX((-(Cost_k*Ubar_c+Delay_D)*(1-EXP(-Rho_a*LN((Top_c-AC642)/(Top_c-Floor_F))/Delta_c))/Rho_a+EXP(-Rho_a*LN((Top_c-AC642)/(Top_c-Floor_F))/Delta_c)*(-Cost_k*Delta_c*Floor_F/Rho_a)),(-Delay_D/Rho_a)),(EXP(-Rho_a*LN(AC642/Floor_F)/Delta_c)*(-Cost_k*Delta_c*Floor_F/Rho_a)))</f>
        <v>-189.156530958511</v>
      </c>
      <c r="AH642" s="22" t="n">
        <f aca="false">ABS(AF642-AG642)</f>
        <v>0.0395192581907793</v>
      </c>
    </row>
    <row r="643" customFormat="false" ht="15" hidden="false" customHeight="false" outlineLevel="0" collapsed="false">
      <c r="AC643" s="17" t="n">
        <f aca="false">30+623*$AD$5</f>
        <v>68.9375</v>
      </c>
      <c r="AD643" s="17" t="n">
        <f aca="false">-Delta_c*AC643</f>
        <v>-6.98138555166794</v>
      </c>
      <c r="AF643" s="11" t="n">
        <f aca="false">(-AD643/$AD$5*AF642)/(Rho_a-AD643/$AD$5)</f>
        <v>-189.034755796428</v>
      </c>
      <c r="AG643" s="11" t="n">
        <f aca="false">IF(AC643&lt;Floor_F,MAX((-(Cost_k*Ubar_c+Delay_D)*(1-EXP(-Rho_a*LN((Top_c-AC643)/(Top_c-Floor_F))/Delta_c))/Rho_a+EXP(-Rho_a*LN((Top_c-AC643)/(Top_c-Floor_F))/Delta_c)*(-Cost_k*Delta_c*Floor_F/Rho_a)),(-Delay_D/Rho_a)),(EXP(-Rho_a*LN(AC643/Floor_F)/Delta_c)*(-Cost_k*Delta_c*Floor_F/Rho_a)))</f>
        <v>-188.995128325311</v>
      </c>
      <c r="AH643" s="22" t="n">
        <f aca="false">ABS(AF643-AG643)</f>
        <v>0.0396274711166313</v>
      </c>
    </row>
    <row r="644" customFormat="false" ht="15" hidden="false" customHeight="false" outlineLevel="0" collapsed="false">
      <c r="AC644" s="17" t="n">
        <f aca="false">30+624*$AD$5</f>
        <v>69</v>
      </c>
      <c r="AD644" s="17" t="n">
        <f aca="false">-Delta_c*AC644</f>
        <v>-6.98771500366401</v>
      </c>
      <c r="AF644" s="11" t="n">
        <f aca="false">(-AD644/$AD$5*AF643)/(Rho_a-AD644/$AD$5)</f>
        <v>-188.873744734858</v>
      </c>
      <c r="AG644" s="11" t="n">
        <f aca="false">IF(AC644&lt;Floor_F,MAX((-(Cost_k*Ubar_c+Delay_D)*(1-EXP(-Rho_a*LN((Top_c-AC644)/(Top_c-Floor_F))/Delta_c))/Rho_a+EXP(-Rho_a*LN((Top_c-AC644)/(Top_c-Floor_F))/Delta_c)*(-Cost_k*Delta_c*Floor_F/Rho_a)),(-Delay_D/Rho_a)),(EXP(-Rho_a*LN(AC644/Floor_F)/Delta_c)*(-Cost_k*Delta_c*Floor_F/Rho_a)))</f>
        <v>-188.83400949021</v>
      </c>
      <c r="AH644" s="22" t="n">
        <f aca="false">ABS(AF644-AG644)</f>
        <v>0.039735244647602</v>
      </c>
    </row>
    <row r="645" customFormat="false" ht="15" hidden="false" customHeight="false" outlineLevel="0" collapsed="false">
      <c r="AC645" s="17" t="n">
        <f aca="false">30+625*$AD$5</f>
        <v>69.0625</v>
      </c>
      <c r="AD645" s="17" t="n">
        <f aca="false">-Delta_c*AC645</f>
        <v>-6.99404445566008</v>
      </c>
      <c r="AF645" s="11" t="n">
        <f aca="false">(-AD645/$AD$5*AF644)/(Rho_a-AD645/$AD$5)</f>
        <v>-188.713016278429</v>
      </c>
      <c r="AG645" s="11" t="n">
        <f aca="false">IF(AC645&lt;Floor_F,MAX((-(Cost_k*Ubar_c+Delay_D)*(1-EXP(-Rho_a*LN((Top_c-AC645)/(Top_c-Floor_F))/Delta_c))/Rho_a+EXP(-Rho_a*LN((Top_c-AC645)/(Top_c-Floor_F))/Delta_c)*(-Cost_k*Delta_c*Floor_F/Rho_a)),(-Delay_D/Rho_a)),(EXP(-Rho_a*LN(AC645/Floor_F)/Delta_c)*(-Cost_k*Delta_c*Floor_F/Rho_a)))</f>
        <v>-188.673173697813</v>
      </c>
      <c r="AH645" s="22" t="n">
        <f aca="false">ABS(AF645-AG645)</f>
        <v>0.039842580615101</v>
      </c>
    </row>
    <row r="646" customFormat="false" ht="15" hidden="false" customHeight="false" outlineLevel="0" collapsed="false">
      <c r="AC646" s="17" t="n">
        <f aca="false">30+626*$AD$5</f>
        <v>69.125</v>
      </c>
      <c r="AD646" s="17" t="n">
        <f aca="false">-Delta_c*AC646</f>
        <v>-7.00037390765616</v>
      </c>
      <c r="AF646" s="11" t="n">
        <f aca="false">(-AD646/$AD$5*AF645)/(Rho_a-AD646/$AD$5)</f>
        <v>-188.552569676259</v>
      </c>
      <c r="AG646" s="11" t="n">
        <f aca="false">IF(AC646&lt;Floor_F,MAX((-(Cost_k*Ubar_c+Delay_D)*(1-EXP(-Rho_a*LN((Top_c-AC646)/(Top_c-Floor_F))/Delta_c))/Rho_a+EXP(-Rho_a*LN((Top_c-AC646)/(Top_c-Floor_F))/Delta_c)*(-Cost_k*Delta_c*Floor_F/Rho_a)),(-Delay_D/Rho_a)),(EXP(-Rho_a*LN(AC646/Floor_F)/Delta_c)*(-Cost_k*Delta_c*Floor_F/Rho_a)))</f>
        <v>-188.512620195417</v>
      </c>
      <c r="AH646" s="22" t="n">
        <f aca="false">ABS(AF646-AG646)</f>
        <v>0.0399494808418126</v>
      </c>
    </row>
    <row r="647" customFormat="false" ht="15" hidden="false" customHeight="false" outlineLevel="0" collapsed="false">
      <c r="AC647" s="17" t="n">
        <f aca="false">30+627*$AD$5</f>
        <v>69.1875</v>
      </c>
      <c r="AD647" s="17" t="n">
        <f aca="false">-Delta_c*AC647</f>
        <v>-7.00670335965223</v>
      </c>
      <c r="AF647" s="11" t="n">
        <f aca="false">(-AD647/$AD$5*AF646)/(Rho_a-AD647/$AD$5)</f>
        <v>-188.392404180139</v>
      </c>
      <c r="AG647" s="11" t="n">
        <f aca="false">IF(AC647&lt;Floor_F,MAX((-(Cost_k*Ubar_c+Delay_D)*(1-EXP(-Rho_a*LN((Top_c-AC647)/(Top_c-Floor_F))/Delta_c))/Rho_a+EXP(-Rho_a*LN((Top_c-AC647)/(Top_c-Floor_F))/Delta_c)*(-Cost_k*Delta_c*Floor_F/Rho_a)),(-Delay_D/Rho_a)),(EXP(-Rho_a*LN(AC647/Floor_F)/Delta_c)*(-Cost_k*Delta_c*Floor_F/Rho_a)))</f>
        <v>-188.352348232998</v>
      </c>
      <c r="AH647" s="22" t="n">
        <f aca="false">ABS(AF647-AG647)</f>
        <v>0.0400559471413828</v>
      </c>
    </row>
    <row r="648" customFormat="false" ht="15" hidden="false" customHeight="false" outlineLevel="0" collapsed="false">
      <c r="AC648" s="17" t="n">
        <f aca="false">30+628*$AD$5</f>
        <v>69.25</v>
      </c>
      <c r="AD648" s="17" t="n">
        <f aca="false">-Delta_c*AC648</f>
        <v>-7.0130328116483</v>
      </c>
      <c r="AF648" s="11" t="n">
        <f aca="false">(-AD648/$AD$5*AF647)/(Rho_a-AD648/$AD$5)</f>
        <v>-188.232519044519</v>
      </c>
      <c r="AG648" s="11" t="n">
        <f aca="false">IF(AC648&lt;Floor_F,MAX((-(Cost_k*Ubar_c+Delay_D)*(1-EXP(-Rho_a*LN((Top_c-AC648)/(Top_c-Floor_F))/Delta_c))/Rho_a+EXP(-Rho_a*LN((Top_c-AC648)/(Top_c-Floor_F))/Delta_c)*(-Cost_k*Delta_c*Floor_F/Rho_a)),(-Delay_D/Rho_a)),(EXP(-Rho_a*LN(AC648/Floor_F)/Delta_c)*(-Cost_k*Delta_c*Floor_F/Rho_a)))</f>
        <v>-188.192357063201</v>
      </c>
      <c r="AH648" s="22" t="n">
        <f aca="false">ABS(AF648-AG648)</f>
        <v>0.0401619813188177</v>
      </c>
    </row>
    <row r="649" customFormat="false" ht="15" hidden="false" customHeight="false" outlineLevel="0" collapsed="false">
      <c r="AC649" s="17" t="n">
        <f aca="false">30+629*$AD$5</f>
        <v>69.3125</v>
      </c>
      <c r="AD649" s="17" t="n">
        <f aca="false">-Delta_c*AC649</f>
        <v>-7.01936226364437</v>
      </c>
      <c r="AF649" s="11" t="n">
        <f aca="false">(-AD649/$AD$5*AF648)/(Rho_a-AD649/$AD$5)</f>
        <v>-188.072913526496</v>
      </c>
      <c r="AG649" s="11" t="n">
        <f aca="false">IF(AC649&lt;Floor_F,MAX((-(Cost_k*Ubar_c+Delay_D)*(1-EXP(-Rho_a*LN((Top_c-AC649)/(Top_c-Floor_F))/Delta_c))/Rho_a+EXP(-Rho_a*LN((Top_c-AC649)/(Top_c-Floor_F))/Delta_c)*(-Cost_k*Delta_c*Floor_F/Rho_a)),(-Delay_D/Rho_a)),(EXP(-Rho_a*LN(AC649/Floor_F)/Delta_c)*(-Cost_k*Delta_c*Floor_F/Rho_a)))</f>
        <v>-188.032645941325</v>
      </c>
      <c r="AH649" s="22" t="n">
        <f aca="false">ABS(AF649-AG649)</f>
        <v>0.0402675851704259</v>
      </c>
    </row>
    <row r="650" customFormat="false" ht="15" hidden="false" customHeight="false" outlineLevel="0" collapsed="false">
      <c r="AC650" s="17" t="n">
        <f aca="false">30+630*$AD$5</f>
        <v>69.375</v>
      </c>
      <c r="AD650" s="17" t="n">
        <f aca="false">-Delta_c*AC650</f>
        <v>-7.02569171564045</v>
      </c>
      <c r="AF650" s="11" t="n">
        <f aca="false">(-AD650/$AD$5*AF649)/(Rho_a-AD650/$AD$5)</f>
        <v>-187.913586885801</v>
      </c>
      <c r="AG650" s="11" t="n">
        <f aca="false">IF(AC650&lt;Floor_F,MAX((-(Cost_k*Ubar_c+Delay_D)*(1-EXP(-Rho_a*LN((Top_c-AC650)/(Top_c-Floor_F))/Delta_c))/Rho_a+EXP(-Rho_a*LN((Top_c-AC650)/(Top_c-Floor_F))/Delta_c)*(-Cost_k*Delta_c*Floor_F/Rho_a)),(-Delay_D/Rho_a)),(EXP(-Rho_a*LN(AC650/Floor_F)/Delta_c)*(-Cost_k*Delta_c*Floor_F/Rho_a)))</f>
        <v>-187.873214125317</v>
      </c>
      <c r="AH650" s="22" t="n">
        <f aca="false">ABS(AF650-AG650)</f>
        <v>0.0403727604837059</v>
      </c>
    </row>
    <row r="651" customFormat="false" ht="15" hidden="false" customHeight="false" outlineLevel="0" collapsed="false">
      <c r="AC651" s="17" t="n">
        <f aca="false">30+631*$AD$5</f>
        <v>69.4375</v>
      </c>
      <c r="AD651" s="17" t="n">
        <f aca="false">-Delta_c*AC651</f>
        <v>-7.03202116763652</v>
      </c>
      <c r="AF651" s="11" t="n">
        <f aca="false">(-AD651/$AD$5*AF650)/(Rho_a-AD651/$AD$5)</f>
        <v>-187.754538384791</v>
      </c>
      <c r="AG651" s="11" t="n">
        <f aca="false">IF(AC651&lt;Floor_F,MAX((-(Cost_k*Ubar_c+Delay_D)*(1-EXP(-Rho_a*LN((Top_c-AC651)/(Top_c-Floor_F))/Delta_c))/Rho_a+EXP(-Rho_a*LN((Top_c-AC651)/(Top_c-Floor_F))/Delta_c)*(-Cost_k*Delta_c*Floor_F/Rho_a)),(-Delay_D/Rho_a)),(EXP(-Rho_a*LN(AC651/Floor_F)/Delta_c)*(-Cost_k*Delta_c*Floor_F/Rho_a)))</f>
        <v>-187.714060875754</v>
      </c>
      <c r="AH651" s="22" t="n">
        <f aca="false">ABS(AF651-AG651)</f>
        <v>0.0404775090375722</v>
      </c>
    </row>
    <row r="652" customFormat="false" ht="15" hidden="false" customHeight="false" outlineLevel="0" collapsed="false">
      <c r="AC652" s="17" t="n">
        <f aca="false">30+632*$AD$5</f>
        <v>69.5</v>
      </c>
      <c r="AD652" s="17" t="n">
        <f aca="false">-Delta_c*AC652</f>
        <v>-7.03835061963259</v>
      </c>
      <c r="AF652" s="11" t="n">
        <f aca="false">(-AD652/$AD$5*AF651)/(Rho_a-AD652/$AD$5)</f>
        <v>-187.595767288434</v>
      </c>
      <c r="AG652" s="11" t="n">
        <f aca="false">IF(AC652&lt;Floor_F,MAX((-(Cost_k*Ubar_c+Delay_D)*(1-EXP(-Rho_a*LN((Top_c-AC652)/(Top_c-Floor_F))/Delta_c))/Rho_a+EXP(-Rho_a*LN((Top_c-AC652)/(Top_c-Floor_F))/Delta_c)*(-Cost_k*Delta_c*Floor_F/Rho_a)),(-Delay_D/Rho_a)),(EXP(-Rho_a*LN(AC652/Floor_F)/Delta_c)*(-Cost_k*Delta_c*Floor_F/Rho_a)))</f>
        <v>-187.555185455832</v>
      </c>
      <c r="AH652" s="22" t="n">
        <f aca="false">ABS(AF652-AG652)</f>
        <v>0.0405818326024132</v>
      </c>
    </row>
    <row r="653" customFormat="false" ht="15" hidden="false" customHeight="false" outlineLevel="0" collapsed="false">
      <c r="AC653" s="17" t="n">
        <f aca="false">30+633*$AD$5</f>
        <v>69.5625</v>
      </c>
      <c r="AD653" s="17" t="n">
        <f aca="false">-Delta_c*AC653</f>
        <v>-7.04468007162866</v>
      </c>
      <c r="AF653" s="11" t="n">
        <f aca="false">(-AD653/$AD$5*AF652)/(Rho_a-AD653/$AD$5)</f>
        <v>-187.437272864299</v>
      </c>
      <c r="AG653" s="11" t="n">
        <f aca="false">IF(AC653&lt;Floor_F,MAX((-(Cost_k*Ubar_c+Delay_D)*(1-EXP(-Rho_a*LN((Top_c-AC653)/(Top_c-Floor_F))/Delta_c))/Rho_a+EXP(-Rho_a*LN((Top_c-AC653)/(Top_c-Floor_F))/Delta_c)*(-Cost_k*Delta_c*Floor_F/Rho_a)),(-Delay_D/Rho_a)),(EXP(-Rho_a*LN(AC653/Floor_F)/Delta_c)*(-Cost_k*Delta_c*Floor_F/Rho_a)))</f>
        <v>-187.396587131359</v>
      </c>
      <c r="AH653" s="22" t="n">
        <f aca="false">ABS(AF653-AG653)</f>
        <v>0.0406857329400623</v>
      </c>
    </row>
    <row r="654" customFormat="false" ht="15" hidden="false" customHeight="false" outlineLevel="0" collapsed="false">
      <c r="AC654" s="17" t="n">
        <f aca="false">30+634*$AD$5</f>
        <v>69.625</v>
      </c>
      <c r="AD654" s="17" t="n">
        <f aca="false">-Delta_c*AC654</f>
        <v>-7.05100952362474</v>
      </c>
      <c r="AF654" s="11" t="n">
        <f aca="false">(-AD654/$AD$5*AF653)/(Rho_a-AD654/$AD$5)</f>
        <v>-187.279054382543</v>
      </c>
      <c r="AG654" s="11" t="n">
        <f aca="false">IF(AC654&lt;Floor_F,MAX((-(Cost_k*Ubar_c+Delay_D)*(1-EXP(-Rho_a*LN((Top_c-AC654)/(Top_c-Floor_F))/Delta_c))/Rho_a+EXP(-Rho_a*LN((Top_c-AC654)/(Top_c-Floor_F))/Delta_c)*(-Cost_k*Delta_c*Floor_F/Rho_a)),(-Delay_D/Rho_a)),(EXP(-Rho_a*LN(AC654/Floor_F)/Delta_c)*(-Cost_k*Delta_c*Floor_F/Rho_a)))</f>
        <v>-187.238265170739</v>
      </c>
      <c r="AH654" s="22" t="n">
        <f aca="false">ABS(AF654-AG654)</f>
        <v>0.040789211803741</v>
      </c>
    </row>
    <row r="655" customFormat="false" ht="15" hidden="false" customHeight="false" outlineLevel="0" collapsed="false">
      <c r="AC655" s="17" t="n">
        <f aca="false">30+635*$AD$5</f>
        <v>69.6875</v>
      </c>
      <c r="AD655" s="17" t="n">
        <f aca="false">-Delta_c*AC655</f>
        <v>-7.05733897562081</v>
      </c>
      <c r="AF655" s="11" t="n">
        <f aca="false">(-AD655/$AD$5*AF654)/(Rho_a-AD655/$AD$5)</f>
        <v>-187.121111115902</v>
      </c>
      <c r="AG655" s="11" t="n">
        <f aca="false">IF(AC655&lt;Floor_F,MAX((-(Cost_k*Ubar_c+Delay_D)*(1-EXP(-Rho_a*LN((Top_c-AC655)/(Top_c-Floor_F))/Delta_c))/Rho_a+EXP(-Rho_a*LN((Top_c-AC655)/(Top_c-Floor_F))/Delta_c)*(-Cost_k*Delta_c*Floor_F/Rho_a)),(-Delay_D/Rho_a)),(EXP(-Rho_a*LN(AC655/Floor_F)/Delta_c)*(-Cost_k*Delta_c*Floor_F/Rho_a)))</f>
        <v>-187.080218844963</v>
      </c>
      <c r="AH655" s="22" t="n">
        <f aca="false">ABS(AF655-AG655)</f>
        <v>0.0408922709384285</v>
      </c>
    </row>
    <row r="656" customFormat="false" ht="15" hidden="false" customHeight="false" outlineLevel="0" collapsed="false">
      <c r="AC656" s="17" t="n">
        <f aca="false">30+636*$AD$5</f>
        <v>69.75</v>
      </c>
      <c r="AD656" s="17" t="n">
        <f aca="false">-Delta_c*AC656</f>
        <v>-7.06366842761688</v>
      </c>
      <c r="AF656" s="11" t="n">
        <f aca="false">(-AD656/$AD$5*AF655)/(Rho_a-AD656/$AD$5)</f>
        <v>-186.963442339677</v>
      </c>
      <c r="AG656" s="11" t="n">
        <f aca="false">IF(AC656&lt;Floor_F,MAX((-(Cost_k*Ubar_c+Delay_D)*(1-EXP(-Rho_a*LN((Top_c-AC656)/(Top_c-Floor_F))/Delta_c))/Rho_a+EXP(-Rho_a*LN((Top_c-AC656)/(Top_c-Floor_F))/Delta_c)*(-Cost_k*Delta_c*Floor_F/Rho_a)),(-Delay_D/Rho_a)),(EXP(-Rho_a*LN(AC656/Floor_F)/Delta_c)*(-Cost_k*Delta_c*Floor_F/Rho_a)))</f>
        <v>-186.922447427597</v>
      </c>
      <c r="AH656" s="22" t="n">
        <f aca="false">ABS(AF656-AG656)</f>
        <v>0.0409949120804924</v>
      </c>
    </row>
    <row r="657" customFormat="false" ht="15" hidden="false" customHeight="false" outlineLevel="0" collapsed="false">
      <c r="AC657" s="17" t="n">
        <f aca="false">30+637*$AD$5</f>
        <v>69.8125</v>
      </c>
      <c r="AD657" s="17" t="n">
        <f aca="false">-Delta_c*AC657</f>
        <v>-7.06999787961295</v>
      </c>
      <c r="AF657" s="11" t="n">
        <f aca="false">(-AD657/$AD$5*AF656)/(Rho_a-AD657/$AD$5)</f>
        <v>-186.806047331725</v>
      </c>
      <c r="AG657" s="11" t="n">
        <f aca="false">IF(AC657&lt;Floor_F,MAX((-(Cost_k*Ubar_c+Delay_D)*(1-EXP(-Rho_a*LN((Top_c-AC657)/(Top_c-Floor_F))/Delta_c))/Rho_a+EXP(-Rho_a*LN((Top_c-AC657)/(Top_c-Floor_F))/Delta_c)*(-Cost_k*Delta_c*Floor_F/Rho_a)),(-Delay_D/Rho_a)),(EXP(-Rho_a*LN(AC657/Floor_F)/Delta_c)*(-Cost_k*Delta_c*Floor_F/Rho_a)))</f>
        <v>-186.764950194767</v>
      </c>
      <c r="AH657" s="22" t="n">
        <f aca="false">ABS(AF657-AG657)</f>
        <v>0.0410971369582285</v>
      </c>
    </row>
    <row r="658" customFormat="false" ht="15" hidden="false" customHeight="false" outlineLevel="0" collapsed="false">
      <c r="AC658" s="17" t="n">
        <f aca="false">30+638*$AD$5</f>
        <v>69.875</v>
      </c>
      <c r="AD658" s="17" t="n">
        <f aca="false">-Delta_c*AC658</f>
        <v>-7.07632733160903</v>
      </c>
      <c r="AF658" s="11" t="n">
        <f aca="false">(-AD658/$AD$5*AF657)/(Rho_a-AD658/$AD$5)</f>
        <v>-186.648925372446</v>
      </c>
      <c r="AG658" s="11" t="n">
        <f aca="false">IF(AC658&lt;Floor_F,MAX((-(Cost_k*Ubar_c+Delay_D)*(1-EXP(-Rho_a*LN((Top_c-AC658)/(Top_c-Floor_F))/Delta_c))/Rho_a+EXP(-Rho_a*LN((Top_c-AC658)/(Top_c-Floor_F))/Delta_c)*(-Cost_k*Delta_c*Floor_F/Rho_a)),(-Delay_D/Rho_a)),(EXP(-Rho_a*LN(AC658/Floor_F)/Delta_c)*(-Cost_k*Delta_c*Floor_F/Rho_a)))</f>
        <v>-186.607726425154</v>
      </c>
      <c r="AH658" s="22" t="n">
        <f aca="false">ABS(AF658-AG658)</f>
        <v>0.041198947291349</v>
      </c>
    </row>
    <row r="659" customFormat="false" ht="15" hidden="false" customHeight="false" outlineLevel="0" collapsed="false">
      <c r="AC659" s="17" t="n">
        <f aca="false">30+639*$AD$5</f>
        <v>69.9375</v>
      </c>
      <c r="AD659" s="17" t="n">
        <f aca="false">-Delta_c*AC659</f>
        <v>-7.0826567836051</v>
      </c>
      <c r="AF659" s="11" t="n">
        <f aca="false">(-AD659/$AD$5*AF658)/(Rho_a-AD659/$AD$5)</f>
        <v>-186.492075744771</v>
      </c>
      <c r="AG659" s="11" t="n">
        <f aca="false">IF(AC659&lt;Floor_F,MAX((-(Cost_k*Ubar_c+Delay_D)*(1-EXP(-Rho_a*LN((Top_c-AC659)/(Top_c-Floor_F))/Delta_c))/Rho_a+EXP(-Rho_a*LN((Top_c-AC659)/(Top_c-Floor_F))/Delta_c)*(-Cost_k*Delta_c*Floor_F/Rho_a)),(-Delay_D/Rho_a)),(EXP(-Rho_a*LN(AC659/Floor_F)/Delta_c)*(-Cost_k*Delta_c*Floor_F/Rho_a)))</f>
        <v>-186.450775399979</v>
      </c>
      <c r="AH659" s="22" t="n">
        <f aca="false">ABS(AF659-AG659)</f>
        <v>0.0413003447914093</v>
      </c>
    </row>
    <row r="660" customFormat="false" ht="15" hidden="false" customHeight="false" outlineLevel="0" collapsed="false">
      <c r="AC660" s="17" t="n">
        <f aca="false">30+640*$AD$5</f>
        <v>70</v>
      </c>
      <c r="AD660" s="17" t="n">
        <f aca="false">-Delta_c*AC660</f>
        <v>-7.08898623560117</v>
      </c>
      <c r="AF660" s="11" t="n">
        <f aca="false">(-AD660/$AD$5*AF659)/(Rho_a-AD660/$AD$5)</f>
        <v>-186.335497734154</v>
      </c>
      <c r="AG660" s="11" t="n">
        <f aca="false">IF(AC660&lt;Floor_F,MAX((-(Cost_k*Ubar_c+Delay_D)*(1-EXP(-Rho_a*LN((Top_c-AC660)/(Top_c-Floor_F))/Delta_c))/Rho_a+EXP(-Rho_a*LN((Top_c-AC660)/(Top_c-Floor_F))/Delta_c)*(-Cost_k*Delta_c*Floor_F/Rho_a)),(-Delay_D/Rho_a)),(EXP(-Rho_a*LN(AC660/Floor_F)/Delta_c)*(-Cost_k*Delta_c*Floor_F/Rho_a)))</f>
        <v>-186.294096402992</v>
      </c>
      <c r="AH660" s="22" t="n">
        <f aca="false">ABS(AF660-AG660)</f>
        <v>0.0414013311619215</v>
      </c>
    </row>
    <row r="661" customFormat="false" ht="15" hidden="false" customHeight="false" outlineLevel="0" collapsed="false">
      <c r="AC661" s="17" t="n">
        <f aca="false">30+641*$AD$5</f>
        <v>70.0625</v>
      </c>
      <c r="AD661" s="17" t="n">
        <f aca="false">-Delta_c*AC661</f>
        <v>-7.09531568759724</v>
      </c>
      <c r="AF661" s="11" t="n">
        <f aca="false">(-AD661/$AD$5*AF660)/(Rho_a-AD661/$AD$5)</f>
        <v>-186.179190628558</v>
      </c>
      <c r="AG661" s="11" t="n">
        <f aca="false">IF(AC661&lt;Floor_F,MAX((-(Cost_k*Ubar_c+Delay_D)*(1-EXP(-Rho_a*LN((Top_c-AC661)/(Top_c-Floor_F))/Delta_c))/Rho_a+EXP(-Rho_a*LN((Top_c-AC661)/(Top_c-Floor_F))/Delta_c)*(-Cost_k*Delta_c*Floor_F/Rho_a)),(-Delay_D/Rho_a)),(EXP(-Rho_a*LN(AC661/Floor_F)/Delta_c)*(-Cost_k*Delta_c*Floor_F/Rho_a)))</f>
        <v>-186.13768872046</v>
      </c>
      <c r="AH661" s="22" t="n">
        <f aca="false">ABS(AF661-AG661)</f>
        <v>0.0415019080979562</v>
      </c>
    </row>
    <row r="662" customFormat="false" ht="15" hidden="false" customHeight="false" outlineLevel="0" collapsed="false">
      <c r="AC662" s="17" t="n">
        <f aca="false">30+642*$AD$5</f>
        <v>70.125</v>
      </c>
      <c r="AD662" s="17" t="n">
        <f aca="false">-Delta_c*AC662</f>
        <v>-7.10164513959332</v>
      </c>
      <c r="AF662" s="11" t="n">
        <f aca="false">(-AD662/$AD$5*AF661)/(Rho_a-AD662/$AD$5)</f>
        <v>-186.023153718447</v>
      </c>
      <c r="AG662" s="11" t="n">
        <f aca="false">IF(AC662&lt;Floor_F,MAX((-(Cost_k*Ubar_c+Delay_D)*(1-EXP(-Rho_a*LN((Top_c-AC662)/(Top_c-Floor_F))/Delta_c))/Rho_a+EXP(-Rho_a*LN((Top_c-AC662)/(Top_c-Floor_F))/Delta_c)*(-Cost_k*Delta_c*Floor_F/Rho_a)),(-Delay_D/Rho_a)),(EXP(-Rho_a*LN(AC662/Floor_F)/Delta_c)*(-Cost_k*Delta_c*Floor_F/Rho_a)))</f>
        <v>-185.98155164116</v>
      </c>
      <c r="AH662" s="22" t="n">
        <f aca="false">ABS(AF662-AG662)</f>
        <v>0.041602077286683</v>
      </c>
    </row>
    <row r="663" customFormat="false" ht="15" hidden="false" customHeight="false" outlineLevel="0" collapsed="false">
      <c r="AC663" s="17" t="n">
        <f aca="false">30+643*$AD$5</f>
        <v>70.1875</v>
      </c>
      <c r="AD663" s="17" t="n">
        <f aca="false">-Delta_c*AC663</f>
        <v>-7.10797459158939</v>
      </c>
      <c r="AF663" s="11" t="n">
        <f aca="false">(-AD663/$AD$5*AF662)/(Rho_a-AD663/$AD$5)</f>
        <v>-185.867386296769</v>
      </c>
      <c r="AG663" s="11" t="n">
        <f aca="false">IF(AC663&lt;Floor_F,MAX((-(Cost_k*Ubar_c+Delay_D)*(1-EXP(-Rho_a*LN((Top_c-AC663)/(Top_c-Floor_F))/Delta_c))/Rho_a+EXP(-Rho_a*LN((Top_c-AC663)/(Top_c-Floor_F))/Delta_c)*(-Cost_k*Delta_c*Floor_F/Rho_a)),(-Delay_D/Rho_a)),(EXP(-Rho_a*LN(AC663/Floor_F)/Delta_c)*(-Cost_k*Delta_c*Floor_F/Rho_a)))</f>
        <v>-185.825684456362</v>
      </c>
      <c r="AH663" s="22" t="n">
        <f aca="false">ABS(AF663-AG663)</f>
        <v>0.0417018404071143</v>
      </c>
    </row>
    <row r="664" customFormat="false" ht="15" hidden="false" customHeight="false" outlineLevel="0" collapsed="false">
      <c r="AC664" s="17" t="n">
        <f aca="false">30+644*$AD$5</f>
        <v>70.25</v>
      </c>
      <c r="AD664" s="17" t="n">
        <f aca="false">-Delta_c*AC664</f>
        <v>-7.11430404358546</v>
      </c>
      <c r="AF664" s="11" t="n">
        <f aca="false">(-AD664/$AD$5*AF663)/(Rho_a-AD664/$AD$5)</f>
        <v>-185.711887658953</v>
      </c>
      <c r="AG664" s="11" t="n">
        <f aca="false">IF(AC664&lt;Floor_F,MAX((-(Cost_k*Ubar_c+Delay_D)*(1-EXP(-Rho_a*LN((Top_c-AC664)/(Top_c-Floor_F))/Delta_c))/Rho_a+EXP(-Rho_a*LN((Top_c-AC664)/(Top_c-Floor_F))/Delta_c)*(-Cost_k*Delta_c*Floor_F/Rho_a)),(-Delay_D/Rho_a)),(EXP(-Rho_a*LN(AC664/Floor_F)/Delta_c)*(-Cost_k*Delta_c*Floor_F/Rho_a)))</f>
        <v>-185.670086459823</v>
      </c>
      <c r="AH664" s="22" t="n">
        <f aca="false">ABS(AF664-AG664)</f>
        <v>0.0418011991302478</v>
      </c>
    </row>
    <row r="665" customFormat="false" ht="15" hidden="false" customHeight="false" outlineLevel="0" collapsed="false">
      <c r="AC665" s="17" t="n">
        <f aca="false">30+645*$AD$5</f>
        <v>70.3125</v>
      </c>
      <c r="AD665" s="17" t="n">
        <f aca="false">-Delta_c*AC665</f>
        <v>-7.12063349558153</v>
      </c>
      <c r="AF665" s="11" t="n">
        <f aca="false">(-AD665/$AD$5*AF664)/(Rho_a-AD665/$AD$5)</f>
        <v>-185.556657102892</v>
      </c>
      <c r="AG665" s="11" t="n">
        <f aca="false">IF(AC665&lt;Floor_F,MAX((-(Cost_k*Ubar_c+Delay_D)*(1-EXP(-Rho_a*LN((Top_c-AC665)/(Top_c-Floor_F))/Delta_c))/Rho_a+EXP(-Rho_a*LN((Top_c-AC665)/(Top_c-Floor_F))/Delta_c)*(-Cost_k*Delta_c*Floor_F/Rho_a)),(-Delay_D/Rho_a)),(EXP(-Rho_a*LN(AC665/Floor_F)/Delta_c)*(-Cost_k*Delta_c*Floor_F/Rho_a)))</f>
        <v>-185.514756947773</v>
      </c>
      <c r="AH665" s="22" t="n">
        <f aca="false">ABS(AF665-AG665)</f>
        <v>0.0419001551190377</v>
      </c>
    </row>
    <row r="666" customFormat="false" ht="15" hidden="false" customHeight="false" outlineLevel="0" collapsed="false">
      <c r="AC666" s="17" t="n">
        <f aca="false">30+646*$AD$5</f>
        <v>70.375</v>
      </c>
      <c r="AD666" s="17" t="n">
        <f aca="false">-Delta_c*AC666</f>
        <v>-7.12696294757761</v>
      </c>
      <c r="AF666" s="11" t="n">
        <f aca="false">(-AD666/$AD$5*AF665)/(Rho_a-AD666/$AD$5)</f>
        <v>-185.401693928936</v>
      </c>
      <c r="AG666" s="11" t="n">
        <f aca="false">IF(AC666&lt;Floor_F,MAX((-(Cost_k*Ubar_c+Delay_D)*(1-EXP(-Rho_a*LN((Top_c-AC666)/(Top_c-Floor_F))/Delta_c))/Rho_a+EXP(-Rho_a*LN((Top_c-AC666)/(Top_c-Floor_F))/Delta_c)*(-Cost_k*Delta_c*Floor_F/Rho_a)),(-Delay_D/Rho_a)),(EXP(-Rho_a*LN(AC666/Floor_F)/Delta_c)*(-Cost_k*Delta_c*Floor_F/Rho_a)))</f>
        <v>-185.359695218908</v>
      </c>
      <c r="AH666" s="22" t="n">
        <f aca="false">ABS(AF666-AG666)</f>
        <v>0.0419987100287074</v>
      </c>
    </row>
    <row r="667" customFormat="false" ht="15" hidden="false" customHeight="false" outlineLevel="0" collapsed="false">
      <c r="AC667" s="17" t="n">
        <f aca="false">30+647*$AD$5</f>
        <v>70.4375</v>
      </c>
      <c r="AD667" s="17" t="n">
        <f aca="false">-Delta_c*AC667</f>
        <v>-7.13329239957368</v>
      </c>
      <c r="AF667" s="11" t="n">
        <f aca="false">(-AD667/$AD$5*AF666)/(Rho_a-AD667/$AD$5)</f>
        <v>-185.246997439878</v>
      </c>
      <c r="AG667" s="11" t="n">
        <f aca="false">IF(AC667&lt;Floor_F,MAX((-(Cost_k*Ubar_c+Delay_D)*(1-EXP(-Rho_a*LN((Top_c-AC667)/(Top_c-Floor_F))/Delta_c))/Rho_a+EXP(-Rho_a*LN((Top_c-AC667)/(Top_c-Floor_F))/Delta_c)*(-Cost_k*Delta_c*Floor_F/Rho_a)),(-Delay_D/Rho_a)),(EXP(-Rho_a*LN(AC667/Floor_F)/Delta_c)*(-Cost_k*Delta_c*Floor_F/Rho_a)))</f>
        <v>-185.204900574372</v>
      </c>
      <c r="AH667" s="22" t="n">
        <f aca="false">ABS(AF667-AG667)</f>
        <v>0.0420968655063234</v>
      </c>
    </row>
    <row r="668" customFormat="false" ht="15" hidden="false" customHeight="false" outlineLevel="0" collapsed="false">
      <c r="AC668" s="17" t="n">
        <f aca="false">30+648*$AD$5</f>
        <v>70.5</v>
      </c>
      <c r="AD668" s="17" t="n">
        <f aca="false">-Delta_c*AC668</f>
        <v>-7.13962185156975</v>
      </c>
      <c r="AF668" s="11" t="n">
        <f aca="false">(-AD668/$AD$5*AF667)/(Rho_a-AD668/$AD$5)</f>
        <v>-185.092566940946</v>
      </c>
      <c r="AG668" s="11" t="n">
        <f aca="false">IF(AC668&lt;Floor_F,MAX((-(Cost_k*Ubar_c+Delay_D)*(1-EXP(-Rho_a*LN((Top_c-AC668)/(Top_c-Floor_F))/Delta_c))/Rho_a+EXP(-Rho_a*LN((Top_c-AC668)/(Top_c-Floor_F))/Delta_c)*(-Cost_k*Delta_c*Floor_F/Rho_a)),(-Delay_D/Rho_a)),(EXP(-Rho_a*LN(AC668/Floor_F)/Delta_c)*(-Cost_k*Delta_c*Floor_F/Rho_a)))</f>
        <v>-185.050372317755</v>
      </c>
      <c r="AH668" s="22" t="n">
        <f aca="false">ABS(AF668-AG668)</f>
        <v>0.0421946231912216</v>
      </c>
    </row>
    <row r="669" customFormat="false" ht="15" hidden="false" customHeight="false" outlineLevel="0" collapsed="false">
      <c r="AC669" s="17" t="n">
        <f aca="false">30+649*$AD$5</f>
        <v>70.5625</v>
      </c>
      <c r="AD669" s="17" t="n">
        <f aca="false">-Delta_c*AC669</f>
        <v>-7.14595130356582</v>
      </c>
      <c r="AF669" s="11" t="n">
        <f aca="false">(-AD669/$AD$5*AF668)/(Rho_a-AD669/$AD$5)</f>
        <v>-184.938401739791</v>
      </c>
      <c r="AG669" s="11" t="n">
        <f aca="false">IF(AC669&lt;Floor_F,MAX((-(Cost_k*Ubar_c+Delay_D)*(1-EXP(-Rho_a*LN((Top_c-AC669)/(Top_c-Floor_F))/Delta_c))/Rho_a+EXP(-Rho_a*LN((Top_c-AC669)/(Top_c-Floor_F))/Delta_c)*(-Cost_k*Delta_c*Floor_F/Rho_a)),(-Delay_D/Rho_a)),(EXP(-Rho_a*LN(AC669/Floor_F)/Delta_c)*(-Cost_k*Delta_c*Floor_F/Rho_a)))</f>
        <v>-184.896109755076</v>
      </c>
      <c r="AH669" s="22" t="n">
        <f aca="false">ABS(AF669-AG669)</f>
        <v>0.0422919847149785</v>
      </c>
    </row>
    <row r="670" customFormat="false" ht="15" hidden="false" customHeight="false" outlineLevel="0" collapsed="false">
      <c r="AC670" s="17" t="n">
        <f aca="false">30+650*$AD$5</f>
        <v>70.625</v>
      </c>
      <c r="AD670" s="17" t="n">
        <f aca="false">-Delta_c*AC670</f>
        <v>-7.1522807555619</v>
      </c>
      <c r="AF670" s="11" t="n">
        <f aca="false">(-AD670/$AD$5*AF669)/(Rho_a-AD670/$AD$5)</f>
        <v>-184.784501146477</v>
      </c>
      <c r="AG670" s="11" t="n">
        <f aca="false">IF(AC670&lt;Floor_F,MAX((-(Cost_k*Ubar_c+Delay_D)*(1-EXP(-Rho_a*LN((Top_c-AC670)/(Top_c-Floor_F))/Delta_c))/Rho_a+EXP(-Rho_a*LN((Top_c-AC670)/(Top_c-Floor_F))/Delta_c)*(-Cost_k*Delta_c*Floor_F/Rho_a)),(-Delay_D/Rho_a)),(EXP(-Rho_a*LN(AC670/Floor_F)/Delta_c)*(-Cost_k*Delta_c*Floor_F/Rho_a)))</f>
        <v>-184.742112194775</v>
      </c>
      <c r="AH670" s="22" t="n">
        <f aca="false">ABS(AF670-AG670)</f>
        <v>0.0423889517013549</v>
      </c>
    </row>
    <row r="671" customFormat="false" ht="15" hidden="false" customHeight="false" outlineLevel="0" collapsed="false">
      <c r="AC671" s="17" t="n">
        <f aca="false">30+651*$AD$5</f>
        <v>70.6875</v>
      </c>
      <c r="AD671" s="17" t="n">
        <f aca="false">-Delta_c*AC671</f>
        <v>-7.15861020755797</v>
      </c>
      <c r="AF671" s="11" t="n">
        <f aca="false">(-AD671/$AD$5*AF670)/(Rho_a-AD671/$AD$5)</f>
        <v>-184.630864473469</v>
      </c>
      <c r="AG671" s="11" t="n">
        <f aca="false">IF(AC671&lt;Floor_F,MAX((-(Cost_k*Ubar_c+Delay_D)*(1-EXP(-Rho_a*LN((Top_c-AC671)/(Top_c-Floor_F))/Delta_c))/Rho_a+EXP(-Rho_a*LN((Top_c-AC671)/(Top_c-Floor_F))/Delta_c)*(-Cost_k*Delta_c*Floor_F/Rho_a)),(-Delay_D/Rho_a)),(EXP(-Rho_a*LN(AC671/Floor_F)/Delta_c)*(-Cost_k*Delta_c*Floor_F/Rho_a)))</f>
        <v>-184.588378947702</v>
      </c>
      <c r="AH671" s="22" t="n">
        <f aca="false">ABS(AF671-AG671)</f>
        <v>0.0424855257662955</v>
      </c>
    </row>
    <row r="672" customFormat="false" ht="15" hidden="false" customHeight="false" outlineLevel="0" collapsed="false">
      <c r="AC672" s="17" t="n">
        <f aca="false">30+652*$AD$5</f>
        <v>70.75</v>
      </c>
      <c r="AD672" s="17" t="n">
        <f aca="false">-Delta_c*AC672</f>
        <v>-7.16493965955404</v>
      </c>
      <c r="AF672" s="11" t="n">
        <f aca="false">(-AD672/$AD$5*AF671)/(Rho_a-AD672/$AD$5)</f>
        <v>-184.477491035625</v>
      </c>
      <c r="AG672" s="11" t="n">
        <f aca="false">IF(AC672&lt;Floor_F,MAX((-(Cost_k*Ubar_c+Delay_D)*(1-EXP(-Rho_a*LN((Top_c-AC672)/(Top_c-Floor_F))/Delta_c))/Rho_a+EXP(-Rho_a*LN((Top_c-AC672)/(Top_c-Floor_F))/Delta_c)*(-Cost_k*Delta_c*Floor_F/Rho_a)),(-Delay_D/Rho_a)),(EXP(-Rho_a*LN(AC672/Floor_F)/Delta_c)*(-Cost_k*Delta_c*Floor_F/Rho_a)))</f>
        <v>-184.434909327107</v>
      </c>
      <c r="AH672" s="22" t="n">
        <f aca="false">ABS(AF672-AG672)</f>
        <v>0.0425817085183269</v>
      </c>
    </row>
    <row r="673" customFormat="false" ht="15" hidden="false" customHeight="false" outlineLevel="0" collapsed="false">
      <c r="AC673" s="17" t="n">
        <f aca="false">30+653*$AD$5</f>
        <v>70.8125</v>
      </c>
      <c r="AD673" s="17" t="n">
        <f aca="false">-Delta_c*AC673</f>
        <v>-7.17126911155011</v>
      </c>
      <c r="AF673" s="11" t="n">
        <f aca="false">(-AD673/$AD$5*AF672)/(Rho_a-AD673/$AD$5)</f>
        <v>-184.324380150184</v>
      </c>
      <c r="AG673" s="11" t="n">
        <f aca="false">IF(AC673&lt;Floor_F,MAX((-(Cost_k*Ubar_c+Delay_D)*(1-EXP(-Rho_a*LN((Top_c-AC673)/(Top_c-Floor_F))/Delta_c))/Rho_a+EXP(-Rho_a*LN((Top_c-AC673)/(Top_c-Floor_F))/Delta_c)*(-Cost_k*Delta_c*Floor_F/Rho_a)),(-Delay_D/Rho_a)),(EXP(-Rho_a*LN(AC673/Floor_F)/Delta_c)*(-Cost_k*Delta_c*Floor_F/Rho_a)))</f>
        <v>-184.281702648626</v>
      </c>
      <c r="AH673" s="22" t="n">
        <f aca="false">ABS(AF673-AG673)</f>
        <v>0.0426775015580745</v>
      </c>
    </row>
    <row r="674" customFormat="false" ht="15" hidden="false" customHeight="false" outlineLevel="0" collapsed="false">
      <c r="AC674" s="17" t="n">
        <f aca="false">30+654*$AD$5</f>
        <v>70.875</v>
      </c>
      <c r="AD674" s="17" t="n">
        <f aca="false">-Delta_c*AC674</f>
        <v>-7.17759856354619</v>
      </c>
      <c r="AF674" s="11" t="n">
        <f aca="false">(-AD674/$AD$5*AF673)/(Rho_a-AD674/$AD$5)</f>
        <v>-184.171531136757</v>
      </c>
      <c r="AG674" s="11" t="n">
        <f aca="false">IF(AC674&lt;Floor_F,MAX((-(Cost_k*Ubar_c+Delay_D)*(1-EXP(-Rho_a*LN((Top_c-AC674)/(Top_c-Floor_F))/Delta_c))/Rho_a+EXP(-Rho_a*LN((Top_c-AC674)/(Top_c-Floor_F))/Delta_c)*(-Cost_k*Delta_c*Floor_F/Rho_a)),(-Delay_D/Rho_a)),(EXP(-Rho_a*LN(AC674/Floor_F)/Delta_c)*(-Cost_k*Delta_c*Floor_F/Rho_a)))</f>
        <v>-184.128758230278</v>
      </c>
      <c r="AH674" s="22" t="n">
        <f aca="false">ABS(AF674-AG674)</f>
        <v>0.0427729064786888</v>
      </c>
    </row>
    <row r="675" customFormat="false" ht="15" hidden="false" customHeight="false" outlineLevel="0" collapsed="false">
      <c r="AC675" s="17" t="n">
        <f aca="false">30+655*$AD$5</f>
        <v>70.9375</v>
      </c>
      <c r="AD675" s="17" t="n">
        <f aca="false">-Delta_c*AC675</f>
        <v>-7.18392801554226</v>
      </c>
      <c r="AF675" s="11" t="n">
        <f aca="false">(-AD675/$AD$5*AF674)/(Rho_a-AD675/$AD$5)</f>
        <v>-184.018943317313</v>
      </c>
      <c r="AG675" s="11" t="n">
        <f aca="false">IF(AC675&lt;Floor_F,MAX((-(Cost_k*Ubar_c+Delay_D)*(1-EXP(-Rho_a*LN((Top_c-AC675)/(Top_c-Floor_F))/Delta_c))/Rho_a+EXP(-Rho_a*LN((Top_c-AC675)/(Top_c-Floor_F))/Delta_c)*(-Cost_k*Delta_c*Floor_F/Rho_a)),(-Delay_D/Rho_a)),(EXP(-Rho_a*LN(AC675/Floor_F)/Delta_c)*(-Cost_k*Delta_c*Floor_F/Rho_a)))</f>
        <v>-183.976075392447</v>
      </c>
      <c r="AH675" s="22" t="n">
        <f aca="false">ABS(AF675-AG675)</f>
        <v>0.0428679248657886</v>
      </c>
    </row>
    <row r="676" customFormat="false" ht="15" hidden="false" customHeight="false" outlineLevel="0" collapsed="false">
      <c r="AC676" s="17" t="n">
        <f aca="false">30+656*$AD$5</f>
        <v>71</v>
      </c>
      <c r="AD676" s="17" t="n">
        <f aca="false">-Delta_c*AC676</f>
        <v>-7.19025746753833</v>
      </c>
      <c r="AF676" s="11" t="n">
        <f aca="false">(-AD676/$AD$5*AF675)/(Rho_a-AD676/$AD$5)</f>
        <v>-183.866616016173</v>
      </c>
      <c r="AG676" s="11" t="n">
        <f aca="false">IF(AC676&lt;Floor_F,MAX((-(Cost_k*Ubar_c+Delay_D)*(1-EXP(-Rho_a*LN((Top_c-AC676)/(Top_c-Floor_F))/Delta_c))/Rho_a+EXP(-Rho_a*LN((Top_c-AC676)/(Top_c-Floor_F))/Delta_c)*(-Cost_k*Delta_c*Floor_F/Rho_a)),(-Delay_D/Rho_a)),(EXP(-Rho_a*LN(AC676/Floor_F)/Delta_c)*(-Cost_k*Delta_c*Floor_F/Rho_a)))</f>
        <v>-183.823653457875</v>
      </c>
      <c r="AH676" s="22" t="n">
        <f aca="false">ABS(AF676-AG676)</f>
        <v>0.0429625582974609</v>
      </c>
    </row>
    <row r="677" customFormat="false" ht="15" hidden="false" customHeight="false" outlineLevel="0" collapsed="false">
      <c r="AC677" s="17" t="n">
        <f aca="false">30+657*$AD$5</f>
        <v>71.0625</v>
      </c>
      <c r="AD677" s="17" t="n">
        <f aca="false">-Delta_c*AC677</f>
        <v>-7.1965869195344</v>
      </c>
      <c r="AF677" s="11" t="n">
        <f aca="false">(-AD677/$AD$5*AF676)/(Rho_a-AD677/$AD$5)</f>
        <v>-183.714548559998</v>
      </c>
      <c r="AG677" s="11" t="n">
        <f aca="false">IF(AC677&lt;Floor_F,MAX((-(Cost_k*Ubar_c+Delay_D)*(1-EXP(-Rho_a*LN((Top_c-AC677)/(Top_c-Floor_F))/Delta_c))/Rho_a+EXP(-Rho_a*LN((Top_c-AC677)/(Top_c-Floor_F))/Delta_c)*(-Cost_k*Delta_c*Floor_F/Rho_a)),(-Delay_D/Rho_a)),(EXP(-Rho_a*LN(AC677/Floor_F)/Delta_c)*(-Cost_k*Delta_c*Floor_F/Rho_a)))</f>
        <v>-183.671491751653</v>
      </c>
      <c r="AH677" s="22" t="n">
        <f aca="false">ABS(AF677-AG677)</f>
        <v>0.0430568083442608</v>
      </c>
    </row>
    <row r="678" customFormat="false" ht="15" hidden="false" customHeight="false" outlineLevel="0" collapsed="false">
      <c r="AC678" s="17" t="n">
        <f aca="false">30+658*$AD$5</f>
        <v>71.125</v>
      </c>
      <c r="AD678" s="17" t="n">
        <f aca="false">-Delta_c*AC678</f>
        <v>-7.20291637153048</v>
      </c>
      <c r="AF678" s="11" t="n">
        <f aca="false">(-AD678/$AD$5*AF677)/(Rho_a-AD678/$AD$5)</f>
        <v>-183.562740277779</v>
      </c>
      <c r="AG678" s="11" t="n">
        <f aca="false">IF(AC678&lt;Floor_F,MAX((-(Cost_k*Ubar_c+Delay_D)*(1-EXP(-Rho_a*LN((Top_c-AC678)/(Top_c-Floor_F))/Delta_c))/Rho_a+EXP(-Rho_a*LN((Top_c-AC678)/(Top_c-Floor_F))/Delta_c)*(-Cost_k*Delta_c*Floor_F/Rho_a)),(-Delay_D/Rho_a)),(EXP(-Rho_a*LN(AC678/Floor_F)/Delta_c)*(-Cost_k*Delta_c*Floor_F/Rho_a)))</f>
        <v>-183.519589601209</v>
      </c>
      <c r="AH678" s="22" t="n">
        <f aca="false">ABS(AF678-AG678)</f>
        <v>0.0431506765694962</v>
      </c>
    </row>
    <row r="679" customFormat="false" ht="15" hidden="false" customHeight="false" outlineLevel="0" collapsed="false">
      <c r="AC679" s="17" t="n">
        <f aca="false">30+659*$AD$5</f>
        <v>71.1875</v>
      </c>
      <c r="AD679" s="17" t="n">
        <f aca="false">-Delta_c*AC679</f>
        <v>-7.20924582352655</v>
      </c>
      <c r="AF679" s="11" t="n">
        <f aca="false">(-AD679/$AD$5*AF678)/(Rho_a-AD679/$AD$5)</f>
        <v>-183.411190500827</v>
      </c>
      <c r="AG679" s="11" t="n">
        <f aca="false">IF(AC679&lt;Floor_F,MAX((-(Cost_k*Ubar_c+Delay_D)*(1-EXP(-Rho_a*LN((Top_c-AC679)/(Top_c-Floor_F))/Delta_c))/Rho_a+EXP(-Rho_a*LN((Top_c-AC679)/(Top_c-Floor_F))/Delta_c)*(-Cost_k*Delta_c*Floor_F/Rho_a)),(-Delay_D/Rho_a)),(EXP(-Rho_a*LN(AC679/Floor_F)/Delta_c)*(-Cost_k*Delta_c*Floor_F/Rho_a)))</f>
        <v>-183.367946336298</v>
      </c>
      <c r="AH679" s="22" t="n">
        <f aca="false">ABS(AF679-AG679)</f>
        <v>0.0432441645288577</v>
      </c>
    </row>
    <row r="680" customFormat="false" ht="15" hidden="false" customHeight="false" outlineLevel="0" collapsed="false">
      <c r="AC680" s="17" t="n">
        <f aca="false">30+660*$AD$5</f>
        <v>71.25</v>
      </c>
      <c r="AD680" s="17" t="n">
        <f aca="false">-Delta_c*AC680</f>
        <v>-7.21557527552262</v>
      </c>
      <c r="AF680" s="11" t="n">
        <f aca="false">(-AD680/$AD$5*AF679)/(Rho_a-AD680/$AD$5)</f>
        <v>-183.259898562762</v>
      </c>
      <c r="AG680" s="11" t="n">
        <f aca="false">IF(AC680&lt;Floor_F,MAX((-(Cost_k*Ubar_c+Delay_D)*(1-EXP(-Rho_a*LN((Top_c-AC680)/(Top_c-Floor_F))/Delta_c))/Rho_a+EXP(-Rho_a*LN((Top_c-AC680)/(Top_c-Floor_F))/Delta_c)*(-Cost_k*Delta_c*Floor_F/Rho_a)),(-Delay_D/Rho_a)),(EXP(-Rho_a*LN(AC680/Floor_F)/Delta_c)*(-Cost_k*Delta_c*Floor_F/Rho_a)))</f>
        <v>-183.216561288992</v>
      </c>
      <c r="AH680" s="22" t="n">
        <f aca="false">ABS(AF680-AG680)</f>
        <v>0.0433372737707884</v>
      </c>
    </row>
    <row r="681" customFormat="false" ht="15" hidden="false" customHeight="false" outlineLevel="0" collapsed="false">
      <c r="AC681" s="17" t="n">
        <f aca="false">30+661*$AD$5</f>
        <v>71.3125</v>
      </c>
      <c r="AD681" s="17" t="n">
        <f aca="false">-Delta_c*AC681</f>
        <v>-7.22190472751869</v>
      </c>
      <c r="AF681" s="11" t="n">
        <f aca="false">(-AD681/$AD$5*AF680)/(Rho_a-AD681/$AD$5)</f>
        <v>-183.108863799506</v>
      </c>
      <c r="AG681" s="11" t="n">
        <f aca="false">IF(AC681&lt;Floor_F,MAX((-(Cost_k*Ubar_c+Delay_D)*(1-EXP(-Rho_a*LN((Top_c-AC681)/(Top_c-Floor_F))/Delta_c))/Rho_a+EXP(-Rho_a*LN((Top_c-AC681)/(Top_c-Floor_F))/Delta_c)*(-Cost_k*Delta_c*Floor_F/Rho_a)),(-Delay_D/Rho_a)),(EXP(-Rho_a*LN(AC681/Floor_F)/Delta_c)*(-Cost_k*Delta_c*Floor_F/Rho_a)))</f>
        <v>-183.065433793669</v>
      </c>
      <c r="AH681" s="22" t="n">
        <f aca="false">ABS(AF681-AG681)</f>
        <v>0.0434300058365125</v>
      </c>
    </row>
    <row r="682" customFormat="false" ht="15" hidden="false" customHeight="false" outlineLevel="0" collapsed="false">
      <c r="AC682" s="17" t="n">
        <f aca="false">30+662*$AD$5</f>
        <v>71.375</v>
      </c>
      <c r="AD682" s="17" t="n">
        <f aca="false">-Delta_c*AC682</f>
        <v>-7.22823417951477</v>
      </c>
      <c r="AF682" s="11" t="n">
        <f aca="false">(-AD682/$AD$5*AF681)/(Rho_a-AD682/$AD$5)</f>
        <v>-182.958085549268</v>
      </c>
      <c r="AG682" s="11" t="n">
        <f aca="false">IF(AC682&lt;Floor_F,MAX((-(Cost_k*Ubar_c+Delay_D)*(1-EXP(-Rho_a*LN((Top_c-AC682)/(Top_c-Floor_F))/Delta_c))/Rho_a+EXP(-Rho_a*LN((Top_c-AC682)/(Top_c-Floor_F))/Delta_c)*(-Cost_k*Delta_c*Floor_F/Rho_a)),(-Delay_D/Rho_a)),(EXP(-Rho_a*LN(AC682/Floor_F)/Delta_c)*(-Cost_k*Delta_c*Floor_F/Rho_a)))</f>
        <v>-182.914563187008</v>
      </c>
      <c r="AH682" s="22" t="n">
        <f aca="false">ABS(AF682-AG682)</f>
        <v>0.0435223622598642</v>
      </c>
    </row>
    <row r="683" customFormat="false" ht="15" hidden="false" customHeight="false" outlineLevel="0" collapsed="false">
      <c r="AC683" s="17" t="n">
        <f aca="false">30+663*$AD$5</f>
        <v>71.4375</v>
      </c>
      <c r="AD683" s="17" t="n">
        <f aca="false">-Delta_c*AC683</f>
        <v>-7.23456363151084</v>
      </c>
      <c r="AF683" s="11" t="n">
        <f aca="false">(-AD683/$AD$5*AF682)/(Rho_a-AD683/$AD$5)</f>
        <v>-182.807563152539</v>
      </c>
      <c r="AG683" s="11" t="n">
        <f aca="false">IF(AC683&lt;Floor_F,MAX((-(Cost_k*Ubar_c+Delay_D)*(1-EXP(-Rho_a*LN((Top_c-AC683)/(Top_c-Floor_F))/Delta_c))/Rho_a+EXP(-Rho_a*LN((Top_c-AC683)/(Top_c-Floor_F))/Delta_c)*(-Cost_k*Delta_c*Floor_F/Rho_a)),(-Delay_D/Rho_a)),(EXP(-Rho_a*LN(AC683/Floor_F)/Delta_c)*(-Cost_k*Delta_c*Floor_F/Rho_a)))</f>
        <v>-182.763948807971</v>
      </c>
      <c r="AH683" s="22" t="n">
        <f aca="false">ABS(AF683-AG683)</f>
        <v>0.0436143445675441</v>
      </c>
    </row>
    <row r="684" customFormat="false" ht="15" hidden="false" customHeight="false" outlineLevel="0" collapsed="false">
      <c r="AC684" s="17" t="n">
        <f aca="false">30+664*$AD$5</f>
        <v>71.5</v>
      </c>
      <c r="AD684" s="17" t="n">
        <f aca="false">-Delta_c*AC684</f>
        <v>-7.24089308350691</v>
      </c>
      <c r="AF684" s="11" t="n">
        <f aca="false">(-AD684/$AD$5*AF683)/(Rho_a-AD684/$AD$5)</f>
        <v>-182.657295952079</v>
      </c>
      <c r="AG684" s="11" t="n">
        <f aca="false">IF(AC684&lt;Floor_F,MAX((-(Cost_k*Ubar_c+Delay_D)*(1-EXP(-Rho_a*LN((Top_c-AC684)/(Top_c-Floor_F))/Delta_c))/Rho_a+EXP(-Rho_a*LN((Top_c-AC684)/(Top_c-Floor_F))/Delta_c)*(-Cost_k*Delta_c*Floor_F/Rho_a)),(-Delay_D/Rho_a)),(EXP(-Rho_a*LN(AC684/Floor_F)/Delta_c)*(-Cost_k*Delta_c*Floor_F/Rho_a)))</f>
        <v>-182.6135899978</v>
      </c>
      <c r="AH684" s="22" t="n">
        <f aca="false">ABS(AF684-AG684)</f>
        <v>0.0437059542790053</v>
      </c>
    </row>
    <row r="685" customFormat="false" ht="15" hidden="false" customHeight="false" outlineLevel="0" collapsed="false">
      <c r="AC685" s="17" t="n">
        <f aca="false">30+665*$AD$5</f>
        <v>71.5625</v>
      </c>
      <c r="AD685" s="17" t="n">
        <f aca="false">-Delta_c*AC685</f>
        <v>-7.24722253550298</v>
      </c>
      <c r="AF685" s="11" t="n">
        <f aca="false">(-AD685/$AD$5*AF684)/(Rho_a-AD685/$AD$5)</f>
        <v>-182.50728329291</v>
      </c>
      <c r="AG685" s="11" t="n">
        <f aca="false">IF(AC685&lt;Floor_F,MAX((-(Cost_k*Ubar_c+Delay_D)*(1-EXP(-Rho_a*LN((Top_c-AC685)/(Top_c-Floor_F))/Delta_c))/Rho_a+EXP(-Rho_a*LN((Top_c-AC685)/(Top_c-Floor_F))/Delta_c)*(-Cost_k*Delta_c*Floor_F/Rho_a)),(-Delay_D/Rho_a)),(EXP(-Rho_a*LN(AC685/Floor_F)/Delta_c)*(-Cost_k*Delta_c*Floor_F/Rho_a)))</f>
        <v>-182.463486100004</v>
      </c>
      <c r="AH685" s="22" t="n">
        <f aca="false">ABS(AF685-AG685)</f>
        <v>0.0437971929065384</v>
      </c>
    </row>
    <row r="686" customFormat="false" ht="15" hidden="false" customHeight="false" outlineLevel="0" collapsed="false">
      <c r="AC686" s="17" t="n">
        <f aca="false">30+666*$AD$5</f>
        <v>71.625</v>
      </c>
      <c r="AD686" s="17" t="n">
        <f aca="false">-Delta_c*AC686</f>
        <v>-7.25355198749906</v>
      </c>
      <c r="AF686" s="11" t="n">
        <f aca="false">(-AD686/$AD$5*AF685)/(Rho_a-AD686/$AD$5)</f>
        <v>-182.357524522304</v>
      </c>
      <c r="AG686" s="11" t="n">
        <f aca="false">IF(AC686&lt;Floor_F,MAX((-(Cost_k*Ubar_c+Delay_D)*(1-EXP(-Rho_a*LN((Top_c-AC686)/(Top_c-Floor_F))/Delta_c))/Rho_a+EXP(-Rho_a*LN((Top_c-AC686)/(Top_c-Floor_F))/Delta_c)*(-Cost_k*Delta_c*Floor_F/Rho_a)),(-Delay_D/Rho_a)),(EXP(-Rho_a*LN(AC686/Floor_F)/Delta_c)*(-Cost_k*Delta_c*Floor_F/Rho_a)))</f>
        <v>-182.313636460348</v>
      </c>
      <c r="AH686" s="22" t="n">
        <f aca="false">ABS(AF686-AG686)</f>
        <v>0.0438880619553856</v>
      </c>
    </row>
    <row r="687" customFormat="false" ht="15" hidden="false" customHeight="false" outlineLevel="0" collapsed="false">
      <c r="AC687" s="17" t="n">
        <f aca="false">30+667*$AD$5</f>
        <v>71.6875</v>
      </c>
      <c r="AD687" s="17" t="n">
        <f aca="false">-Delta_c*AC687</f>
        <v>-7.25988143949513</v>
      </c>
      <c r="AF687" s="11" t="n">
        <f aca="false">(-AD687/$AD$5*AF686)/(Rho_a-AD687/$AD$5)</f>
        <v>-182.208018989771</v>
      </c>
      <c r="AG687" s="11" t="n">
        <f aca="false">IF(AC687&lt;Floor_F,MAX((-(Cost_k*Ubar_c+Delay_D)*(1-EXP(-Rho_a*LN((Top_c-AC687)/(Top_c-Floor_F))/Delta_c))/Rho_a+EXP(-Rho_a*LN((Top_c-AC687)/(Top_c-Floor_F))/Delta_c)*(-Cost_k*Delta_c*Floor_F/Rho_a)),(-Delay_D/Rho_a)),(EXP(-Rho_a*LN(AC687/Floor_F)/Delta_c)*(-Cost_k*Delta_c*Floor_F/Rho_a)))</f>
        <v>-182.164040426848</v>
      </c>
      <c r="AH687" s="22" t="n">
        <f aca="false">ABS(AF687-AG687)</f>
        <v>0.0439785629237406</v>
      </c>
    </row>
    <row r="688" customFormat="false" ht="15" hidden="false" customHeight="false" outlineLevel="0" collapsed="false">
      <c r="AC688" s="17" t="n">
        <f aca="false">30+668*$AD$5</f>
        <v>71.75</v>
      </c>
      <c r="AD688" s="17" t="n">
        <f aca="false">-Delta_c*AC688</f>
        <v>-7.2662108914912</v>
      </c>
      <c r="AF688" s="11" t="n">
        <f aca="false">(-AD688/$AD$5*AF687)/(Rho_a-AD688/$AD$5)</f>
        <v>-182.058766047058</v>
      </c>
      <c r="AG688" s="11" t="n">
        <f aca="false">IF(AC688&lt;Floor_F,MAX((-(Cost_k*Ubar_c+Delay_D)*(1-EXP(-Rho_a*LN((Top_c-AC688)/(Top_c-Floor_F))/Delta_c))/Rho_a+EXP(-Rho_a*LN((Top_c-AC688)/(Top_c-Floor_F))/Delta_c)*(-Cost_k*Delta_c*Floor_F/Rho_a)),(-Delay_D/Rho_a)),(EXP(-Rho_a*LN(AC688/Floor_F)/Delta_c)*(-Cost_k*Delta_c*Floor_F/Rho_a)))</f>
        <v>-182.014697349755</v>
      </c>
      <c r="AH688" s="22" t="n">
        <f aca="false">ABS(AF688-AG688)</f>
        <v>0.0440686973026914</v>
      </c>
    </row>
    <row r="689" customFormat="false" ht="15" hidden="false" customHeight="false" outlineLevel="0" collapsed="false">
      <c r="AC689" s="17" t="n">
        <f aca="false">30+669*$AD$5</f>
        <v>71.8125</v>
      </c>
      <c r="AD689" s="17" t="n">
        <f aca="false">-Delta_c*AC689</f>
        <v>-7.27254034348727</v>
      </c>
      <c r="AF689" s="11" t="n">
        <f aca="false">(-AD689/$AD$5*AF688)/(Rho_a-AD689/$AD$5)</f>
        <v>-181.909765048129</v>
      </c>
      <c r="AG689" s="11" t="n">
        <f aca="false">IF(AC689&lt;Floor_F,MAX((-(Cost_k*Ubar_c+Delay_D)*(1-EXP(-Rho_a*LN((Top_c-AC689)/(Top_c-Floor_F))/Delta_c))/Rho_a+EXP(-Rho_a*LN((Top_c-AC689)/(Top_c-Floor_F))/Delta_c)*(-Cost_k*Delta_c*Floor_F/Rho_a)),(-Delay_D/Rho_a)),(EXP(-Rho_a*LN(AC689/Floor_F)/Delta_c)*(-Cost_k*Delta_c*Floor_F/Rho_a)))</f>
        <v>-181.865606581553</v>
      </c>
      <c r="AH689" s="22" t="n">
        <f aca="false">ABS(AF689-AG689)</f>
        <v>0.0441584665763628</v>
      </c>
    </row>
    <row r="690" customFormat="false" ht="15" hidden="false" customHeight="false" outlineLevel="0" collapsed="false">
      <c r="AC690" s="17" t="n">
        <f aca="false">30+670*$AD$5</f>
        <v>71.875</v>
      </c>
      <c r="AD690" s="17" t="n">
        <f aca="false">-Delta_c*AC690</f>
        <v>-7.27886979548335</v>
      </c>
      <c r="AF690" s="11" t="n">
        <f aca="false">(-AD690/$AD$5*AF689)/(Rho_a-AD690/$AD$5)</f>
        <v>-181.761015349162</v>
      </c>
      <c r="AG690" s="11" t="n">
        <f aca="false">IF(AC690&lt;Floor_F,MAX((-(Cost_k*Ubar_c+Delay_D)*(1-EXP(-Rho_a*LN((Top_c-AC690)/(Top_c-Floor_F))/Delta_c))/Rho_a+EXP(-Rho_a*LN((Top_c-AC690)/(Top_c-Floor_F))/Delta_c)*(-Cost_k*Delta_c*Floor_F/Rho_a)),(-Delay_D/Rho_a)),(EXP(-Rho_a*LN(AC690/Floor_F)/Delta_c)*(-Cost_k*Delta_c*Floor_F/Rho_a)))</f>
        <v>-181.71676747694</v>
      </c>
      <c r="AH690" s="22" t="n">
        <f aca="false">ABS(AF690-AG690)</f>
        <v>0.0442478722219732</v>
      </c>
    </row>
    <row r="691" customFormat="false" ht="15" hidden="false" customHeight="false" outlineLevel="0" collapsed="false">
      <c r="AC691" s="17" t="n">
        <f aca="false">30+671*$AD$5</f>
        <v>71.9375</v>
      </c>
      <c r="AD691" s="17" t="n">
        <f aca="false">-Delta_c*AC691</f>
        <v>-7.28519924747942</v>
      </c>
      <c r="AF691" s="11" t="n">
        <f aca="false">(-AD691/$AD$5*AF690)/(Rho_a-AD691/$AD$5)</f>
        <v>-181.612516308538</v>
      </c>
      <c r="AG691" s="11" t="n">
        <f aca="false">IF(AC691&lt;Floor_F,MAX((-(Cost_k*Ubar_c+Delay_D)*(1-EXP(-Rho_a*LN((Top_c-AC691)/(Top_c-Floor_F))/Delta_c))/Rho_a+EXP(-Rho_a*LN((Top_c-AC691)/(Top_c-Floor_F))/Delta_c)*(-Cost_k*Delta_c*Floor_F/Rho_a)),(-Delay_D/Rho_a)),(EXP(-Rho_a*LN(AC691/Floor_F)/Delta_c)*(-Cost_k*Delta_c*Floor_F/Rho_a)))</f>
        <v>-181.568179392829</v>
      </c>
      <c r="AH691" s="22" t="n">
        <f aca="false">ABS(AF691-AG691)</f>
        <v>0.044336915709664</v>
      </c>
    </row>
    <row r="692" customFormat="false" ht="15" hidden="false" customHeight="false" outlineLevel="0" collapsed="false">
      <c r="AC692" s="17" t="n">
        <f aca="false">30+672*$AD$5</f>
        <v>72</v>
      </c>
      <c r="AD692" s="17" t="n">
        <f aca="false">-Delta_c*AC692</f>
        <v>-7.29152869947549</v>
      </c>
      <c r="AF692" s="11" t="n">
        <f aca="false">(-AD692/$AD$5*AF691)/(Rho_a-AD692/$AD$5)</f>
        <v>-181.464267286831</v>
      </c>
      <c r="AG692" s="11" t="n">
        <f aca="false">IF(AC692&lt;Floor_F,MAX((-(Cost_k*Ubar_c+Delay_D)*(1-EXP(-Rho_a*LN((Top_c-AC692)/(Top_c-Floor_F))/Delta_c))/Rho_a+EXP(-Rho_a*LN((Top_c-AC692)/(Top_c-Floor_F))/Delta_c)*(-Cost_k*Delta_c*Floor_F/Rho_a)),(-Delay_D/Rho_a)),(EXP(-Rho_a*LN(AC692/Floor_F)/Delta_c)*(-Cost_k*Delta_c*Floor_F/Rho_a)))</f>
        <v>-181.419841688328</v>
      </c>
      <c r="AH692" s="22" t="n">
        <f aca="false">ABS(AF692-AG692)</f>
        <v>0.0444255985029542</v>
      </c>
    </row>
    <row r="693" customFormat="false" ht="15" hidden="false" customHeight="false" outlineLevel="0" collapsed="false">
      <c r="AC693" s="17" t="n">
        <f aca="false">30+673*$AD$5</f>
        <v>72.0625</v>
      </c>
      <c r="AD693" s="17" t="n">
        <f aca="false">-Delta_c*AC693</f>
        <v>-7.29785815147156</v>
      </c>
      <c r="AF693" s="11" t="n">
        <f aca="false">(-AD693/$AD$5*AF692)/(Rho_a-AD693/$AD$5)</f>
        <v>-181.316267646798</v>
      </c>
      <c r="AG693" s="11" t="n">
        <f aca="false">IF(AC693&lt;Floor_F,MAX((-(Cost_k*Ubar_c+Delay_D)*(1-EXP(-Rho_a*LN((Top_c-AC693)/(Top_c-Floor_F))/Delta_c))/Rho_a+EXP(-Rho_a*LN((Top_c-AC693)/(Top_c-Floor_F))/Delta_c)*(-Cost_k*Delta_c*Floor_F/Rho_a)),(-Delay_D/Rho_a)),(EXP(-Rho_a*LN(AC693/Floor_F)/Delta_c)*(-Cost_k*Delta_c*Floor_F/Rho_a)))</f>
        <v>-181.27175372474</v>
      </c>
      <c r="AH693" s="22" t="n">
        <f aca="false">ABS(AF693-AG693)</f>
        <v>0.0445139220583428</v>
      </c>
    </row>
    <row r="694" customFormat="false" ht="15" hidden="false" customHeight="false" outlineLevel="0" collapsed="false">
      <c r="AC694" s="17" t="n">
        <f aca="false">30+674*$AD$5</f>
        <v>72.125</v>
      </c>
      <c r="AD694" s="17" t="n">
        <f aca="false">-Delta_c*AC694</f>
        <v>-7.30418760346764</v>
      </c>
      <c r="AF694" s="11" t="n">
        <f aca="false">(-AD694/$AD$5*AF693)/(Rho_a-AD694/$AD$5)</f>
        <v>-181.168516753372</v>
      </c>
      <c r="AG694" s="11" t="n">
        <f aca="false">IF(AC694&lt;Floor_F,MAX((-(Cost_k*Ubar_c+Delay_D)*(1-EXP(-Rho_a*LN((Top_c-AC694)/(Top_c-Floor_F))/Delta_c))/Rho_a+EXP(-Rho_a*LN((Top_c-AC694)/(Top_c-Floor_F))/Delta_c)*(-Cost_k*Delta_c*Floor_F/Rho_a)),(-Delay_D/Rho_a)),(EXP(-Rho_a*LN(AC694/Floor_F)/Delta_c)*(-Cost_k*Delta_c*Floor_F/Rho_a)))</f>
        <v>-181.123914865546</v>
      </c>
      <c r="AH694" s="22" t="n">
        <f aca="false">ABS(AF694-AG694)</f>
        <v>0.0446018878255359</v>
      </c>
    </row>
    <row r="695" customFormat="false" ht="15" hidden="false" customHeight="false" outlineLevel="0" collapsed="false">
      <c r="AC695" s="17" t="n">
        <f aca="false">30+675*$AD$5</f>
        <v>72.1875</v>
      </c>
      <c r="AD695" s="17" t="n">
        <f aca="false">-Delta_c*AC695</f>
        <v>-7.31051705546371</v>
      </c>
      <c r="AF695" s="11" t="n">
        <f aca="false">(-AD695/$AD$5*AF694)/(Rho_a-AD695/$AD$5)</f>
        <v>-181.02101397365</v>
      </c>
      <c r="AG695" s="11" t="n">
        <f aca="false">IF(AC695&lt;Floor_F,MAX((-(Cost_k*Ubar_c+Delay_D)*(1-EXP(-Rho_a*LN((Top_c-AC695)/(Top_c-Floor_F))/Delta_c))/Rho_a+EXP(-Rho_a*LN((Top_c-AC695)/(Top_c-Floor_F))/Delta_c)*(-Cost_k*Delta_c*Floor_F/Rho_a)),(-Delay_D/Rho_a)),(EXP(-Rho_a*LN(AC695/Floor_F)/Delta_c)*(-Cost_k*Delta_c*Floor_F/Rho_a)))</f>
        <v>-180.976324476402</v>
      </c>
      <c r="AH695" s="22" t="n">
        <f aca="false">ABS(AF695-AG695)</f>
        <v>0.0446894972475604</v>
      </c>
    </row>
    <row r="696" customFormat="false" ht="15" hidden="false" customHeight="false" outlineLevel="0" collapsed="false">
      <c r="AC696" s="17" t="n">
        <f aca="false">30+676*$AD$5</f>
        <v>72.25</v>
      </c>
      <c r="AD696" s="17" t="n">
        <f aca="false">-Delta_c*AC696</f>
        <v>-7.31684650745978</v>
      </c>
      <c r="AF696" s="11" t="n">
        <f aca="false">(-AD696/$AD$5*AF695)/(Rho_a-AD696/$AD$5)</f>
        <v>-180.873758676885</v>
      </c>
      <c r="AG696" s="11" t="n">
        <f aca="false">IF(AC696&lt;Floor_F,MAX((-(Cost_k*Ubar_c+Delay_D)*(1-EXP(-Rho_a*LN((Top_c-AC696)/(Top_c-Floor_F))/Delta_c))/Rho_a+EXP(-Rho_a*LN((Top_c-AC696)/(Top_c-Floor_F))/Delta_c)*(-Cost_k*Delta_c*Floor_F/Rho_a)),(-Delay_D/Rho_a)),(EXP(-Rho_a*LN(AC696/Floor_F)/Delta_c)*(-Cost_k*Delta_c*Floor_F/Rho_a)))</f>
        <v>-180.828981925124</v>
      </c>
      <c r="AH696" s="22" t="n">
        <f aca="false">ABS(AF696-AG696)</f>
        <v>0.0447767517606223</v>
      </c>
    </row>
    <row r="697" customFormat="false" ht="15" hidden="false" customHeight="false" outlineLevel="0" collapsed="false">
      <c r="AC697" s="17" t="n">
        <f aca="false">30+677*$AD$5</f>
        <v>72.3125</v>
      </c>
      <c r="AD697" s="17" t="n">
        <f aca="false">-Delta_c*AC697</f>
        <v>-7.32317595945585</v>
      </c>
      <c r="AF697" s="11" t="n">
        <f aca="false">(-AD697/$AD$5*AF696)/(Rho_a-AD697/$AD$5)</f>
        <v>-180.726750234478</v>
      </c>
      <c r="AG697" s="11" t="n">
        <f aca="false">IF(AC697&lt;Floor_F,MAX((-(Cost_k*Ubar_c+Delay_D)*(1-EXP(-Rho_a*LN((Top_c-AC697)/(Top_c-Floor_F))/Delta_c))/Rho_a+EXP(-Rho_a*LN((Top_c-AC697)/(Top_c-Floor_F))/Delta_c)*(-Cost_k*Delta_c*Floor_F/Rho_a)),(-Delay_D/Rho_a)),(EXP(-Rho_a*LN(AC697/Floor_F)/Delta_c)*(-Cost_k*Delta_c*Floor_F/Rho_a)))</f>
        <v>-180.681886581684</v>
      </c>
      <c r="AH697" s="22" t="n">
        <f aca="false">ABS(AF697-AG697)</f>
        <v>0.0448636527942483</v>
      </c>
    </row>
    <row r="698" customFormat="false" ht="15" hidden="false" customHeight="false" outlineLevel="0" collapsed="false">
      <c r="AC698" s="17" t="n">
        <f aca="false">30+678*$AD$5</f>
        <v>72.375</v>
      </c>
      <c r="AD698" s="17" t="n">
        <f aca="false">-Delta_c*AC698</f>
        <v>-7.32950541145193</v>
      </c>
      <c r="AF698" s="11" t="n">
        <f aca="false">(-AD698/$AD$5*AF697)/(Rho_a-AD698/$AD$5)</f>
        <v>-180.579988019968</v>
      </c>
      <c r="AG698" s="11" t="n">
        <f aca="false">IF(AC698&lt;Floor_F,MAX((-(Cost_k*Ubar_c+Delay_D)*(1-EXP(-Rho_a*LN((Top_c-AC698)/(Top_c-Floor_F))/Delta_c))/Rho_a+EXP(-Rho_a*LN((Top_c-AC698)/(Top_c-Floor_F))/Delta_c)*(-Cost_k*Delta_c*Floor_F/Rho_a)),(-Delay_D/Rho_a)),(EXP(-Rho_a*LN(AC698/Floor_F)/Delta_c)*(-Cost_k*Delta_c*Floor_F/Rho_a)))</f>
        <v>-180.535037818196</v>
      </c>
      <c r="AH698" s="22" t="n">
        <f aca="false">ABS(AF698-AG698)</f>
        <v>0.0449502017713428</v>
      </c>
    </row>
    <row r="699" customFormat="false" ht="15" hidden="false" customHeight="false" outlineLevel="0" collapsed="false">
      <c r="AC699" s="17" t="n">
        <f aca="false">30+679*$AD$5</f>
        <v>72.4375</v>
      </c>
      <c r="AD699" s="17" t="n">
        <f aca="false">-Delta_c*AC699</f>
        <v>-7.335834863448</v>
      </c>
      <c r="AF699" s="11" t="n">
        <f aca="false">(-AD699/$AD$5*AF698)/(Rho_a-AD699/$AD$5)</f>
        <v>-180.433471409019</v>
      </c>
      <c r="AG699" s="11" t="n">
        <f aca="false">IF(AC699&lt;Floor_F,MAX((-(Cost_k*Ubar_c+Delay_D)*(1-EXP(-Rho_a*LN((Top_c-AC699)/(Top_c-Floor_F))/Delta_c))/Rho_a+EXP(-Rho_a*LN((Top_c-AC699)/(Top_c-Floor_F))/Delta_c)*(-Cost_k*Delta_c*Floor_F/Rho_a)),(-Delay_D/Rho_a)),(EXP(-Rho_a*LN(AC699/Floor_F)/Delta_c)*(-Cost_k*Delta_c*Floor_F/Rho_a)))</f>
        <v>-180.388435008911</v>
      </c>
      <c r="AH699" s="22" t="n">
        <f aca="false">ABS(AF699-AG699)</f>
        <v>0.0450364001082733</v>
      </c>
    </row>
    <row r="700" customFormat="false" ht="15" hidden="false" customHeight="false" outlineLevel="0" collapsed="false">
      <c r="AC700" s="17" t="n">
        <f aca="false">30+680*$AD$5</f>
        <v>72.5</v>
      </c>
      <c r="AD700" s="17" t="n">
        <f aca="false">-Delta_c*AC700</f>
        <v>-7.34216431544407</v>
      </c>
      <c r="AF700" s="11" t="n">
        <f aca="false">(-AD700/$AD$5*AF699)/(Rho_a-AD700/$AD$5)</f>
        <v>-180.287199779419</v>
      </c>
      <c r="AG700" s="11" t="n">
        <f aca="false">IF(AC700&lt;Floor_F,MAX((-(Cost_k*Ubar_c+Delay_D)*(1-EXP(-Rho_a*LN((Top_c-AC700)/(Top_c-Floor_F))/Delta_c))/Rho_a+EXP(-Rho_a*LN((Top_c-AC700)/(Top_c-Floor_F))/Delta_c)*(-Cost_k*Delta_c*Floor_F/Rho_a)),(-Delay_D/Rho_a)),(EXP(-Rho_a*LN(AC700/Floor_F)/Delta_c)*(-Cost_k*Delta_c*Floor_F/Rho_a)))</f>
        <v>-180.242077530205</v>
      </c>
      <c r="AH700" s="22" t="n">
        <f aca="false">ABS(AF700-AG700)</f>
        <v>0.0451222492145575</v>
      </c>
    </row>
    <row r="701" customFormat="false" ht="15" hidden="false" customHeight="false" outlineLevel="0" collapsed="false">
      <c r="AC701" s="17" t="n">
        <f aca="false">30+681*$AD$5</f>
        <v>72.5625</v>
      </c>
      <c r="AD701" s="17" t="n">
        <f aca="false">-Delta_c*AC701</f>
        <v>-7.34849376744014</v>
      </c>
      <c r="AF701" s="11" t="n">
        <f aca="false">(-AD701/$AD$5*AF700)/(Rho_a-AD701/$AD$5)</f>
        <v>-180.141172511064</v>
      </c>
      <c r="AG701" s="11" t="n">
        <f aca="false">IF(AC701&lt;Floor_F,MAX((-(Cost_k*Ubar_c+Delay_D)*(1-EXP(-Rho_a*LN((Top_c-AC701)/(Top_c-Floor_F))/Delta_c))/Rho_a+EXP(-Rho_a*LN((Top_c-AC701)/(Top_c-Floor_F))/Delta_c)*(-Cost_k*Delta_c*Floor_F/Rho_a)),(-Delay_D/Rho_a)),(EXP(-Rho_a*LN(AC701/Floor_F)/Delta_c)*(-Cost_k*Delta_c*Floor_F/Rho_a)))</f>
        <v>-180.09596476057</v>
      </c>
      <c r="AH701" s="22" t="n">
        <f aca="false">ABS(AF701-AG701)</f>
        <v>0.0452077504934891</v>
      </c>
    </row>
    <row r="702" customFormat="false" ht="15" hidden="false" customHeight="false" outlineLevel="0" collapsed="false">
      <c r="AC702" s="17" t="n">
        <f aca="false">30+682*$AD$5</f>
        <v>72.625</v>
      </c>
      <c r="AD702" s="17" t="n">
        <f aca="false">-Delta_c*AC702</f>
        <v>-7.35482321943622</v>
      </c>
      <c r="AF702" s="11" t="n">
        <f aca="false">(-AD702/$AD$5*AF701)/(Rho_a-AD702/$AD$5)</f>
        <v>-179.995388985951</v>
      </c>
      <c r="AG702" s="11" t="n">
        <f aca="false">IF(AC702&lt;Floor_F,MAX((-(Cost_k*Ubar_c+Delay_D)*(1-EXP(-Rho_a*LN((Top_c-AC702)/(Top_c-Floor_F))/Delta_c))/Rho_a+EXP(-Rho_a*LN((Top_c-AC702)/(Top_c-Floor_F))/Delta_c)*(-Cost_k*Delta_c*Floor_F/Rho_a)),(-Delay_D/Rho_a)),(EXP(-Rho_a*LN(AC702/Floor_F)/Delta_c)*(-Cost_k*Delta_c*Floor_F/Rho_a)))</f>
        <v>-179.950096080609</v>
      </c>
      <c r="AH702" s="22" t="n">
        <f aca="false">ABS(AF702-AG702)</f>
        <v>0.0452929053415971</v>
      </c>
    </row>
    <row r="703" customFormat="false" ht="15" hidden="false" customHeight="false" outlineLevel="0" collapsed="false">
      <c r="AC703" s="17" t="n">
        <f aca="false">30+683*$AD$5</f>
        <v>72.6875</v>
      </c>
      <c r="AD703" s="17" t="n">
        <f aca="false">-Delta_c*AC703</f>
        <v>-7.36115267143229</v>
      </c>
      <c r="AF703" s="11" t="n">
        <f aca="false">(-AD703/$AD$5*AF702)/(Rho_a-AD703/$AD$5)</f>
        <v>-179.849848588171</v>
      </c>
      <c r="AG703" s="11" t="n">
        <f aca="false">IF(AC703&lt;Floor_F,MAX((-(Cost_k*Ubar_c+Delay_D)*(1-EXP(-Rho_a*LN((Top_c-AC703)/(Top_c-Floor_F))/Delta_c))/Rho_a+EXP(-Rho_a*LN((Top_c-AC703)/(Top_c-Floor_F))/Delta_c)*(-Cost_k*Delta_c*Floor_F/Rho_a)),(-Delay_D/Rho_a)),(EXP(-Rho_a*LN(AC703/Floor_F)/Delta_c)*(-Cost_k*Delta_c*Floor_F/Rho_a)))</f>
        <v>-179.804470873022</v>
      </c>
      <c r="AH703" s="22" t="n">
        <f aca="false">ABS(AF703-AG703)</f>
        <v>0.0453777151489874</v>
      </c>
    </row>
    <row r="704" customFormat="false" ht="15" hidden="false" customHeight="false" outlineLevel="0" collapsed="false">
      <c r="AC704" s="17" t="n">
        <f aca="false">30+684*$AD$5</f>
        <v>72.75</v>
      </c>
      <c r="AD704" s="17" t="n">
        <f aca="false">-Delta_c*AC704</f>
        <v>-7.36748212342836</v>
      </c>
      <c r="AF704" s="11" t="n">
        <f aca="false">(-AD704/$AD$5*AF703)/(Rho_a-AD704/$AD$5)</f>
        <v>-179.704550703898</v>
      </c>
      <c r="AG704" s="11" t="n">
        <f aca="false">IF(AC704&lt;Floor_F,MAX((-(Cost_k*Ubar_c+Delay_D)*(1-EXP(-Rho_a*LN((Top_c-AC704)/(Top_c-Floor_F))/Delta_c))/Rho_a+EXP(-Rho_a*LN((Top_c-AC704)/(Top_c-Floor_F))/Delta_c)*(-Cost_k*Delta_c*Floor_F/Rho_a)),(-Delay_D/Rho_a)),(EXP(-Rho_a*LN(AC704/Floor_F)/Delta_c)*(-Cost_k*Delta_c*Floor_F/Rho_a)))</f>
        <v>-179.659088522598</v>
      </c>
      <c r="AH704" s="22" t="n">
        <f aca="false">ABS(AF704-AG704)</f>
        <v>0.0454621812994844</v>
      </c>
    </row>
    <row r="705" customFormat="false" ht="15" hidden="false" customHeight="false" outlineLevel="0" collapsed="false">
      <c r="AC705" s="17" t="n">
        <f aca="false">30+685*$AD$5</f>
        <v>72.8125</v>
      </c>
      <c r="AD705" s="17" t="n">
        <f aca="false">-Delta_c*AC705</f>
        <v>-7.37381157542443</v>
      </c>
      <c r="AF705" s="11" t="n">
        <f aca="false">(-AD705/$AD$5*AF704)/(Rho_a-AD705/$AD$5)</f>
        <v>-179.559494721381</v>
      </c>
      <c r="AG705" s="11" t="n">
        <f aca="false">IF(AC705&lt;Floor_F,MAX((-(Cost_k*Ubar_c+Delay_D)*(1-EXP(-Rho_a*LN((Top_c-AC705)/(Top_c-Floor_F))/Delta_c))/Rho_a+EXP(-Rho_a*LN((Top_c-AC705)/(Top_c-Floor_F))/Delta_c)*(-Cost_k*Delta_c*Floor_F/Rho_a)),(-Delay_D/Rho_a)),(EXP(-Rho_a*LN(AC705/Floor_F)/Delta_c)*(-Cost_k*Delta_c*Floor_F/Rho_a)))</f>
        <v>-179.513948416211</v>
      </c>
      <c r="AH705" s="22" t="n">
        <f aca="false">ABS(AF705-AG705)</f>
        <v>0.0455463051702338</v>
      </c>
    </row>
    <row r="706" customFormat="false" ht="15" hidden="false" customHeight="false" outlineLevel="0" collapsed="false">
      <c r="AC706" s="17" t="n">
        <f aca="false">30+686*$AD$5</f>
        <v>72.875</v>
      </c>
      <c r="AD706" s="17" t="n">
        <f aca="false">-Delta_c*AC706</f>
        <v>-7.38014102742051</v>
      </c>
      <c r="AF706" s="11" t="n">
        <f aca="false">(-AD706/$AD$5*AF705)/(Rho_a-AD706/$AD$5)</f>
        <v>-179.414680030935</v>
      </c>
      <c r="AG706" s="11" t="n">
        <f aca="false">IF(AC706&lt;Floor_F,MAX((-(Cost_k*Ubar_c+Delay_D)*(1-EXP(-Rho_a*LN((Top_c-AC706)/(Top_c-Floor_F))/Delta_c))/Rho_a+EXP(-Rho_a*LN((Top_c-AC706)/(Top_c-Floor_F))/Delta_c)*(-Cost_k*Delta_c*Floor_F/Rho_a)),(-Delay_D/Rho_a)),(EXP(-Rho_a*LN(AC706/Floor_F)/Delta_c)*(-Cost_k*Delta_c*Floor_F/Rho_a)))</f>
        <v>-179.369049942803</v>
      </c>
      <c r="AH706" s="22" t="n">
        <f aca="false">ABS(AF706-AG706)</f>
        <v>0.045630088132242</v>
      </c>
    </row>
    <row r="707" customFormat="false" ht="15" hidden="false" customHeight="false" outlineLevel="0" collapsed="false">
      <c r="AC707" s="17" t="n">
        <f aca="false">30+687*$AD$5</f>
        <v>72.9375</v>
      </c>
      <c r="AD707" s="17" t="n">
        <f aca="false">-Delta_c*AC707</f>
        <v>-7.38647047941658</v>
      </c>
      <c r="AF707" s="11" t="n">
        <f aca="false">(-AD707/$AD$5*AF706)/(Rho_a-AD707/$AD$5)</f>
        <v>-179.270106024933</v>
      </c>
      <c r="AG707" s="11" t="n">
        <f aca="false">IF(AC707&lt;Floor_F,MAX((-(Cost_k*Ubar_c+Delay_D)*(1-EXP(-Rho_a*LN((Top_c-AC707)/(Top_c-Floor_F))/Delta_c))/Rho_a+EXP(-Rho_a*LN((Top_c-AC707)/(Top_c-Floor_F))/Delta_c)*(-Cost_k*Delta_c*Floor_F/Rho_a)),(-Delay_D/Rho_a)),(EXP(-Rho_a*LN(AC707/Floor_F)/Delta_c)*(-Cost_k*Delta_c*Floor_F/Rho_a)))</f>
        <v>-179.224392493383</v>
      </c>
      <c r="AH707" s="22" t="n">
        <f aca="false">ABS(AF707-AG707)</f>
        <v>0.0457135315500636</v>
      </c>
    </row>
    <row r="708" customFormat="false" ht="15" hidden="false" customHeight="false" outlineLevel="0" collapsed="false">
      <c r="AC708" s="17" t="n">
        <f aca="false">30+688*$AD$5</f>
        <v>73</v>
      </c>
      <c r="AD708" s="17" t="n">
        <f aca="false">-Delta_c*AC708</f>
        <v>-7.39279993141265</v>
      </c>
      <c r="AF708" s="11" t="n">
        <f aca="false">(-AD708/$AD$5*AF707)/(Rho_a-AD708/$AD$5)</f>
        <v>-179.125772097796</v>
      </c>
      <c r="AG708" s="11" t="n">
        <f aca="false">IF(AC708&lt;Floor_F,MAX((-(Cost_k*Ubar_c+Delay_D)*(1-EXP(-Rho_a*LN((Top_c-AC708)/(Top_c-Floor_F))/Delta_c))/Rho_a+EXP(-Rho_a*LN((Top_c-AC708)/(Top_c-Floor_F))/Delta_c)*(-Cost_k*Delta_c*Floor_F/Rho_a)),(-Delay_D/Rho_a)),(EXP(-Rho_a*LN(AC708/Floor_F)/Delta_c)*(-Cost_k*Delta_c*Floor_F/Rho_a)))</f>
        <v>-179.079975461014</v>
      </c>
      <c r="AH708" s="22" t="n">
        <f aca="false">ABS(AF708-AG708)</f>
        <v>0.0457966367819722</v>
      </c>
    </row>
    <row r="709" customFormat="false" ht="15" hidden="false" customHeight="false" outlineLevel="0" collapsed="false">
      <c r="AC709" s="17" t="n">
        <f aca="false">30+689*$AD$5</f>
        <v>73.0625</v>
      </c>
      <c r="AD709" s="17" t="n">
        <f aca="false">-Delta_c*AC709</f>
        <v>-7.39912938340872</v>
      </c>
      <c r="AF709" s="11" t="n">
        <f aca="false">(-AD709/$AD$5*AF708)/(Rho_a-AD709/$AD$5)</f>
        <v>-178.981677645985</v>
      </c>
      <c r="AG709" s="11" t="n">
        <f aca="false">IF(AC709&lt;Floor_F,MAX((-(Cost_k*Ubar_c+Delay_D)*(1-EXP(-Rho_a*LN((Top_c-AC709)/(Top_c-Floor_F))/Delta_c))/Rho_a+EXP(-Rho_a*LN((Top_c-AC709)/(Top_c-Floor_F))/Delta_c)*(-Cost_k*Delta_c*Floor_F/Rho_a)),(-Delay_D/Rho_a)),(EXP(-Rho_a*LN(AC709/Floor_F)/Delta_c)*(-Cost_k*Delta_c*Floor_F/Rho_a)))</f>
        <v>-178.935798240805</v>
      </c>
      <c r="AH709" s="22" t="n">
        <f aca="false">ABS(AF709-AG709)</f>
        <v>0.0458794051799032</v>
      </c>
    </row>
    <row r="710" customFormat="false" ht="15" hidden="false" customHeight="false" outlineLevel="0" collapsed="false">
      <c r="AC710" s="17" t="n">
        <f aca="false">30+690*$AD$5</f>
        <v>73.125</v>
      </c>
      <c r="AD710" s="17" t="n">
        <f aca="false">-Delta_c*AC710</f>
        <v>-7.40545883540479</v>
      </c>
      <c r="AF710" s="11" t="n">
        <f aca="false">(-AD710/$AD$5*AF709)/(Rho_a-AD710/$AD$5)</f>
        <v>-178.837822067992</v>
      </c>
      <c r="AG710" s="11" t="n">
        <f aca="false">IF(AC710&lt;Floor_F,MAX((-(Cost_k*Ubar_c+Delay_D)*(1-EXP(-Rho_a*LN((Top_c-AC710)/(Top_c-Floor_F))/Delta_c))/Rho_a+EXP(-Rho_a*LN((Top_c-AC710)/(Top_c-Floor_F))/Delta_c)*(-Cost_k*Delta_c*Floor_F/Rho_a)),(-Delay_D/Rho_a)),(EXP(-Rho_a*LN(AC710/Floor_F)/Delta_c)*(-Cost_k*Delta_c*Floor_F/Rho_a)))</f>
        <v>-178.791860229903</v>
      </c>
      <c r="AH710" s="22" t="n">
        <f aca="false">ABS(AF710-AG710)</f>
        <v>0.0459618380896814</v>
      </c>
    </row>
    <row r="711" customFormat="false" ht="15" hidden="false" customHeight="false" outlineLevel="0" collapsed="false">
      <c r="AC711" s="17" t="n">
        <f aca="false">30+691*$AD$5</f>
        <v>73.1875</v>
      </c>
      <c r="AD711" s="17" t="n">
        <f aca="false">-Delta_c*AC711</f>
        <v>-7.41178828740087</v>
      </c>
      <c r="AF711" s="11" t="n">
        <f aca="false">(-AD711/$AD$5*AF710)/(Rho_a-AD711/$AD$5)</f>
        <v>-178.694204764333</v>
      </c>
      <c r="AG711" s="11" t="n">
        <f aca="false">IF(AC711&lt;Floor_F,MAX((-(Cost_k*Ubar_c+Delay_D)*(1-EXP(-Rho_a*LN((Top_c-AC711)/(Top_c-Floor_F))/Delta_c))/Rho_a+EXP(-Rho_a*LN((Top_c-AC711)/(Top_c-Floor_F))/Delta_c)*(-Cost_k*Delta_c*Floor_F/Rho_a)),(-Delay_D/Rho_a)),(EXP(-Rho_a*LN(AC711/Floor_F)/Delta_c)*(-Cost_k*Delta_c*Floor_F/Rho_a)))</f>
        <v>-178.648160827482</v>
      </c>
      <c r="AH711" s="22" t="n">
        <f aca="false">ABS(AF711-AG711)</f>
        <v>0.0460439368507934</v>
      </c>
    </row>
    <row r="712" customFormat="false" ht="15" hidden="false" customHeight="false" outlineLevel="0" collapsed="false">
      <c r="AC712" s="17" t="n">
        <f aca="false">30+692*$AD$5</f>
        <v>73.25</v>
      </c>
      <c r="AD712" s="17" t="n">
        <f aca="false">-Delta_c*AC712</f>
        <v>-7.41811773939694</v>
      </c>
      <c r="AF712" s="11" t="n">
        <f aca="false">(-AD712/$AD$5*AF711)/(Rho_a-AD712/$AD$5)</f>
        <v>-178.550825137537</v>
      </c>
      <c r="AG712" s="11" t="n">
        <f aca="false">IF(AC712&lt;Floor_F,MAX((-(Cost_k*Ubar_c+Delay_D)*(1-EXP(-Rho_a*LN((Top_c-AC712)/(Top_c-Floor_F))/Delta_c))/Rho_a+EXP(-Rho_a*LN((Top_c-AC712)/(Top_c-Floor_F))/Delta_c)*(-Cost_k*Delta_c*Floor_F/Rho_a)),(-Delay_D/Rho_a)),(EXP(-Rho_a*LN(AC712/Floor_F)/Delta_c)*(-Cost_k*Delta_c*Floor_F/Rho_a)))</f>
        <v>-178.50469943474</v>
      </c>
      <c r="AH712" s="22" t="n">
        <f aca="false">ABS(AF712-AG712)</f>
        <v>0.0461257027966724</v>
      </c>
    </row>
    <row r="713" customFormat="false" ht="15" hidden="false" customHeight="false" outlineLevel="0" collapsed="false">
      <c r="AC713" s="17" t="n">
        <f aca="false">30+693*$AD$5</f>
        <v>73.3125</v>
      </c>
      <c r="AD713" s="17" t="n">
        <f aca="false">-Delta_c*AC713</f>
        <v>-7.42444719139301</v>
      </c>
      <c r="AF713" s="11" t="n">
        <f aca="false">(-AD713/$AD$5*AF712)/(Rho_a-AD713/$AD$5)</f>
        <v>-178.407682592139</v>
      </c>
      <c r="AG713" s="11" t="n">
        <f aca="false">IF(AC713&lt;Floor_F,MAX((-(Cost_k*Ubar_c+Delay_D)*(1-EXP(-Rho_a*LN((Top_c-AC713)/(Top_c-Floor_F))/Delta_c))/Rho_a+EXP(-Rho_a*LN((Top_c-AC713)/(Top_c-Floor_F))/Delta_c)*(-Cost_k*Delta_c*Floor_F/Rho_a)),(-Delay_D/Rho_a)),(EXP(-Rho_a*LN(AC713/Floor_F)/Delta_c)*(-Cost_k*Delta_c*Floor_F/Rho_a)))</f>
        <v>-178.361475454885</v>
      </c>
      <c r="AH713" s="22" t="n">
        <f aca="false">ABS(AF713-AG713)</f>
        <v>0.0462071372544983</v>
      </c>
    </row>
    <row r="714" customFormat="false" ht="15" hidden="false" customHeight="false" outlineLevel="0" collapsed="false">
      <c r="AC714" s="17" t="n">
        <f aca="false">30+694*$AD$5</f>
        <v>73.375</v>
      </c>
      <c r="AD714" s="17" t="n">
        <f aca="false">-Delta_c*AC714</f>
        <v>-7.43077664338909</v>
      </c>
      <c r="AF714" s="11" t="n">
        <f aca="false">(-AD714/$AD$5*AF713)/(Rho_a-AD714/$AD$5)</f>
        <v>-178.264776534673</v>
      </c>
      <c r="AG714" s="11" t="n">
        <f aca="false">IF(AC714&lt;Floor_F,MAX((-(Cost_k*Ubar_c+Delay_D)*(1-EXP(-Rho_a*LN((Top_c-AC714)/(Top_c-Floor_F))/Delta_c))/Rho_a+EXP(-Rho_a*LN((Top_c-AC714)/(Top_c-Floor_F))/Delta_c)*(-Cost_k*Delta_c*Floor_F/Rho_a)),(-Delay_D/Rho_a)),(EXP(-Rho_a*LN(AC714/Floor_F)/Delta_c)*(-Cost_k*Delta_c*Floor_F/Rho_a)))</f>
        <v>-178.218488293128</v>
      </c>
      <c r="AH714" s="22" t="n">
        <f aca="false">ABS(AF714-AG714)</f>
        <v>0.0462882415453691</v>
      </c>
    </row>
    <row r="715" customFormat="false" ht="15" hidden="false" customHeight="false" outlineLevel="0" collapsed="false">
      <c r="AC715" s="17" t="n">
        <f aca="false">30+695*$AD$5</f>
        <v>73.4375</v>
      </c>
      <c r="AD715" s="17" t="n">
        <f aca="false">-Delta_c*AC715</f>
        <v>-7.43710609538516</v>
      </c>
      <c r="AF715" s="11" t="n">
        <f aca="false">(-AD715/$AD$5*AF714)/(Rho_a-AD715/$AD$5)</f>
        <v>-178.12210637366</v>
      </c>
      <c r="AG715" s="11" t="n">
        <f aca="false">IF(AC715&lt;Floor_F,MAX((-(Cost_k*Ubar_c+Delay_D)*(1-EXP(-Rho_a*LN((Top_c-AC715)/(Top_c-Floor_F))/Delta_c))/Rho_a+EXP(-Rho_a*LN((Top_c-AC715)/(Top_c-Floor_F))/Delta_c)*(-Cost_k*Delta_c*Floor_F/Rho_a)),(-Delay_D/Rho_a)),(EXP(-Rho_a*LN(AC715/Floor_F)/Delta_c)*(-Cost_k*Delta_c*Floor_F/Rho_a)))</f>
        <v>-178.075737356676</v>
      </c>
      <c r="AH715" s="22" t="n">
        <f aca="false">ABS(AF715-AG715)</f>
        <v>0.0463690169844142</v>
      </c>
    </row>
    <row r="716" customFormat="false" ht="15" hidden="false" customHeight="false" outlineLevel="0" collapsed="false">
      <c r="AC716" s="17" t="n">
        <f aca="false">30+696*$AD$5</f>
        <v>73.5</v>
      </c>
      <c r="AD716" s="17" t="n">
        <f aca="false">-Delta_c*AC716</f>
        <v>-7.44343554738123</v>
      </c>
      <c r="AF716" s="11" t="n">
        <f aca="false">(-AD716/$AD$5*AF715)/(Rho_a-AD716/$AD$5)</f>
        <v>-177.979671519603</v>
      </c>
      <c r="AG716" s="11" t="n">
        <f aca="false">IF(AC716&lt;Floor_F,MAX((-(Cost_k*Ubar_c+Delay_D)*(1-EXP(-Rho_a*LN((Top_c-AC716)/(Top_c-Floor_F))/Delta_c))/Rho_a+EXP(-Rho_a*LN((Top_c-AC716)/(Top_c-Floor_F))/Delta_c)*(-Cost_k*Delta_c*Floor_F/Rho_a)),(-Delay_D/Rho_a)),(EXP(-Rho_a*LN(AC716/Floor_F)/Delta_c)*(-Cost_k*Delta_c*Floor_F/Rho_a)))</f>
        <v>-177.933222054722</v>
      </c>
      <c r="AH716" s="22" t="n">
        <f aca="false">ABS(AF716-AG716)</f>
        <v>0.0464494648806237</v>
      </c>
    </row>
    <row r="717" customFormat="false" ht="15" hidden="false" customHeight="false" outlineLevel="0" collapsed="false">
      <c r="AC717" s="17" t="n">
        <f aca="false">30+697*$AD$5</f>
        <v>73.5625</v>
      </c>
      <c r="AD717" s="17" t="n">
        <f aca="false">-Delta_c*AC717</f>
        <v>-7.4497649993773</v>
      </c>
      <c r="AF717" s="11" t="n">
        <f aca="false">(-AD717/$AD$5*AF716)/(Rho_a-AD717/$AD$5)</f>
        <v>-177.837471384975</v>
      </c>
      <c r="AG717" s="11" t="n">
        <f aca="false">IF(AC717&lt;Floor_F,MAX((-(Cost_k*Ubar_c+Delay_D)*(1-EXP(-Rho_a*LN((Top_c-AC717)/(Top_c-Floor_F))/Delta_c))/Rho_a+EXP(-Rho_a*LN((Top_c-AC717)/(Top_c-Floor_F))/Delta_c)*(-Cost_k*Delta_c*Floor_F/Rho_a)),(-Delay_D/Rho_a)),(EXP(-Rho_a*LN(AC717/Floor_F)/Delta_c)*(-Cost_k*Delta_c*Floor_F/Rho_a)))</f>
        <v>-177.790941798438</v>
      </c>
      <c r="AH717" s="22" t="n">
        <f aca="false">ABS(AF717-AG717)</f>
        <v>0.0465295865369342</v>
      </c>
    </row>
    <row r="718" customFormat="false" ht="15" hidden="false" customHeight="false" outlineLevel="0" collapsed="false">
      <c r="AC718" s="17" t="n">
        <f aca="false">30+698*$AD$5</f>
        <v>73.625</v>
      </c>
      <c r="AD718" s="17" t="n">
        <f aca="false">-Delta_c*AC718</f>
        <v>-7.45609445137337</v>
      </c>
      <c r="AF718" s="11" t="n">
        <f aca="false">(-AD718/$AD$5*AF717)/(Rho_a-AD718/$AD$5)</f>
        <v>-177.695505384217</v>
      </c>
      <c r="AG718" s="11" t="n">
        <f aca="false">IF(AC718&lt;Floor_F,MAX((-(Cost_k*Ubar_c+Delay_D)*(1-EXP(-Rho_a*LN((Top_c-AC718)/(Top_c-Floor_F))/Delta_c))/Rho_a+EXP(-Rho_a*LN((Top_c-AC718)/(Top_c-Floor_F))/Delta_c)*(-Cost_k*Delta_c*Floor_F/Rho_a)),(-Delay_D/Rho_a)),(EXP(-Rho_a*LN(AC718/Floor_F)/Delta_c)*(-Cost_k*Delta_c*Floor_F/Rho_a)))</f>
        <v>-177.648896000967</v>
      </c>
      <c r="AH718" s="22" t="n">
        <f aca="false">ABS(AF718-AG718)</f>
        <v>0.0466093832504271</v>
      </c>
    </row>
    <row r="719" customFormat="false" ht="15" hidden="false" customHeight="false" outlineLevel="0" collapsed="false">
      <c r="AC719" s="17" t="n">
        <f aca="false">30+699*$AD$5</f>
        <v>73.6875</v>
      </c>
      <c r="AD719" s="17" t="n">
        <f aca="false">-Delta_c*AC719</f>
        <v>-7.46242390336945</v>
      </c>
      <c r="AF719" s="11" t="n">
        <f aca="false">(-AD719/$AD$5*AF718)/(Rho_a-AD719/$AD$5)</f>
        <v>-177.553772933723</v>
      </c>
      <c r="AG719" s="11" t="n">
        <f aca="false">IF(AC719&lt;Floor_F,MAX((-(Cost_k*Ubar_c+Delay_D)*(1-EXP(-Rho_a*LN((Top_c-AC719)/(Top_c-Floor_F))/Delta_c))/Rho_a+EXP(-Rho_a*LN((Top_c-AC719)/(Top_c-Floor_F))/Delta_c)*(-Cost_k*Delta_c*Floor_F/Rho_a)),(-Delay_D/Rho_a)),(EXP(-Rho_a*LN(AC719/Floor_F)/Delta_c)*(-Cost_k*Delta_c*Floor_F/Rho_a)))</f>
        <v>-177.50708407741</v>
      </c>
      <c r="AH719" s="22" t="n">
        <f aca="false">ABS(AF719-AG719)</f>
        <v>0.0466888563121586</v>
      </c>
    </row>
    <row r="720" customFormat="false" ht="15" hidden="false" customHeight="false" outlineLevel="0" collapsed="false">
      <c r="AC720" s="17" t="n">
        <f aca="false">30+700*$AD$5</f>
        <v>73.75</v>
      </c>
      <c r="AD720" s="17" t="n">
        <f aca="false">-Delta_c*AC720</f>
        <v>-7.46875335536552</v>
      </c>
      <c r="AF720" s="11" t="n">
        <f aca="false">(-AD720/$AD$5*AF719)/(Rho_a-AD720/$AD$5)</f>
        <v>-177.412273451834</v>
      </c>
      <c r="AG720" s="11" t="n">
        <f aca="false">IF(AC720&lt;Floor_F,MAX((-(Cost_k*Ubar_c+Delay_D)*(1-EXP(-Rho_a*LN((Top_c-AC720)/(Top_c-Floor_F))/Delta_c))/Rho_a+EXP(-Rho_a*LN((Top_c-AC720)/(Top_c-Floor_F))/Delta_c)*(-Cost_k*Delta_c*Floor_F/Rho_a)),(-Delay_D/Rho_a)),(EXP(-Rho_a*LN(AC720/Floor_F)/Delta_c)*(-Cost_k*Delta_c*Floor_F/Rho_a)))</f>
        <v>-177.365505444827</v>
      </c>
      <c r="AH720" s="22" t="n">
        <f aca="false">ABS(AF720-AG720)</f>
        <v>0.0467680070073016</v>
      </c>
    </row>
    <row r="721" customFormat="false" ht="15" hidden="false" customHeight="false" outlineLevel="0" collapsed="false">
      <c r="AC721" s="17" t="n">
        <f aca="false">30+701*$AD$5</f>
        <v>73.8125</v>
      </c>
      <c r="AD721" s="17" t="n">
        <f aca="false">-Delta_c*AC721</f>
        <v>-7.47508280736159</v>
      </c>
      <c r="AF721" s="11" t="n">
        <f aca="false">(-AD721/$AD$5*AF720)/(Rho_a-AD721/$AD$5)</f>
        <v>-177.271006358834</v>
      </c>
      <c r="AG721" s="11" t="n">
        <f aca="false">IF(AC721&lt;Floor_F,MAX((-(Cost_k*Ubar_c+Delay_D)*(1-EXP(-Rho_a*LN((Top_c-AC721)/(Top_c-Floor_F))/Delta_c))/Rho_a+EXP(-Rho_a*LN((Top_c-AC721)/(Top_c-Floor_F))/Delta_c)*(-Cost_k*Delta_c*Floor_F/Rho_a)),(-Delay_D/Rho_a)),(EXP(-Rho_a*LN(AC721/Floor_F)/Delta_c)*(-Cost_k*Delta_c*Floor_F/Rho_a)))</f>
        <v>-177.224159522218</v>
      </c>
      <c r="AH721" s="22" t="n">
        <f aca="false">ABS(AF721-AG721)</f>
        <v>0.0468468366151171</v>
      </c>
    </row>
    <row r="722" customFormat="false" ht="15" hidden="false" customHeight="false" outlineLevel="0" collapsed="false">
      <c r="AC722" s="17" t="n">
        <f aca="false">30+702*$AD$5</f>
        <v>73.875</v>
      </c>
      <c r="AD722" s="17" t="n">
        <f aca="false">-Delta_c*AC722</f>
        <v>-7.48141225935767</v>
      </c>
      <c r="AF722" s="11" t="n">
        <f aca="false">(-AD722/$AD$5*AF721)/(Rho_a-AD722/$AD$5)</f>
        <v>-177.129971076934</v>
      </c>
      <c r="AG722" s="11" t="n">
        <f aca="false">IF(AC722&lt;Floor_F,MAX((-(Cost_k*Ubar_c+Delay_D)*(1-EXP(-Rho_a*LN((Top_c-AC722)/(Top_c-Floor_F))/Delta_c))/Rho_a+EXP(-Rho_a*LN((Top_c-AC722)/(Top_c-Floor_F))/Delta_c)*(-Cost_k*Delta_c*Floor_F/Rho_a)),(-Delay_D/Rho_a)),(EXP(-Rho_a*LN(AC722/Floor_F)/Delta_c)*(-Cost_k*Delta_c*Floor_F/Rho_a)))</f>
        <v>-177.083045730525</v>
      </c>
      <c r="AH722" s="22" t="n">
        <f aca="false">ABS(AF722-AG722)</f>
        <v>0.0469253464090968</v>
      </c>
    </row>
    <row r="723" customFormat="false" ht="15" hidden="false" customHeight="false" outlineLevel="0" collapsed="false">
      <c r="AC723" s="17" t="n">
        <f aca="false">30+703*$AD$5</f>
        <v>73.9375</v>
      </c>
      <c r="AD723" s="17" t="n">
        <f aca="false">-Delta_c*AC723</f>
        <v>-7.48774171135374</v>
      </c>
      <c r="AF723" s="11" t="n">
        <f aca="false">(-AD723/$AD$5*AF722)/(Rho_a-AD723/$AD$5)</f>
        <v>-176.989167030272</v>
      </c>
      <c r="AG723" s="11" t="n">
        <f aca="false">IF(AC723&lt;Floor_F,MAX((-(Cost_k*Ubar_c+Delay_D)*(1-EXP(-Rho_a*LN((Top_c-AC723)/(Top_c-Floor_F))/Delta_c))/Rho_a+EXP(-Rho_a*LN((Top_c-AC723)/(Top_c-Floor_F))/Delta_c)*(-Cost_k*Delta_c*Floor_F/Rho_a)),(-Delay_D/Rho_a)),(EXP(-Rho_a*LN(AC723/Floor_F)/Delta_c)*(-Cost_k*Delta_c*Floor_F/Rho_a)))</f>
        <v>-176.942163492616</v>
      </c>
      <c r="AH723" s="22" t="n">
        <f aca="false">ABS(AF723-AG723)</f>
        <v>0.0470035376567068</v>
      </c>
    </row>
    <row r="724" customFormat="false" ht="15" hidden="false" customHeight="false" outlineLevel="0" collapsed="false">
      <c r="AC724" s="17" t="n">
        <f aca="false">30+704*$AD$5</f>
        <v>74</v>
      </c>
      <c r="AD724" s="17" t="n">
        <f aca="false">-Delta_c*AC724</f>
        <v>-7.49407116334981</v>
      </c>
      <c r="AF724" s="11" t="n">
        <f aca="false">(-AD724/$AD$5*AF723)/(Rho_a-AD724/$AD$5)</f>
        <v>-176.8485936449</v>
      </c>
      <c r="AG724" s="11" t="n">
        <f aca="false">IF(AC724&lt;Floor_F,MAX((-(Cost_k*Ubar_c+Delay_D)*(1-EXP(-Rho_a*LN((Top_c-AC724)/(Top_c-Floor_F))/Delta_c))/Rho_a+EXP(-Rho_a*LN((Top_c-AC724)/(Top_c-Floor_F))/Delta_c)*(-Cost_k*Delta_c*Floor_F/Rho_a)),(-Delay_D/Rho_a)),(EXP(-Rho_a*LN(AC724/Floor_F)/Delta_c)*(-Cost_k*Delta_c*Floor_F/Rho_a)))</f>
        <v>-176.80151223328</v>
      </c>
      <c r="AH724" s="22" t="n">
        <f aca="false">ABS(AF724-AG724)</f>
        <v>0.0470814116198994</v>
      </c>
    </row>
    <row r="725" customFormat="false" ht="15" hidden="false" customHeight="false" outlineLevel="0" collapsed="false">
      <c r="AC725" s="17" t="n">
        <f aca="false">30+705*$AD$5</f>
        <v>74.0625</v>
      </c>
      <c r="AD725" s="17" t="n">
        <f aca="false">-Delta_c*AC725</f>
        <v>-7.50040061534588</v>
      </c>
      <c r="AF725" s="11" t="n">
        <f aca="false">(-AD725/$AD$5*AF724)/(Rho_a-AD725/$AD$5)</f>
        <v>-176.708250348777</v>
      </c>
      <c r="AG725" s="11" t="n">
        <f aca="false">IF(AC725&lt;Floor_F,MAX((-(Cost_k*Ubar_c+Delay_D)*(1-EXP(-Rho_a*LN((Top_c-AC725)/(Top_c-Floor_F))/Delta_c))/Rho_a+EXP(-Rho_a*LN((Top_c-AC725)/(Top_c-Floor_F))/Delta_c)*(-Cost_k*Delta_c*Floor_F/Rho_a)),(-Delay_D/Rho_a)),(EXP(-Rho_a*LN(AC725/Floor_F)/Delta_c)*(-Cost_k*Delta_c*Floor_F/Rho_a)))</f>
        <v>-176.661091379222</v>
      </c>
      <c r="AH725" s="22" t="n">
        <f aca="false">ABS(AF725-AG725)</f>
        <v>0.0471589695547436</v>
      </c>
    </row>
    <row r="726" customFormat="false" ht="15" hidden="false" customHeight="false" outlineLevel="0" collapsed="false">
      <c r="AC726" s="17" t="n">
        <f aca="false">30+706*$AD$5</f>
        <v>74.125</v>
      </c>
      <c r="AD726" s="17" t="n">
        <f aca="false">-Delta_c*AC726</f>
        <v>-7.50673006734195</v>
      </c>
      <c r="AF726" s="11" t="n">
        <f aca="false">(-AD726/$AD$5*AF725)/(Rho_a-AD726/$AD$5)</f>
        <v>-176.568136571761</v>
      </c>
      <c r="AG726" s="11" t="n">
        <f aca="false">IF(AC726&lt;Floor_F,MAX((-(Cost_k*Ubar_c+Delay_D)*(1-EXP(-Rho_a*LN((Top_c-AC726)/(Top_c-Floor_F))/Delta_c))/Rho_a+EXP(-Rho_a*LN((Top_c-AC726)/(Top_c-Floor_F))/Delta_c)*(-Cost_k*Delta_c*Floor_F/Rho_a)),(-Delay_D/Rho_a)),(EXP(-Rho_a*LN(AC726/Floor_F)/Delta_c)*(-Cost_k*Delta_c*Floor_F/Rho_a)))</f>
        <v>-176.520900359049</v>
      </c>
      <c r="AH726" s="22" t="n">
        <f aca="false">ABS(AF726-AG726)</f>
        <v>0.0472362127113968</v>
      </c>
    </row>
    <row r="727" customFormat="false" ht="15" hidden="false" customHeight="false" outlineLevel="0" collapsed="false">
      <c r="AC727" s="17" t="n">
        <f aca="false">30+707*$AD$5</f>
        <v>74.1875</v>
      </c>
      <c r="AD727" s="17" t="n">
        <f aca="false">-Delta_c*AC727</f>
        <v>-7.51305951933803</v>
      </c>
      <c r="AF727" s="11" t="n">
        <f aca="false">(-AD727/$AD$5*AF726)/(Rho_a-AD727/$AD$5)</f>
        <v>-176.428251745603</v>
      </c>
      <c r="AG727" s="11" t="n">
        <f aca="false">IF(AC727&lt;Floor_F,MAX((-(Cost_k*Ubar_c+Delay_D)*(1-EXP(-Rho_a*LN((Top_c-AC727)/(Top_c-Floor_F))/Delta_c))/Rho_a+EXP(-Rho_a*LN((Top_c-AC727)/(Top_c-Floor_F))/Delta_c)*(-Cost_k*Delta_c*Floor_F/Rho_a)),(-Delay_D/Rho_a)),(EXP(-Rho_a*LN(AC727/Floor_F)/Delta_c)*(-Cost_k*Delta_c*Floor_F/Rho_a)))</f>
        <v>-176.380938603268</v>
      </c>
      <c r="AH727" s="22" t="n">
        <f aca="false">ABS(AF727-AG727)</f>
        <v>0.0473131423347013</v>
      </c>
    </row>
    <row r="728" customFormat="false" ht="15" hidden="false" customHeight="false" outlineLevel="0" collapsed="false">
      <c r="AC728" s="17" t="n">
        <f aca="false">30+708*$AD$5</f>
        <v>74.25</v>
      </c>
      <c r="AD728" s="17" t="n">
        <f aca="false">-Delta_c*AC728</f>
        <v>-7.5193889713341</v>
      </c>
      <c r="AF728" s="11" t="n">
        <f aca="false">(-AD728/$AD$5*AF727)/(Rho_a-AD728/$AD$5)</f>
        <v>-176.288595303937</v>
      </c>
      <c r="AG728" s="11" t="n">
        <f aca="false">IF(AC728&lt;Floor_F,MAX((-(Cost_k*Ubar_c+Delay_D)*(1-EXP(-Rho_a*LN((Top_c-AC728)/(Top_c-Floor_F))/Delta_c))/Rho_a+EXP(-Rho_a*LN((Top_c-AC728)/(Top_c-Floor_F))/Delta_c)*(-Cost_k*Delta_c*Floor_F/Rho_a)),(-Delay_D/Rho_a)),(EXP(-Rho_a*LN(AC728/Floor_F)/Delta_c)*(-Cost_k*Delta_c*Floor_F/Rho_a)))</f>
        <v>-176.241205544273</v>
      </c>
      <c r="AH728" s="22" t="n">
        <f aca="false">ABS(AF728-AG728)</f>
        <v>0.0473897596634743</v>
      </c>
    </row>
    <row r="729" customFormat="false" ht="15" hidden="false" customHeight="false" outlineLevel="0" collapsed="false">
      <c r="AC729" s="17" t="n">
        <f aca="false">30+709*$AD$5</f>
        <v>74.3125</v>
      </c>
      <c r="AD729" s="17" t="n">
        <f aca="false">-Delta_c*AC729</f>
        <v>-7.52571842333017</v>
      </c>
      <c r="AF729" s="11" t="n">
        <f aca="false">(-AD729/$AD$5*AF728)/(Rho_a-AD729/$AD$5)</f>
        <v>-176.149166682271</v>
      </c>
      <c r="AG729" s="11" t="n">
        <f aca="false">IF(AC729&lt;Floor_F,MAX((-(Cost_k*Ubar_c+Delay_D)*(1-EXP(-Rho_a*LN((Top_c-AC729)/(Top_c-Floor_F))/Delta_c))/Rho_a+EXP(-Rho_a*LN((Top_c-AC729)/(Top_c-Floor_F))/Delta_c)*(-Cost_k*Delta_c*Floor_F/Rho_a)),(-Delay_D/Rho_a)),(EXP(-Rho_a*LN(AC729/Floor_F)/Delta_c)*(-Cost_k*Delta_c*Floor_F/Rho_a)))</f>
        <v>-176.10170061634</v>
      </c>
      <c r="AH729" s="22" t="n">
        <f aca="false">ABS(AF729-AG729)</f>
        <v>0.0474660659310473</v>
      </c>
    </row>
    <row r="730" customFormat="false" ht="15" hidden="false" customHeight="false" outlineLevel="0" collapsed="false">
      <c r="AC730" s="17" t="n">
        <f aca="false">30+710*$AD$5</f>
        <v>74.375</v>
      </c>
      <c r="AD730" s="17" t="n">
        <f aca="false">-Delta_c*AC730</f>
        <v>-7.53204787532625</v>
      </c>
      <c r="AF730" s="11" t="n">
        <f aca="false">(-AD730/$AD$5*AF729)/(Rho_a-AD730/$AD$5)</f>
        <v>-176.009965317985</v>
      </c>
      <c r="AG730" s="11" t="n">
        <f aca="false">IF(AC730&lt;Floor_F,MAX((-(Cost_k*Ubar_c+Delay_D)*(1-EXP(-Rho_a*LN((Top_c-AC730)/(Top_c-Floor_F))/Delta_c))/Rho_a+EXP(-Rho_a*LN((Top_c-AC730)/(Top_c-Floor_F))/Delta_c)*(-Cost_k*Delta_c*Floor_F/Rho_a)),(-Delay_D/Rho_a)),(EXP(-Rho_a*LN(AC730/Floor_F)/Delta_c)*(-Cost_k*Delta_c*Floor_F/Rho_a)))</f>
        <v>-175.96242325562</v>
      </c>
      <c r="AH730" s="22" t="n">
        <f aca="false">ABS(AF730-AG730)</f>
        <v>0.0475420623652667</v>
      </c>
    </row>
    <row r="731" customFormat="false" ht="15" hidden="false" customHeight="false" outlineLevel="0" collapsed="false">
      <c r="AC731" s="17" t="n">
        <f aca="false">30+711*$AD$5</f>
        <v>74.4375</v>
      </c>
      <c r="AD731" s="17" t="n">
        <f aca="false">-Delta_c*AC731</f>
        <v>-7.53837732732232</v>
      </c>
      <c r="AF731" s="11" t="n">
        <f aca="false">(-AD731/$AD$5*AF730)/(Rho_a-AD731/$AD$5)</f>
        <v>-175.870990650316</v>
      </c>
      <c r="AG731" s="11" t="n">
        <f aca="false">IF(AC731&lt;Floor_F,MAX((-(Cost_k*Ubar_c+Delay_D)*(1-EXP(-Rho_a*LN((Top_c-AC731)/(Top_c-Floor_F))/Delta_c))/Rho_a+EXP(-Rho_a*LN((Top_c-AC731)/(Top_c-Floor_F))/Delta_c)*(-Cost_k*Delta_c*Floor_F/Rho_a)),(-Delay_D/Rho_a)),(EXP(-Rho_a*LN(AC731/Floor_F)/Delta_c)*(-Cost_k*Delta_c*Floor_F/Rho_a)))</f>
        <v>-175.823372900128</v>
      </c>
      <c r="AH731" s="22" t="n">
        <f aca="false">ABS(AF731-AG731)</f>
        <v>0.0476177501881523</v>
      </c>
    </row>
    <row r="732" customFormat="false" ht="15" hidden="false" customHeight="false" outlineLevel="0" collapsed="false">
      <c r="AC732" s="17" t="n">
        <f aca="false">30+712*$AD$5</f>
        <v>74.5</v>
      </c>
      <c r="AD732" s="17" t="n">
        <f aca="false">-Delta_c*AC732</f>
        <v>-7.54470677931839</v>
      </c>
      <c r="AF732" s="11" t="n">
        <f aca="false">(-AD732/$AD$5*AF731)/(Rho_a-AD732/$AD$5)</f>
        <v>-175.732242120355</v>
      </c>
      <c r="AG732" s="11" t="n">
        <f aca="false">IF(AC732&lt;Floor_F,MAX((-(Cost_k*Ubar_c+Delay_D)*(1-EXP(-Rho_a*LN((Top_c-AC732)/(Top_c-Floor_F))/Delta_c))/Rho_a+EXP(-Rho_a*LN((Top_c-AC732)/(Top_c-Floor_F))/Delta_c)*(-Cost_k*Delta_c*Floor_F/Rho_a)),(-Delay_D/Rho_a)),(EXP(-Rho_a*LN(AC732/Floor_F)/Delta_c)*(-Cost_k*Delta_c*Floor_F/Rho_a)))</f>
        <v>-175.684548989739</v>
      </c>
      <c r="AH732" s="22" t="n">
        <f aca="false">ABS(AF732-AG732)</f>
        <v>0.0476931306162953</v>
      </c>
    </row>
    <row r="733" customFormat="false" ht="15" hidden="false" customHeight="false" outlineLevel="0" collapsed="false">
      <c r="AC733" s="17" t="n">
        <f aca="false">30+713*$AD$5</f>
        <v>74.5625</v>
      </c>
      <c r="AD733" s="17" t="n">
        <f aca="false">-Delta_c*AC733</f>
        <v>-7.55103623131446</v>
      </c>
      <c r="AF733" s="11" t="n">
        <f aca="false">(-AD733/$AD$5*AF732)/(Rho_a-AD733/$AD$5)</f>
        <v>-175.593719171037</v>
      </c>
      <c r="AG733" s="11" t="n">
        <f aca="false">IF(AC733&lt;Floor_F,MAX((-(Cost_k*Ubar_c+Delay_D)*(1-EXP(-Rho_a*LN((Top_c-AC733)/(Top_c-Floor_F))/Delta_c))/Rho_a+EXP(-Rho_a*LN((Top_c-AC733)/(Top_c-Floor_F))/Delta_c)*(-Cost_k*Delta_c*Floor_F/Rho_a)),(-Delay_D/Rho_a)),(EXP(-Rho_a*LN(AC733/Floor_F)/Delta_c)*(-Cost_k*Delta_c*Floor_F/Rho_a)))</f>
        <v>-175.545950966176</v>
      </c>
      <c r="AH733" s="22" t="n">
        <f aca="false">ABS(AF733-AG733)</f>
        <v>0.0477682048608301</v>
      </c>
    </row>
    <row r="734" customFormat="false" ht="15" hidden="false" customHeight="false" outlineLevel="0" collapsed="false">
      <c r="AC734" s="17" t="n">
        <f aca="false">30+714*$AD$5</f>
        <v>74.625</v>
      </c>
      <c r="AD734" s="17" t="n">
        <f aca="false">-Delta_c*AC734</f>
        <v>-7.55736568331053</v>
      </c>
      <c r="AF734" s="11" t="n">
        <f aca="false">(-AD734/$AD$5*AF733)/(Rho_a-AD734/$AD$5)</f>
        <v>-175.455421247135</v>
      </c>
      <c r="AG734" s="11" t="n">
        <f aca="false">IF(AC734&lt;Floor_F,MAX((-(Cost_k*Ubar_c+Delay_D)*(1-EXP(-Rho_a*LN((Top_c-AC734)/(Top_c-Floor_F))/Delta_c))/Rho_a+EXP(-Rho_a*LN((Top_c-AC734)/(Top_c-Floor_F))/Delta_c)*(-Cost_k*Delta_c*Floor_F/Rho_a)),(-Delay_D/Rho_a)),(EXP(-Rho_a*LN(AC734/Floor_F)/Delta_c)*(-Cost_k*Delta_c*Floor_F/Rho_a)))</f>
        <v>-175.407578273008</v>
      </c>
      <c r="AH734" s="22" t="n">
        <f aca="false">ABS(AF734-AG734)</f>
        <v>0.0478429741272919</v>
      </c>
    </row>
    <row r="735" customFormat="false" ht="15" hidden="false" customHeight="false" outlineLevel="0" collapsed="false">
      <c r="AC735" s="17" t="n">
        <f aca="false">30+715*$AD$5</f>
        <v>74.6875</v>
      </c>
      <c r="AD735" s="17" t="n">
        <f aca="false">-Delta_c*AC735</f>
        <v>-7.56369513530661</v>
      </c>
      <c r="AF735" s="11" t="n">
        <f aca="false">(-AD735/$AD$5*AF734)/(Rho_a-AD735/$AD$5)</f>
        <v>-175.317347795252</v>
      </c>
      <c r="AG735" s="11" t="n">
        <f aca="false">IF(AC735&lt;Floor_F,MAX((-(Cost_k*Ubar_c+Delay_D)*(1-EXP(-Rho_a*LN((Top_c-AC735)/(Top_c-Floor_F))/Delta_c))/Rho_a+EXP(-Rho_a*LN((Top_c-AC735)/(Top_c-Floor_F))/Delta_c)*(-Cost_k*Delta_c*Floor_F/Rho_a)),(-Delay_D/Rho_a)),(EXP(-Rho_a*LN(AC735/Floor_F)/Delta_c)*(-Cost_k*Delta_c*Floor_F/Rho_a)))</f>
        <v>-175.269430355636</v>
      </c>
      <c r="AH735" s="22" t="n">
        <f aca="false">ABS(AF735-AG735)</f>
        <v>0.0479174396157305</v>
      </c>
    </row>
    <row r="736" customFormat="false" ht="15" hidden="false" customHeight="false" outlineLevel="0" collapsed="false">
      <c r="AC736" s="17" t="n">
        <f aca="false">30+716*$AD$5</f>
        <v>74.75</v>
      </c>
      <c r="AD736" s="17" t="n">
        <f aca="false">-Delta_c*AC736</f>
        <v>-7.57002458730268</v>
      </c>
      <c r="AF736" s="11" t="n">
        <f aca="false">(-AD736/$AD$5*AF735)/(Rho_a-AD736/$AD$5)</f>
        <v>-175.179498263812</v>
      </c>
      <c r="AG736" s="11" t="n">
        <f aca="false">IF(AC736&lt;Floor_F,MAX((-(Cost_k*Ubar_c+Delay_D)*(1-EXP(-Rho_a*LN((Top_c-AC736)/(Top_c-Floor_F))/Delta_c))/Rho_a+EXP(-Rho_a*LN((Top_c-AC736)/(Top_c-Floor_F))/Delta_c)*(-Cost_k*Delta_c*Floor_F/Rho_a)),(-Delay_D/Rho_a)),(EXP(-Rho_a*LN(AC736/Floor_F)/Delta_c)*(-Cost_k*Delta_c*Floor_F/Rho_a)))</f>
        <v>-175.131506661291</v>
      </c>
      <c r="AH736" s="22" t="n">
        <f aca="false">ABS(AF736-AG736)</f>
        <v>0.0479916025209661</v>
      </c>
    </row>
    <row r="737" customFormat="false" ht="15" hidden="false" customHeight="false" outlineLevel="0" collapsed="false">
      <c r="AC737" s="17" t="n">
        <f aca="false">30+717*$AD$5</f>
        <v>74.8125</v>
      </c>
      <c r="AD737" s="17" t="n">
        <f aca="false">-Delta_c*AC737</f>
        <v>-7.57635403929875</v>
      </c>
      <c r="AF737" s="11" t="n">
        <f aca="false">(-AD737/$AD$5*AF736)/(Rho_a-AD737/$AD$5)</f>
        <v>-175.041872103055</v>
      </c>
      <c r="AG737" s="11" t="n">
        <f aca="false">IF(AC737&lt;Floor_F,MAX((-(Cost_k*Ubar_c+Delay_D)*(1-EXP(-Rho_a*LN((Top_c-AC737)/(Top_c-Floor_F))/Delta_c))/Rho_a+EXP(-Rho_a*LN((Top_c-AC737)/(Top_c-Floor_F))/Delta_c)*(-Cost_k*Delta_c*Floor_F/Rho_a)),(-Delay_D/Rho_a)),(EXP(-Rho_a*LN(AC737/Floor_F)/Delta_c)*(-Cost_k*Delta_c*Floor_F/Rho_a)))</f>
        <v>-174.993806639023</v>
      </c>
      <c r="AH737" s="22" t="n">
        <f aca="false">ABS(AF737-AG737)</f>
        <v>0.0480654640321916</v>
      </c>
    </row>
    <row r="738" customFormat="false" ht="15" hidden="false" customHeight="false" outlineLevel="0" collapsed="false">
      <c r="AC738" s="17" t="n">
        <f aca="false">30+718*$AD$5</f>
        <v>74.875</v>
      </c>
      <c r="AD738" s="17" t="n">
        <f aca="false">-Delta_c*AC738</f>
        <v>-7.58268349129483</v>
      </c>
      <c r="AF738" s="11" t="n">
        <f aca="false">(-AD738/$AD$5*AF737)/(Rho_a-AD738/$AD$5)</f>
        <v>-174.904468765028</v>
      </c>
      <c r="AG738" s="11" t="n">
        <f aca="false">IF(AC738&lt;Floor_F,MAX((-(Cost_k*Ubar_c+Delay_D)*(1-EXP(-Rho_a*LN((Top_c-AC738)/(Top_c-Floor_F))/Delta_c))/Rho_a+EXP(-Rho_a*LN((Top_c-AC738)/(Top_c-Floor_F))/Delta_c)*(-Cost_k*Delta_c*Floor_F/Rho_a)),(-Delay_D/Rho_a)),(EXP(-Rho_a*LN(AC738/Floor_F)/Delta_c)*(-Cost_k*Delta_c*Floor_F/Rho_a)))</f>
        <v>-174.856329739694</v>
      </c>
      <c r="AH738" s="22" t="n">
        <f aca="false">ABS(AF738-AG738)</f>
        <v>0.0481390253332847</v>
      </c>
    </row>
    <row r="739" customFormat="false" ht="15" hidden="false" customHeight="false" outlineLevel="0" collapsed="false">
      <c r="AC739" s="17" t="n">
        <f aca="false">30+719*$AD$5</f>
        <v>74.9375</v>
      </c>
      <c r="AD739" s="17" t="n">
        <f aca="false">-Delta_c*AC739</f>
        <v>-7.5890129432909</v>
      </c>
      <c r="AF739" s="11" t="n">
        <f aca="false">(-AD739/$AD$5*AF738)/(Rho_a-AD739/$AD$5)</f>
        <v>-174.767287703576</v>
      </c>
      <c r="AG739" s="11" t="n">
        <f aca="false">IF(AC739&lt;Floor_F,MAX((-(Cost_k*Ubar_c+Delay_D)*(1-EXP(-Rho_a*LN((Top_c-AC739)/(Top_c-Floor_F))/Delta_c))/Rho_a+EXP(-Rho_a*LN((Top_c-AC739)/(Top_c-Floor_F))/Delta_c)*(-Cost_k*Delta_c*Floor_F/Rho_a)),(-Delay_D/Rho_a)),(EXP(-Rho_a*LN(AC739/Floor_F)/Delta_c)*(-Cost_k*Delta_c*Floor_F/Rho_a)))</f>
        <v>-174.719075415973</v>
      </c>
      <c r="AH739" s="22" t="n">
        <f aca="false">ABS(AF739-AG739)</f>
        <v>0.0482122876028654</v>
      </c>
    </row>
    <row r="740" customFormat="false" ht="15" hidden="false" customHeight="false" outlineLevel="0" collapsed="false">
      <c r="AC740" s="17" t="n">
        <f aca="false">30+720*$AD$5</f>
        <v>75</v>
      </c>
      <c r="AD740" s="17" t="n">
        <f aca="false">-Delta_c*AC740</f>
        <v>-7.59534239528697</v>
      </c>
      <c r="AF740" s="11" t="n">
        <f aca="false">(-AD740/$AD$5*AF739)/(Rho_a-AD740/$AD$5)</f>
        <v>-174.630328374338</v>
      </c>
      <c r="AG740" s="11" t="n">
        <f aca="false">IF(AC740&lt;Floor_F,MAX((-(Cost_k*Ubar_c+Delay_D)*(1-EXP(-Rho_a*LN((Top_c-AC740)/(Top_c-Floor_F))/Delta_c))/Rho_a+EXP(-Rho_a*LN((Top_c-AC740)/(Top_c-Floor_F))/Delta_c)*(-Cost_k*Delta_c*Floor_F/Rho_a)),(-Delay_D/Rho_a)),(EXP(-Rho_a*LN(AC740/Floor_F)/Delta_c)*(-Cost_k*Delta_c*Floor_F/Rho_a)))</f>
        <v>-174.582043122324</v>
      </c>
      <c r="AH740" s="22" t="n">
        <f aca="false">ABS(AF740-AG740)</f>
        <v>0.0482852520140682</v>
      </c>
    </row>
    <row r="741" customFormat="false" ht="15" hidden="false" customHeight="false" outlineLevel="0" collapsed="false">
      <c r="AC741" s="17" t="n">
        <f aca="false">30+721*$AD$5</f>
        <v>75.0625</v>
      </c>
      <c r="AD741" s="17" t="n">
        <f aca="false">-Delta_c*AC741</f>
        <v>-7.60167184728304</v>
      </c>
      <c r="AF741" s="11" t="n">
        <f aca="false">(-AD741/$AD$5*AF740)/(Rho_a-AD741/$AD$5)</f>
        <v>-174.493590234738</v>
      </c>
      <c r="AG741" s="11" t="n">
        <f aca="false">IF(AC741&lt;Floor_F,MAX((-(Cost_k*Ubar_c+Delay_D)*(1-EXP(-Rho_a*LN((Top_c-AC741)/(Top_c-Floor_F))/Delta_c))/Rho_a+EXP(-Rho_a*LN((Top_c-AC741)/(Top_c-Floor_F))/Delta_c)*(-Cost_k*Delta_c*Floor_F/Rho_a)),(-Delay_D/Rho_a)),(EXP(-Rho_a*LN(AC741/Floor_F)/Delta_c)*(-Cost_k*Delta_c*Floor_F/Rho_a)))</f>
        <v>-174.445232315003</v>
      </c>
      <c r="AH741" s="22" t="n">
        <f aca="false">ABS(AF741-AG741)</f>
        <v>0.04835791973494</v>
      </c>
    </row>
    <row r="742" customFormat="false" ht="15" hidden="false" customHeight="false" outlineLevel="0" collapsed="false">
      <c r="AC742" s="17" t="n">
        <f aca="false">30+722*$AD$5</f>
        <v>75.125</v>
      </c>
      <c r="AD742" s="17" t="n">
        <f aca="false">-Delta_c*AC742</f>
        <v>-7.60800129927911</v>
      </c>
      <c r="AF742" s="11" t="n">
        <f aca="false">(-AD742/$AD$5*AF741)/(Rho_a-AD742/$AD$5)</f>
        <v>-174.357072743976</v>
      </c>
      <c r="AG742" s="11" t="n">
        <f aca="false">IF(AC742&lt;Floor_F,MAX((-(Cost_k*Ubar_c+Delay_D)*(1-EXP(-Rho_a*LN((Top_c-AC742)/(Top_c-Floor_F))/Delta_c))/Rho_a+EXP(-Rho_a*LN((Top_c-AC742)/(Top_c-Floor_F))/Delta_c)*(-Cost_k*Delta_c*Floor_F/Rho_a)),(-Delay_D/Rho_a)),(EXP(-Rho_a*LN(AC742/Floor_F)/Delta_c)*(-Cost_k*Delta_c*Floor_F/Rho_a)))</f>
        <v>-174.308642452048</v>
      </c>
      <c r="AH742" s="22" t="n">
        <f aca="false">ABS(AF742-AG742)</f>
        <v>0.0484302919280992</v>
      </c>
    </row>
    <row r="743" customFormat="false" ht="15" hidden="false" customHeight="false" outlineLevel="0" collapsed="false">
      <c r="AC743" s="17" t="n">
        <f aca="false">30+723*$AD$5</f>
        <v>75.1875</v>
      </c>
      <c r="AD743" s="17" t="n">
        <f aca="false">-Delta_c*AC743</f>
        <v>-7.61433075127519</v>
      </c>
      <c r="AF743" s="11" t="n">
        <f aca="false">(-AD743/$AD$5*AF742)/(Rho_a-AD743/$AD$5)</f>
        <v>-174.220775363025</v>
      </c>
      <c r="AG743" s="11" t="n">
        <f aca="false">IF(AC743&lt;Floor_F,MAX((-(Cost_k*Ubar_c+Delay_D)*(1-EXP(-Rho_a*LN((Top_c-AC743)/(Top_c-Floor_F))/Delta_c))/Rho_a+EXP(-Rho_a*LN((Top_c-AC743)/(Top_c-Floor_F))/Delta_c)*(-Cost_k*Delta_c*Floor_F/Rho_a)),(-Delay_D/Rho_a)),(EXP(-Rho_a*LN(AC743/Floor_F)/Delta_c)*(-Cost_k*Delta_c*Floor_F/Rho_a)))</f>
        <v>-174.172272993274</v>
      </c>
      <c r="AH743" s="22" t="n">
        <f aca="false">ABS(AF743-AG743)</f>
        <v>0.0485023697509917</v>
      </c>
    </row>
    <row r="744" customFormat="false" ht="15" hidden="false" customHeight="false" outlineLevel="0" collapsed="false">
      <c r="AC744" s="17" t="n">
        <f aca="false">30+724*$AD$5</f>
        <v>75.25</v>
      </c>
      <c r="AD744" s="17" t="n">
        <f aca="false">-Delta_c*AC744</f>
        <v>-7.62066020327126</v>
      </c>
      <c r="AF744" s="11" t="n">
        <f aca="false">(-AD744/$AD$5*AF743)/(Rho_a-AD744/$AD$5)</f>
        <v>-174.084697554619</v>
      </c>
      <c r="AG744" s="11" t="n">
        <f aca="false">IF(AC744&lt;Floor_F,MAX((-(Cost_k*Ubar_c+Delay_D)*(1-EXP(-Rho_a*LN((Top_c-AC744)/(Top_c-Floor_F))/Delta_c))/Rho_a+EXP(-Rho_a*LN((Top_c-AC744)/(Top_c-Floor_F))/Delta_c)*(-Cost_k*Delta_c*Floor_F/Rho_a)),(-Delay_D/Rho_a)),(EXP(-Rho_a*LN(AC744/Floor_F)/Delta_c)*(-Cost_k*Delta_c*Floor_F/Rho_a)))</f>
        <v>-174.036123400263</v>
      </c>
      <c r="AH744" s="22" t="n">
        <f aca="false">ABS(AF744-AG744)</f>
        <v>0.0485741543558333</v>
      </c>
    </row>
    <row r="745" customFormat="false" ht="15" hidden="false" customHeight="false" outlineLevel="0" collapsed="false">
      <c r="AC745" s="17" t="n">
        <f aca="false">30+725*$AD$5</f>
        <v>75.3125</v>
      </c>
      <c r="AD745" s="17" t="n">
        <f aca="false">-Delta_c*AC745</f>
        <v>-7.62698965526733</v>
      </c>
      <c r="AF745" s="11" t="n">
        <f aca="false">(-AD745/$AD$5*AF744)/(Rho_a-AD745/$AD$5)</f>
        <v>-173.948838783248</v>
      </c>
      <c r="AG745" s="11" t="n">
        <f aca="false">IF(AC745&lt;Floor_F,MAX((-(Cost_k*Ubar_c+Delay_D)*(1-EXP(-Rho_a*LN((Top_c-AC745)/(Top_c-Floor_F))/Delta_c))/Rho_a+EXP(-Rho_a*LN((Top_c-AC745)/(Top_c-Floor_F))/Delta_c)*(-Cost_k*Delta_c*Floor_F/Rho_a)),(-Delay_D/Rho_a)),(EXP(-Rho_a*LN(AC745/Floor_F)/Delta_c)*(-Cost_k*Delta_c*Floor_F/Rho_a)))</f>
        <v>-173.900193136358</v>
      </c>
      <c r="AH745" s="22" t="n">
        <f aca="false">ABS(AF745-AG745)</f>
        <v>0.0486456468896677</v>
      </c>
    </row>
    <row r="746" customFormat="false" ht="15" hidden="false" customHeight="false" outlineLevel="0" collapsed="false">
      <c r="AC746" s="17" t="n">
        <f aca="false">30+726*$AD$5</f>
        <v>75.375</v>
      </c>
      <c r="AD746" s="17" t="n">
        <f aca="false">-Delta_c*AC746</f>
        <v>-7.6333191072634</v>
      </c>
      <c r="AF746" s="11" t="n">
        <f aca="false">(-AD746/$AD$5*AF745)/(Rho_a-AD746/$AD$5)</f>
        <v>-173.813198515151</v>
      </c>
      <c r="AG746" s="11" t="n">
        <f aca="false">IF(AC746&lt;Floor_F,MAX((-(Cost_k*Ubar_c+Delay_D)*(1-EXP(-Rho_a*LN((Top_c-AC746)/(Top_c-Floor_F))/Delta_c))/Rho_a+EXP(-Rho_a*LN((Top_c-AC746)/(Top_c-Floor_F))/Delta_c)*(-Cost_k*Delta_c*Floor_F/Rho_a)),(-Delay_D/Rho_a)),(EXP(-Rho_a*LN(AC746/Floor_F)/Delta_c)*(-Cost_k*Delta_c*Floor_F/Rho_a)))</f>
        <v>-173.764481666657</v>
      </c>
      <c r="AH746" s="22" t="n">
        <f aca="false">ABS(AF746-AG746)</f>
        <v>0.0487168484943652</v>
      </c>
    </row>
    <row r="747" customFormat="false" ht="15" hidden="false" customHeight="false" outlineLevel="0" collapsed="false">
      <c r="AC747" s="17" t="n">
        <f aca="false">30+727*$AD$5</f>
        <v>75.4375</v>
      </c>
      <c r="AD747" s="17" t="n">
        <f aca="false">-Delta_c*AC747</f>
        <v>-7.63964855925948</v>
      </c>
      <c r="AF747" s="11" t="n">
        <f aca="false">(-AD747/$AD$5*AF746)/(Rho_a-AD747/$AD$5)</f>
        <v>-173.677776218309</v>
      </c>
      <c r="AG747" s="11" t="n">
        <f aca="false">IF(AC747&lt;Floor_F,MAX((-(Cost_k*Ubar_c+Delay_D)*(1-EXP(-Rho_a*LN((Top_c-AC747)/(Top_c-Floor_F))/Delta_c))/Rho_a+EXP(-Rho_a*LN((Top_c-AC747)/(Top_c-Floor_F))/Delta_c)*(-Cost_k*Delta_c*Floor_F/Rho_a)),(-Delay_D/Rho_a)),(EXP(-Rho_a*LN(AC747/Floor_F)/Delta_c)*(-Cost_k*Delta_c*Floor_F/Rho_a)))</f>
        <v>-173.628988458002</v>
      </c>
      <c r="AH747" s="22" t="n">
        <f aca="false">ABS(AF747-AG747)</f>
        <v>0.0487877603067375</v>
      </c>
    </row>
    <row r="748" customFormat="false" ht="15" hidden="false" customHeight="false" outlineLevel="0" collapsed="false">
      <c r="AC748" s="17" t="n">
        <f aca="false">30+728*$AD$5</f>
        <v>75.5</v>
      </c>
      <c r="AD748" s="17" t="n">
        <f aca="false">-Delta_c*AC748</f>
        <v>-7.64597801125555</v>
      </c>
      <c r="AF748" s="11" t="n">
        <f aca="false">(-AD748/$AD$5*AF747)/(Rho_a-AD748/$AD$5)</f>
        <v>-173.542571362437</v>
      </c>
      <c r="AG748" s="11" t="n">
        <f aca="false">IF(AC748&lt;Floor_F,MAX((-(Cost_k*Ubar_c+Delay_D)*(1-EXP(-Rho_a*LN((Top_c-AC748)/(Top_c-Floor_F))/Delta_c))/Rho_a+EXP(-Rho_a*LN((Top_c-AC748)/(Top_c-Floor_F))/Delta_c)*(-Cost_k*Delta_c*Floor_F/Rho_a)),(-Delay_D/Rho_a)),(EXP(-Rho_a*LN(AC748/Floor_F)/Delta_c)*(-Cost_k*Delta_c*Floor_F/Rho_a)))</f>
        <v>-173.493712978978</v>
      </c>
      <c r="AH748" s="22" t="n">
        <f aca="false">ABS(AF748-AG748)</f>
        <v>0.0488583834584233</v>
      </c>
    </row>
    <row r="749" customFormat="false" ht="15" hidden="false" customHeight="false" outlineLevel="0" collapsed="false">
      <c r="AC749" s="17" t="n">
        <f aca="false">30+729*$AD$5</f>
        <v>75.5625</v>
      </c>
      <c r="AD749" s="17" t="n">
        <f aca="false">-Delta_c*AC749</f>
        <v>-7.65230746325162</v>
      </c>
      <c r="AF749" s="11" t="n">
        <f aca="false">(-AD749/$AD$5*AF748)/(Rho_a-AD749/$AD$5)</f>
        <v>-173.407583418976</v>
      </c>
      <c r="AG749" s="11" t="n">
        <f aca="false">IF(AC749&lt;Floor_F,MAX((-(Cost_k*Ubar_c+Delay_D)*(1-EXP(-Rho_a*LN((Top_c-AC749)/(Top_c-Floor_F))/Delta_c))/Rho_a+EXP(-Rho_a*LN((Top_c-AC749)/(Top_c-Floor_F))/Delta_c)*(-Cost_k*Delta_c*Floor_F/Rho_a)),(-Delay_D/Rho_a)),(EXP(-Rho_a*LN(AC749/Floor_F)/Delta_c)*(-Cost_k*Delta_c*Floor_F/Rho_a)))</f>
        <v>-173.3586546999</v>
      </c>
      <c r="AH749" s="22" t="n">
        <f aca="false">ABS(AF749-AG749)</f>
        <v>0.0489287190759455</v>
      </c>
    </row>
    <row r="750" customFormat="false" ht="15" hidden="false" customHeight="false" outlineLevel="0" collapsed="false">
      <c r="AC750" s="17" t="n">
        <f aca="false">30+730*$AD$5</f>
        <v>75.625</v>
      </c>
      <c r="AD750" s="17" t="n">
        <f aca="false">-Delta_c*AC750</f>
        <v>-7.65863691524769</v>
      </c>
      <c r="AF750" s="11" t="n">
        <f aca="false">(-AD750/$AD$5*AF749)/(Rho_a-AD750/$AD$5)</f>
        <v>-173.272811861089</v>
      </c>
      <c r="AG750" s="11" t="n">
        <f aca="false">IF(AC750&lt;Floor_F,MAX((-(Cost_k*Ubar_c+Delay_D)*(1-EXP(-Rho_a*LN((Top_c-AC750)/(Top_c-Floor_F))/Delta_c))/Rho_a+EXP(-Rho_a*LN((Top_c-AC750)/(Top_c-Floor_F))/Delta_c)*(-Cost_k*Delta_c*Floor_F/Rho_a)),(-Delay_D/Rho_a)),(EXP(-Rho_a*LN(AC750/Floor_F)/Delta_c)*(-Cost_k*Delta_c*Floor_F/Rho_a)))</f>
        <v>-173.223813092808</v>
      </c>
      <c r="AH750" s="22" t="n">
        <f aca="false">ABS(AF750-AG750)</f>
        <v>0.0489987682808533</v>
      </c>
    </row>
    <row r="751" customFormat="false" ht="15" hidden="false" customHeight="false" outlineLevel="0" collapsed="false">
      <c r="AC751" s="17" t="n">
        <f aca="false">30+731*$AD$5</f>
        <v>75.6875</v>
      </c>
      <c r="AD751" s="17" t="n">
        <f aca="false">-Delta_c*AC751</f>
        <v>-7.66496636724377</v>
      </c>
      <c r="AF751" s="11" t="n">
        <f aca="false">(-AD751/$AD$5*AF750)/(Rho_a-AD751/$AD$5)</f>
        <v>-173.138256163653</v>
      </c>
      <c r="AG751" s="11" t="n">
        <f aca="false">IF(AC751&lt;Floor_F,MAX((-(Cost_k*Ubar_c+Delay_D)*(1-EXP(-Rho_a*LN((Top_c-AC751)/(Top_c-Floor_F))/Delta_c))/Rho_a+EXP(-Rho_a*LN((Top_c-AC751)/(Top_c-Floor_F))/Delta_c)*(-Cost_k*Delta_c*Floor_F/Rho_a)),(-Delay_D/Rho_a)),(EXP(-Rho_a*LN(AC751/Floor_F)/Delta_c)*(-Cost_k*Delta_c*Floor_F/Rho_a)))</f>
        <v>-173.089187631463</v>
      </c>
      <c r="AH751" s="22" t="n">
        <f aca="false">ABS(AF751-AG751)</f>
        <v>0.0490685321896933</v>
      </c>
    </row>
    <row r="752" customFormat="false" ht="15" hidden="false" customHeight="false" outlineLevel="0" collapsed="false">
      <c r="AC752" s="17" t="n">
        <f aca="false">30+732*$AD$5</f>
        <v>75.75</v>
      </c>
      <c r="AD752" s="17" t="n">
        <f aca="false">-Delta_c*AC752</f>
        <v>-7.67129581923984</v>
      </c>
      <c r="AF752" s="11" t="n">
        <f aca="false">(-AD752/$AD$5*AF751)/(Rho_a-AD752/$AD$5)</f>
        <v>-173.003915803248</v>
      </c>
      <c r="AG752" s="11" t="n">
        <f aca="false">IF(AC752&lt;Floor_F,MAX((-(Cost_k*Ubar_c+Delay_D)*(1-EXP(-Rho_a*LN((Top_c-AC752)/(Top_c-Floor_F))/Delta_c))/Rho_a+EXP(-Rho_a*LN((Top_c-AC752)/(Top_c-Floor_F))/Delta_c)*(-Cost_k*Delta_c*Floor_F/Rho_a)),(-Delay_D/Rho_a)),(EXP(-Rho_a*LN(AC752/Floor_F)/Delta_c)*(-Cost_k*Delta_c*Floor_F/Rho_a)))</f>
        <v>-172.954777791334</v>
      </c>
      <c r="AH752" s="22" t="n">
        <f aca="false">ABS(AF752-AG752)</f>
        <v>0.0491380119139251</v>
      </c>
    </row>
    <row r="753" customFormat="false" ht="15" hidden="false" customHeight="false" outlineLevel="0" collapsed="false">
      <c r="AC753" s="17" t="n">
        <f aca="false">30+733*$AD$5</f>
        <v>75.8125</v>
      </c>
      <c r="AD753" s="17" t="n">
        <f aca="false">-Delta_c*AC753</f>
        <v>-7.67762527123591</v>
      </c>
      <c r="AF753" s="11" t="n">
        <f aca="false">(-AD753/$AD$5*AF752)/(Rho_a-AD753/$AD$5)</f>
        <v>-172.869790258156</v>
      </c>
      <c r="AG753" s="11" t="n">
        <f aca="false">IF(AC753&lt;Floor_F,MAX((-(Cost_k*Ubar_c+Delay_D)*(1-EXP(-Rho_a*LN((Top_c-AC753)/(Top_c-Floor_F))/Delta_c))/Rho_a+EXP(-Rho_a*LN((Top_c-AC753)/(Top_c-Floor_F))/Delta_c)*(-Cost_k*Delta_c*Floor_F/Rho_a)),(-Delay_D/Rho_a)),(EXP(-Rho_a*LN(AC753/Floor_F)/Delta_c)*(-Cost_k*Delta_c*Floor_F/Rho_a)))</f>
        <v>-172.820583049596</v>
      </c>
      <c r="AH753" s="22" t="n">
        <f aca="false">ABS(AF753-AG753)</f>
        <v>0.0492072085601478</v>
      </c>
    </row>
    <row r="754" customFormat="false" ht="15" hidden="false" customHeight="false" outlineLevel="0" collapsed="false">
      <c r="AC754" s="17" t="n">
        <f aca="false">30+734*$AD$5</f>
        <v>75.875</v>
      </c>
      <c r="AD754" s="17" t="n">
        <f aca="false">-Delta_c*AC754</f>
        <v>-7.68395472323198</v>
      </c>
      <c r="AF754" s="11" t="n">
        <f aca="false">(-AD754/$AD$5*AF753)/(Rho_a-AD754/$AD$5)</f>
        <v>-172.735879008351</v>
      </c>
      <c r="AG754" s="11" t="n">
        <f aca="false">IF(AC754&lt;Floor_F,MAX((-(Cost_k*Ubar_c+Delay_D)*(1-EXP(-Rho_a*LN((Top_c-AC754)/(Top_c-Floor_F))/Delta_c))/Rho_a+EXP(-Rho_a*LN((Top_c-AC754)/(Top_c-Floor_F))/Delta_c)*(-Cost_k*Delta_c*Floor_F/Rho_a)),(-Delay_D/Rho_a)),(EXP(-Rho_a*LN(AC754/Floor_F)/Delta_c)*(-Cost_k*Delta_c*Floor_F/Rho_a)))</f>
        <v>-172.686602885121</v>
      </c>
      <c r="AH754" s="22" t="n">
        <f aca="false">ABS(AF754-AG754)</f>
        <v>0.0492761232299301</v>
      </c>
    </row>
    <row r="755" customFormat="false" ht="15" hidden="false" customHeight="false" outlineLevel="0" collapsed="false">
      <c r="AC755" s="17" t="n">
        <f aca="false">30+735*$AD$5</f>
        <v>75.9375</v>
      </c>
      <c r="AD755" s="17" t="n">
        <f aca="false">-Delta_c*AC755</f>
        <v>-7.69028417522806</v>
      </c>
      <c r="AF755" s="11" t="n">
        <f aca="false">(-AD755/$AD$5*AF754)/(Rho_a-AD755/$AD$5)</f>
        <v>-172.602181535492</v>
      </c>
      <c r="AG755" s="11" t="n">
        <f aca="false">IF(AC755&lt;Floor_F,MAX((-(Cost_k*Ubar_c+Delay_D)*(1-EXP(-Rho_a*LN((Top_c-AC755)/(Top_c-Floor_F))/Delta_c))/Rho_a+EXP(-Rho_a*LN((Top_c-AC755)/(Top_c-Floor_F))/Delta_c)*(-Cost_k*Delta_c*Floor_F/Rho_a)),(-Delay_D/Rho_a)),(EXP(-Rho_a*LN(AC755/Floor_F)/Delta_c)*(-Cost_k*Delta_c*Floor_F/Rho_a)))</f>
        <v>-172.552836778472</v>
      </c>
      <c r="AH755" s="22" t="n">
        <f aca="false">ABS(AF755-AG755)</f>
        <v>0.0493447570198953</v>
      </c>
    </row>
    <row r="756" customFormat="false" ht="15" hidden="false" customHeight="false" outlineLevel="0" collapsed="false">
      <c r="AC756" s="17" t="n">
        <f aca="false">30+736*$AD$5</f>
        <v>76</v>
      </c>
      <c r="AD756" s="17" t="n">
        <f aca="false">-Delta_c*AC756</f>
        <v>-7.69661362722413</v>
      </c>
      <c r="AF756" s="11" t="n">
        <f aca="false">(-AD756/$AD$5*AF755)/(Rho_a-AD756/$AD$5)</f>
        <v>-172.468697322916</v>
      </c>
      <c r="AG756" s="11" t="n">
        <f aca="false">IF(AC756&lt;Floor_F,MAX((-(Cost_k*Ubar_c+Delay_D)*(1-EXP(-Rho_a*LN((Top_c-AC756)/(Top_c-Floor_F))/Delta_c))/Rho_a+EXP(-Rho_a*LN((Top_c-AC756)/(Top_c-Floor_F))/Delta_c)*(-Cost_k*Delta_c*Floor_F/Rho_a)),(-Delay_D/Rho_a)),(EXP(-Rho_a*LN(AC756/Floor_F)/Delta_c)*(-Cost_k*Delta_c*Floor_F/Rho_a)))</f>
        <v>-172.419284211894</v>
      </c>
      <c r="AH756" s="22" t="n">
        <f aca="false">ABS(AF756-AG756)</f>
        <v>0.04941311102192</v>
      </c>
    </row>
    <row r="757" customFormat="false" ht="15" hidden="false" customHeight="false" outlineLevel="0" collapsed="false">
      <c r="AC757" s="17" t="n">
        <f aca="false">30+737*$AD$5</f>
        <v>76.0625</v>
      </c>
      <c r="AD757" s="17" t="n">
        <f aca="false">-Delta_c*AC757</f>
        <v>-7.7029430792202</v>
      </c>
      <c r="AF757" s="11" t="n">
        <f aca="false">(-AD757/$AD$5*AF756)/(Rho_a-AD757/$AD$5)</f>
        <v>-172.335425855634</v>
      </c>
      <c r="AG757" s="11" t="n">
        <f aca="false">IF(AC757&lt;Floor_F,MAX((-(Cost_k*Ubar_c+Delay_D)*(1-EXP(-Rho_a*LN((Top_c-AC757)/(Top_c-Floor_F))/Delta_c))/Rho_a+EXP(-Rho_a*LN((Top_c-AC757)/(Top_c-Floor_F))/Delta_c)*(-Cost_k*Delta_c*Floor_F/Rho_a)),(-Delay_D/Rho_a)),(EXP(-Rho_a*LN(AC757/Floor_F)/Delta_c)*(-Cost_k*Delta_c*Floor_F/Rho_a)))</f>
        <v>-172.285944669311</v>
      </c>
      <c r="AH757" s="22" t="n">
        <f aca="false">ABS(AF757-AG757)</f>
        <v>0.0494811863228506</v>
      </c>
    </row>
    <row r="758" customFormat="false" ht="15" hidden="false" customHeight="false" outlineLevel="0" collapsed="false">
      <c r="AC758" s="17" t="n">
        <f aca="false">30+738*$AD$5</f>
        <v>76.125</v>
      </c>
      <c r="AD758" s="17" t="n">
        <f aca="false">-Delta_c*AC758</f>
        <v>-7.70927253121627</v>
      </c>
      <c r="AF758" s="11" t="n">
        <f aca="false">(-AD758/$AD$5*AF757)/(Rho_a-AD758/$AD$5)</f>
        <v>-172.20236662032</v>
      </c>
      <c r="AG758" s="11" t="n">
        <f aca="false">IF(AC758&lt;Floor_F,MAX((-(Cost_k*Ubar_c+Delay_D)*(1-EXP(-Rho_a*LN((Top_c-AC758)/(Top_c-Floor_F))/Delta_c))/Rho_a+EXP(-Rho_a*LN((Top_c-AC758)/(Top_c-Floor_F))/Delta_c)*(-Cost_k*Delta_c*Floor_F/Rho_a)),(-Delay_D/Rho_a)),(EXP(-Rho_a*LN(AC758/Floor_F)/Delta_c)*(-Cost_k*Delta_c*Floor_F/Rho_a)))</f>
        <v>-172.152817636315</v>
      </c>
      <c r="AH758" s="22" t="n">
        <f aca="false">ABS(AF758-AG758)</f>
        <v>0.0495489840047298</v>
      </c>
    </row>
    <row r="759" customFormat="false" ht="15" hidden="false" customHeight="false" outlineLevel="0" collapsed="false">
      <c r="AC759" s="17" t="n">
        <f aca="false">30+739*$AD$5</f>
        <v>76.1875</v>
      </c>
      <c r="AD759" s="17" t="n">
        <f aca="false">-Delta_c*AC759</f>
        <v>-7.71560198321235</v>
      </c>
      <c r="AF759" s="11" t="n">
        <f aca="false">(-AD759/$AD$5*AF758)/(Rho_a-AD759/$AD$5)</f>
        <v>-172.069519105307</v>
      </c>
      <c r="AG759" s="11" t="n">
        <f aca="false">IF(AC759&lt;Floor_F,MAX((-(Cost_k*Ubar_c+Delay_D)*(1-EXP(-Rho_a*LN((Top_c-AC759)/(Top_c-Floor_F))/Delta_c))/Rho_a+EXP(-Rho_a*LN((Top_c-AC759)/(Top_c-Floor_F))/Delta_c)*(-Cost_k*Delta_c*Floor_F/Rho_a)),(-Delay_D/Rho_a)),(EXP(-Rho_a*LN(AC759/Floor_F)/Delta_c)*(-Cost_k*Delta_c*Floor_F/Rho_a)))</f>
        <v>-172.019902600162</v>
      </c>
      <c r="AH759" s="22" t="n">
        <f aca="false">ABS(AF759-AG759)</f>
        <v>0.0496165051448259</v>
      </c>
    </row>
    <row r="760" customFormat="false" ht="15" hidden="false" customHeight="false" outlineLevel="0" collapsed="false">
      <c r="AC760" s="17" t="n">
        <f aca="false">30+740*$AD$5</f>
        <v>76.25</v>
      </c>
      <c r="AD760" s="17" t="n">
        <f aca="false">-Delta_c*AC760</f>
        <v>-7.72193143520842</v>
      </c>
      <c r="AF760" s="11" t="n">
        <f aca="false">(-AD760/$AD$5*AF759)/(Rho_a-AD760/$AD$5)</f>
        <v>-171.93688280058</v>
      </c>
      <c r="AG760" s="11" t="n">
        <f aca="false">IF(AC760&lt;Floor_F,MAX((-(Cost_k*Ubar_c+Delay_D)*(1-EXP(-Rho_a*LN((Top_c-AC760)/(Top_c-Floor_F))/Delta_c))/Rho_a+EXP(-Rho_a*LN((Top_c-AC760)/(Top_c-Floor_F))/Delta_c)*(-Cost_k*Delta_c*Floor_F/Rho_a)),(-Delay_D/Rho_a)),(EXP(-Rho_a*LN(AC760/Floor_F)/Delta_c)*(-Cost_k*Delta_c*Floor_F/Rho_a)))</f>
        <v>-171.887199049764</v>
      </c>
      <c r="AH760" s="22" t="n">
        <f aca="false">ABS(AF760-AG760)</f>
        <v>0.0496837508156318</v>
      </c>
    </row>
    <row r="761" customFormat="false" ht="15" hidden="false" customHeight="false" outlineLevel="0" collapsed="false">
      <c r="AC761" s="17" t="n">
        <f aca="false">30+741*$AD$5</f>
        <v>76.3125</v>
      </c>
      <c r="AD761" s="17" t="n">
        <f aca="false">-Delta_c*AC761</f>
        <v>-7.72826088720449</v>
      </c>
      <c r="AF761" s="11" t="n">
        <f aca="false">(-AD761/$AD$5*AF760)/(Rho_a-AD761/$AD$5)</f>
        <v>-171.804457197769</v>
      </c>
      <c r="AG761" s="11" t="n">
        <f aca="false">IF(AC761&lt;Floor_F,MAX((-(Cost_k*Ubar_c+Delay_D)*(1-EXP(-Rho_a*LN((Top_c-AC761)/(Top_c-Floor_F))/Delta_c))/Rho_a+EXP(-Rho_a*LN((Top_c-AC761)/(Top_c-Floor_F))/Delta_c)*(-Cost_k*Delta_c*Floor_F/Rho_a)),(-Delay_D/Rho_a)),(EXP(-Rho_a*LN(AC761/Floor_F)/Delta_c)*(-Cost_k*Delta_c*Floor_F/Rho_a)))</f>
        <v>-171.754706475684</v>
      </c>
      <c r="AH761" s="22" t="n">
        <f aca="false">ABS(AF761-AG761)</f>
        <v>0.0497507220847524</v>
      </c>
    </row>
    <row r="762" customFormat="false" ht="15" hidden="false" customHeight="false" outlineLevel="0" collapsed="false">
      <c r="AC762" s="17" t="n">
        <f aca="false">30+742*$AD$5</f>
        <v>76.375</v>
      </c>
      <c r="AD762" s="17" t="n">
        <f aca="false">-Delta_c*AC762</f>
        <v>-7.73459033920056</v>
      </c>
      <c r="AF762" s="11" t="n">
        <f aca="false">(-AD762/$AD$5*AF761)/(Rho_a-AD762/$AD$5)</f>
        <v>-171.672241790142</v>
      </c>
      <c r="AG762" s="11" t="n">
        <f aca="false">IF(AC762&lt;Floor_F,MAX((-(Cost_k*Ubar_c+Delay_D)*(1-EXP(-Rho_a*LN((Top_c-AC762)/(Top_c-Floor_F))/Delta_c))/Rho_a+EXP(-Rho_a*LN((Top_c-AC762)/(Top_c-Floor_F))/Delta_c)*(-Cost_k*Delta_c*Floor_F/Rho_a)),(-Delay_D/Rho_a)),(EXP(-Rho_a*LN(AC762/Floor_F)/Delta_c)*(-Cost_k*Delta_c*Floor_F/Rho_a)))</f>
        <v>-171.622424370126</v>
      </c>
      <c r="AH762" s="22" t="n">
        <f aca="false">ABS(AF762-AG762)</f>
        <v>0.049817420015188</v>
      </c>
    </row>
    <row r="763" customFormat="false" ht="15" hidden="false" customHeight="false" outlineLevel="0" collapsed="false">
      <c r="AC763" s="17" t="n">
        <f aca="false">30+743*$AD$5</f>
        <v>76.4375</v>
      </c>
      <c r="AD763" s="17" t="n">
        <f aca="false">-Delta_c*AC763</f>
        <v>-7.74091979119664</v>
      </c>
      <c r="AF763" s="11" t="n">
        <f aca="false">(-AD763/$AD$5*AF762)/(Rho_a-AD763/$AD$5)</f>
        <v>-171.540236072598</v>
      </c>
      <c r="AG763" s="11" t="n">
        <f aca="false">IF(AC763&lt;Floor_F,MAX((-(Cost_k*Ubar_c+Delay_D)*(1-EXP(-Rho_a*LN((Top_c-AC763)/(Top_c-Floor_F))/Delta_c))/Rho_a+EXP(-Rho_a*LN((Top_c-AC763)/(Top_c-Floor_F))/Delta_c)*(-Cost_k*Delta_c*Floor_F/Rho_a)),(-Delay_D/Rho_a)),(EXP(-Rho_a*LN(AC763/Floor_F)/Delta_c)*(-Cost_k*Delta_c*Floor_F/Rho_a)))</f>
        <v>-171.490352226933</v>
      </c>
      <c r="AH763" s="22" t="n">
        <f aca="false">ABS(AF763-AG763)</f>
        <v>0.049883845665164</v>
      </c>
    </row>
    <row r="764" customFormat="false" ht="15" hidden="false" customHeight="false" outlineLevel="0" collapsed="false">
      <c r="AC764" s="17" t="n">
        <f aca="false">30+744*$AD$5</f>
        <v>76.5</v>
      </c>
      <c r="AD764" s="17" t="n">
        <f aca="false">-Delta_c*AC764</f>
        <v>-7.74724924319271</v>
      </c>
      <c r="AF764" s="11" t="n">
        <f aca="false">(-AD764/$AD$5*AF763)/(Rho_a-AD764/$AD$5)</f>
        <v>-171.408439541663</v>
      </c>
      <c r="AG764" s="11" t="n">
        <f aca="false">IF(AC764&lt;Floor_F,MAX((-(Cost_k*Ubar_c+Delay_D)*(1-EXP(-Rho_a*LN((Top_c-AC764)/(Top_c-Floor_F))/Delta_c))/Rho_a+EXP(-Rho_a*LN((Top_c-AC764)/(Top_c-Floor_F))/Delta_c)*(-Cost_k*Delta_c*Floor_F/Rho_a)),(-Delay_D/Rho_a)),(EXP(-Rho_a*LN(AC764/Floor_F)/Delta_c)*(-Cost_k*Delta_c*Floor_F/Rho_a)))</f>
        <v>-171.358489541575</v>
      </c>
      <c r="AH764" s="22" t="n">
        <f aca="false">ABS(AF764-AG764)</f>
        <v>0.0499500000881596</v>
      </c>
    </row>
    <row r="765" customFormat="false" ht="15" hidden="false" customHeight="false" outlineLevel="0" collapsed="false">
      <c r="AC765" s="17" t="n">
        <f aca="false">30+745*$AD$5</f>
        <v>76.5625</v>
      </c>
      <c r="AD765" s="17" t="n">
        <f aca="false">-Delta_c*AC765</f>
        <v>-7.75357869518878</v>
      </c>
      <c r="AF765" s="11" t="n">
        <f aca="false">(-AD765/$AD$5*AF764)/(Rho_a-AD765/$AD$5)</f>
        <v>-171.276851695479</v>
      </c>
      <c r="AG765" s="11" t="n">
        <f aca="false">IF(AC765&lt;Floor_F,MAX((-(Cost_k*Ubar_c+Delay_D)*(1-EXP(-Rho_a*LN((Top_c-AC765)/(Top_c-Floor_F))/Delta_c))/Rho_a+EXP(-Rho_a*LN((Top_c-AC765)/(Top_c-Floor_F))/Delta_c)*(-Cost_k*Delta_c*Floor_F/Rho_a)),(-Delay_D/Rho_a)),(EXP(-Rho_a*LN(AC765/Floor_F)/Delta_c)*(-Cost_k*Delta_c*Floor_F/Rho_a)))</f>
        <v>-171.226835811146</v>
      </c>
      <c r="AH765" s="22" t="n">
        <f aca="false">ABS(AF765-AG765)</f>
        <v>0.0500158843330212</v>
      </c>
    </row>
    <row r="766" customFormat="false" ht="15" hidden="false" customHeight="false" outlineLevel="0" collapsed="false">
      <c r="AC766" s="17" t="n">
        <f aca="false">30+746*$AD$5</f>
        <v>76.625</v>
      </c>
      <c r="AD766" s="17" t="n">
        <f aca="false">-Delta_c*AC766</f>
        <v>-7.75990814718485</v>
      </c>
      <c r="AF766" s="11" t="n">
        <f aca="false">(-AD766/$AD$5*AF765)/(Rho_a-AD766/$AD$5)</f>
        <v>-171.145472033803</v>
      </c>
      <c r="AG766" s="11" t="n">
        <f aca="false">IF(AC766&lt;Floor_F,MAX((-(Cost_k*Ubar_c+Delay_D)*(1-EXP(-Rho_a*LN((Top_c-AC766)/(Top_c-Floor_F))/Delta_c))/Rho_a+EXP(-Rho_a*LN((Top_c-AC766)/(Top_c-Floor_F))/Delta_c)*(-Cost_k*Delta_c*Floor_F/Rho_a)),(-Delay_D/Rho_a)),(EXP(-Rho_a*LN(AC766/Floor_F)/Delta_c)*(-Cost_k*Delta_c*Floor_F/Rho_a)))</f>
        <v>-171.095390534359</v>
      </c>
      <c r="AH766" s="22" t="n">
        <f aca="false">ABS(AF766-AG766)</f>
        <v>0.0500814994439907</v>
      </c>
    </row>
    <row r="767" customFormat="false" ht="15" hidden="false" customHeight="false" outlineLevel="0" collapsed="false">
      <c r="AC767" s="17" t="n">
        <f aca="false">30+747*$AD$5</f>
        <v>76.6875</v>
      </c>
      <c r="AD767" s="17" t="n">
        <f aca="false">-Delta_c*AC767</f>
        <v>-7.76623759918093</v>
      </c>
      <c r="AF767" s="11" t="n">
        <f aca="false">(-AD767/$AD$5*AF766)/(Rho_a-AD767/$AD$5)</f>
        <v>-171.014300057995</v>
      </c>
      <c r="AG767" s="11" t="n">
        <f aca="false">IF(AC767&lt;Floor_F,MAX((-(Cost_k*Ubar_c+Delay_D)*(1-EXP(-Rho_a*LN((Top_c-AC767)/(Top_c-Floor_F))/Delta_c))/Rho_a+EXP(-Rho_a*LN((Top_c-AC767)/(Top_c-Floor_F))/Delta_c)*(-Cost_k*Delta_c*Floor_F/Rho_a)),(-Delay_D/Rho_a)),(EXP(-Rho_a*LN(AC767/Floor_F)/Delta_c)*(-Cost_k*Delta_c*Floor_F/Rho_a)))</f>
        <v>-170.964153211535</v>
      </c>
      <c r="AH767" s="22" t="n">
        <f aca="false">ABS(AF767-AG767)</f>
        <v>0.0501468464606489</v>
      </c>
    </row>
    <row r="768" customFormat="false" ht="15" hidden="false" customHeight="false" outlineLevel="0" collapsed="false">
      <c r="AC768" s="17" t="n">
        <f aca="false">30+748*$AD$5</f>
        <v>76.75</v>
      </c>
      <c r="AD768" s="17" t="n">
        <f aca="false">-Delta_c*AC768</f>
        <v>-7.772567051177</v>
      </c>
      <c r="AF768" s="11" t="n">
        <f aca="false">(-AD768/$AD$5*AF767)/(Rho_a-AD768/$AD$5)</f>
        <v>-170.883335271016</v>
      </c>
      <c r="AG768" s="11" t="n">
        <f aca="false">IF(AC768&lt;Floor_F,MAX((-(Cost_k*Ubar_c+Delay_D)*(1-EXP(-Rho_a*LN((Top_c-AC768)/(Top_c-Floor_F))/Delta_c))/Rho_a+EXP(-Rho_a*LN((Top_c-AC768)/(Top_c-Floor_F))/Delta_c)*(-Cost_k*Delta_c*Floor_F/Rho_a)),(-Delay_D/Rho_a)),(EXP(-Rho_a*LN(AC768/Floor_F)/Delta_c)*(-Cost_k*Delta_c*Floor_F/Rho_a)))</f>
        <v>-170.833123344598</v>
      </c>
      <c r="AH768" s="22" t="n">
        <f aca="false">ABS(AF768-AG768)</f>
        <v>0.0502119264179726</v>
      </c>
    </row>
    <row r="769" customFormat="false" ht="15" hidden="false" customHeight="false" outlineLevel="0" collapsed="false">
      <c r="AC769" s="17" t="n">
        <f aca="false">30+749*$AD$5</f>
        <v>76.8125</v>
      </c>
      <c r="AD769" s="17" t="n">
        <f aca="false">-Delta_c*AC769</f>
        <v>-7.77889650317307</v>
      </c>
      <c r="AF769" s="11" t="n">
        <f aca="false">(-AD769/$AD$5*AF768)/(Rho_a-AD769/$AD$5)</f>
        <v>-170.752577177418</v>
      </c>
      <c r="AG769" s="11" t="n">
        <f aca="false">IF(AC769&lt;Floor_F,MAX((-(Cost_k*Ubar_c+Delay_D)*(1-EXP(-Rho_a*LN((Top_c-AC769)/(Top_c-Floor_F))/Delta_c))/Rho_a+EXP(-Rho_a*LN((Top_c-AC769)/(Top_c-Floor_F))/Delta_c)*(-Cost_k*Delta_c*Floor_F/Rho_a)),(-Delay_D/Rho_a)),(EXP(-Rho_a*LN(AC769/Floor_F)/Delta_c)*(-Cost_k*Delta_c*Floor_F/Rho_a)))</f>
        <v>-170.702300437072</v>
      </c>
      <c r="AH769" s="22" t="n">
        <f aca="false">ABS(AF769-AG769)</f>
        <v>0.0502767403462769</v>
      </c>
    </row>
    <row r="770" customFormat="false" ht="15" hidden="false" customHeight="false" outlineLevel="0" collapsed="false">
      <c r="AC770" s="17" t="n">
        <f aca="false">30+750*$AD$5</f>
        <v>76.875</v>
      </c>
      <c r="AD770" s="17" t="n">
        <f aca="false">-Delta_c*AC770</f>
        <v>-7.78522595516914</v>
      </c>
      <c r="AF770" s="11" t="n">
        <f aca="false">(-AD770/$AD$5*AF769)/(Rho_a-AD770/$AD$5)</f>
        <v>-170.62202528334</v>
      </c>
      <c r="AG770" s="11" t="n">
        <f aca="false">IF(AC770&lt;Floor_F,MAX((-(Cost_k*Ubar_c+Delay_D)*(1-EXP(-Rho_a*LN((Top_c-AC770)/(Top_c-Floor_F))/Delta_c))/Rho_a+EXP(-Rho_a*LN((Top_c-AC770)/(Top_c-Floor_F))/Delta_c)*(-Cost_k*Delta_c*Floor_F/Rho_a)),(-Delay_D/Rho_a)),(EXP(-Rho_a*LN(AC770/Floor_F)/Delta_c)*(-Cost_k*Delta_c*Floor_F/Rho_a)))</f>
        <v>-170.571683994069</v>
      </c>
      <c r="AH770" s="22" t="n">
        <f aca="false">ABS(AF770-AG770)</f>
        <v>0.0503412892714721</v>
      </c>
    </row>
    <row r="771" customFormat="false" ht="15" hidden="false" customHeight="false" outlineLevel="0" collapsed="false">
      <c r="AC771" s="17" t="n">
        <f aca="false">30+751*$AD$5</f>
        <v>76.9375</v>
      </c>
      <c r="AD771" s="17" t="n">
        <f aca="false">-Delta_c*AC771</f>
        <v>-7.79155540716522</v>
      </c>
      <c r="AF771" s="11" t="n">
        <f aca="false">(-AD771/$AD$5*AF770)/(Rho_a-AD771/$AD$5)</f>
        <v>-170.491679096502</v>
      </c>
      <c r="AG771" s="11" t="n">
        <f aca="false">IF(AC771&lt;Floor_F,MAX((-(Cost_k*Ubar_c+Delay_D)*(1-EXP(-Rho_a*LN((Top_c-AC771)/(Top_c-Floor_F))/Delta_c))/Rho_a+EXP(-Rho_a*LN((Top_c-AC771)/(Top_c-Floor_F))/Delta_c)*(-Cost_k*Delta_c*Floor_F/Rho_a)),(-Delay_D/Rho_a)),(EXP(-Rho_a*LN(AC771/Floor_F)/Delta_c)*(-Cost_k*Delta_c*Floor_F/Rho_a)))</f>
        <v>-170.441273522287</v>
      </c>
      <c r="AH771" s="22" t="n">
        <f aca="false">ABS(AF771-AG771)</f>
        <v>0.0504055742149205</v>
      </c>
    </row>
    <row r="772" customFormat="false" ht="15" hidden="false" customHeight="false" outlineLevel="0" collapsed="false">
      <c r="AC772" s="17" t="n">
        <f aca="false">30+752*$AD$5</f>
        <v>77</v>
      </c>
      <c r="AD772" s="17" t="n">
        <f aca="false">-Delta_c*AC772</f>
        <v>-7.79788485916129</v>
      </c>
      <c r="AF772" s="11" t="n">
        <f aca="false">(-AD772/$AD$5*AF771)/(Rho_a-AD772/$AD$5)</f>
        <v>-170.361538126195</v>
      </c>
      <c r="AG772" s="11" t="n">
        <f aca="false">IF(AC772&lt;Floor_F,MAX((-(Cost_k*Ubar_c+Delay_D)*(1-EXP(-Rho_a*LN((Top_c-AC772)/(Top_c-Floor_F))/Delta_c))/Rho_a+EXP(-Rho_a*LN((Top_c-AC772)/(Top_c-Floor_F))/Delta_c)*(-Cost_k*Delta_c*Floor_F/Rho_a)),(-Delay_D/Rho_a)),(EXP(-Rho_a*LN(AC772/Floor_F)/Delta_c)*(-Cost_k*Delta_c*Floor_F/Rho_a)))</f>
        <v>-170.311068530002</v>
      </c>
      <c r="AH772" s="22" t="n">
        <f aca="false">ABS(AF772-AG772)</f>
        <v>0.0504695961933237</v>
      </c>
    </row>
    <row r="773" customFormat="false" ht="15" hidden="false" customHeight="false" outlineLevel="0" collapsed="false">
      <c r="AC773" s="17" t="n">
        <f aca="false">30+753*$AD$5</f>
        <v>77.0625</v>
      </c>
      <c r="AD773" s="17" t="n">
        <f aca="false">-Delta_c*AC773</f>
        <v>-7.80421431115736</v>
      </c>
      <c r="AF773" s="11" t="n">
        <f aca="false">(-AD773/$AD$5*AF772)/(Rho_a-AD773/$AD$5)</f>
        <v>-170.231601883281</v>
      </c>
      <c r="AG773" s="11" t="n">
        <f aca="false">IF(AC773&lt;Floor_F,MAX((-(Cost_k*Ubar_c+Delay_D)*(1-EXP(-Rho_a*LN((Top_c-AC773)/(Top_c-Floor_F))/Delta_c))/Rho_a+EXP(-Rho_a*LN((Top_c-AC773)/(Top_c-Floor_F))/Delta_c)*(-Cost_k*Delta_c*Floor_F/Rho_a)),(-Delay_D/Rho_a)),(EXP(-Rho_a*LN(AC773/Floor_F)/Delta_c)*(-Cost_k*Delta_c*Floor_F/Rho_a)))</f>
        <v>-170.181068527061</v>
      </c>
      <c r="AH773" s="22" t="n">
        <f aca="false">ABS(AF773-AG773)</f>
        <v>0.0505333562191481</v>
      </c>
    </row>
    <row r="774" customFormat="false" ht="15" hidden="false" customHeight="false" outlineLevel="0" collapsed="false">
      <c r="AC774" s="17" t="n">
        <f aca="false">30+754*$AD$5</f>
        <v>77.125</v>
      </c>
      <c r="AD774" s="17" t="n">
        <f aca="false">-Delta_c*AC774</f>
        <v>-7.81054376315343</v>
      </c>
      <c r="AF774" s="11" t="n">
        <f aca="false">(-AD774/$AD$5*AF773)/(Rho_a-AD774/$AD$5)</f>
        <v>-170.101869880179</v>
      </c>
      <c r="AG774" s="11" t="n">
        <f aca="false">IF(AC774&lt;Floor_F,MAX((-(Cost_k*Ubar_c+Delay_D)*(1-EXP(-Rho_a*LN((Top_c-AC774)/(Top_c-Floor_F))/Delta_c))/Rho_a+EXP(-Rho_a*LN((Top_c-AC774)/(Top_c-Floor_F))/Delta_c)*(-Cost_k*Delta_c*Floor_F/Rho_a)),(-Delay_D/Rho_a)),(EXP(-Rho_a*LN(AC774/Floor_F)/Delta_c)*(-Cost_k*Delta_c*Floor_F/Rho_a)))</f>
        <v>-170.051273024879</v>
      </c>
      <c r="AH774" s="22" t="n">
        <f aca="false">ABS(AF774-AG774)</f>
        <v>0.0505968553001424</v>
      </c>
    </row>
    <row r="775" customFormat="false" ht="15" hidden="false" customHeight="false" outlineLevel="0" collapsed="false">
      <c r="AC775" s="17" t="n">
        <f aca="false">30+755*$AD$5</f>
        <v>77.1875</v>
      </c>
      <c r="AD775" s="17" t="n">
        <f aca="false">-Delta_c*AC775</f>
        <v>-7.81687321514951</v>
      </c>
      <c r="AF775" s="11" t="n">
        <f aca="false">(-AD775/$AD$5*AF774)/(Rho_a-AD775/$AD$5)</f>
        <v>-169.972341630865</v>
      </c>
      <c r="AG775" s="11" t="n">
        <f aca="false">IF(AC775&lt;Floor_F,MAX((-(Cost_k*Ubar_c+Delay_D)*(1-EXP(-Rho_a*LN((Top_c-AC775)/(Top_c-Floor_F))/Delta_c))/Rho_a+EXP(-Rho_a*LN((Top_c-AC775)/(Top_c-Floor_F))/Delta_c)*(-Cost_k*Delta_c*Floor_F/Rho_a)),(-Delay_D/Rho_a)),(EXP(-Rho_a*LN(AC775/Floor_F)/Delta_c)*(-Cost_k*Delta_c*Floor_F/Rho_a)))</f>
        <v>-169.921681536426</v>
      </c>
      <c r="AH775" s="22" t="n">
        <f aca="false">ABS(AF775-AG775)</f>
        <v>0.0506600944397917</v>
      </c>
    </row>
    <row r="776" customFormat="false" ht="15" hidden="false" customHeight="false" outlineLevel="0" collapsed="false">
      <c r="AC776" s="17" t="n">
        <f aca="false">30+756*$AD$5</f>
        <v>77.25</v>
      </c>
      <c r="AD776" s="17" t="n">
        <f aca="false">-Delta_c*AC776</f>
        <v>-7.82320266714558</v>
      </c>
      <c r="AF776" s="11" t="n">
        <f aca="false">(-AD776/$AD$5*AF775)/(Rho_a-AD776/$AD$5)</f>
        <v>-169.843016650865</v>
      </c>
      <c r="AG776" s="11" t="n">
        <f aca="false">IF(AC776&lt;Floor_F,MAX((-(Cost_k*Ubar_c+Delay_D)*(1-EXP(-Rho_a*LN((Top_c-AC776)/(Top_c-Floor_F))/Delta_c))/Rho_a+EXP(-Rho_a*LN((Top_c-AC776)/(Top_c-Floor_F))/Delta_c)*(-Cost_k*Delta_c*Floor_F/Rho_a)),(-Delay_D/Rho_a)),(EXP(-Rho_a*LN(AC776/Floor_F)/Delta_c)*(-Cost_k*Delta_c*Floor_F/Rho_a)))</f>
        <v>-169.792293576228</v>
      </c>
      <c r="AH776" s="22" t="n">
        <f aca="false">ABS(AF776-AG776)</f>
        <v>0.0507230746370624</v>
      </c>
    </row>
    <row r="777" customFormat="false" ht="15" hidden="false" customHeight="false" outlineLevel="0" collapsed="false">
      <c r="AC777" s="17" t="n">
        <f aca="false">30+757*$AD$5</f>
        <v>77.3125</v>
      </c>
      <c r="AD777" s="17" t="n">
        <f aca="false">-Delta_c*AC777</f>
        <v>-7.82953211914165</v>
      </c>
      <c r="AF777" s="11" t="n">
        <f aca="false">(-AD777/$AD$5*AF776)/(Rho_a-AD777/$AD$5)</f>
        <v>-169.713894457244</v>
      </c>
      <c r="AG777" s="11" t="n">
        <f aca="false">IF(AC777&lt;Floor_F,MAX((-(Cost_k*Ubar_c+Delay_D)*(1-EXP(-Rho_a*LN((Top_c-AC777)/(Top_c-Floor_F))/Delta_c))/Rho_a+EXP(-Rho_a*LN((Top_c-AC777)/(Top_c-Floor_F))/Delta_c)*(-Cost_k*Delta_c*Floor_F/Rho_a)),(-Delay_D/Rho_a)),(EXP(-Rho_a*LN(AC777/Floor_F)/Delta_c)*(-Cost_k*Delta_c*Floor_F/Rho_a)))</f>
        <v>-169.663108660357</v>
      </c>
      <c r="AH777" s="22" t="n">
        <f aca="false">ABS(AF777-AG777)</f>
        <v>0.0507857968866006</v>
      </c>
    </row>
    <row r="778" customFormat="false" ht="15" hidden="false" customHeight="false" outlineLevel="0" collapsed="false">
      <c r="AC778" s="17" t="n">
        <f aca="false">30+758*$AD$5</f>
        <v>77.375</v>
      </c>
      <c r="AD778" s="17" t="n">
        <f aca="false">-Delta_c*AC778</f>
        <v>-7.83586157113772</v>
      </c>
      <c r="AF778" s="11" t="n">
        <f aca="false">(-AD778/$AD$5*AF777)/(Rho_a-AD778/$AD$5)</f>
        <v>-169.584974568605</v>
      </c>
      <c r="AG778" s="11" t="n">
        <f aca="false">IF(AC778&lt;Floor_F,MAX((-(Cost_k*Ubar_c+Delay_D)*(1-EXP(-Rho_a*LN((Top_c-AC778)/(Top_c-Floor_F))/Delta_c))/Rho_a+EXP(-Rho_a*LN((Top_c-AC778)/(Top_c-Floor_F))/Delta_c)*(-Cost_k*Delta_c*Floor_F/Rho_a)),(-Delay_D/Rho_a)),(EXP(-Rho_a*LN(AC778/Floor_F)/Delta_c)*(-Cost_k*Delta_c*Floor_F/Rho_a)))</f>
        <v>-169.534126306426</v>
      </c>
      <c r="AH778" s="22" t="n">
        <f aca="false">ABS(AF778-AG778)</f>
        <v>0.050848262178647</v>
      </c>
    </row>
    <row r="779" customFormat="false" ht="15" hidden="false" customHeight="false" outlineLevel="0" collapsed="false">
      <c r="AC779" s="17" t="n">
        <f aca="false">30+759*$AD$5</f>
        <v>77.4375</v>
      </c>
      <c r="AD779" s="17" t="n">
        <f aca="false">-Delta_c*AC779</f>
        <v>-7.8421910231338</v>
      </c>
      <c r="AF779" s="11" t="n">
        <f aca="false">(-AD779/$AD$5*AF778)/(Rho_a-AD779/$AD$5)</f>
        <v>-169.456256505081</v>
      </c>
      <c r="AG779" s="11" t="n">
        <f aca="false">IF(AC779&lt;Floor_F,MAX((-(Cost_k*Ubar_c+Delay_D)*(1-EXP(-Rho_a*LN((Top_c-AC779)/(Top_c-Floor_F))/Delta_c))/Rho_a+EXP(-Rho_a*LN((Top_c-AC779)/(Top_c-Floor_F))/Delta_c)*(-Cost_k*Delta_c*Floor_F/Rho_a)),(-Delay_D/Rho_a)),(EXP(-Rho_a*LN(AC779/Floor_F)/Delta_c)*(-Cost_k*Delta_c*Floor_F/Rho_a)))</f>
        <v>-169.405346033582</v>
      </c>
      <c r="AH779" s="22" t="n">
        <f aca="false">ABS(AF779-AG779)</f>
        <v>0.0509104714991224</v>
      </c>
    </row>
    <row r="780" customFormat="false" ht="15" hidden="false" customHeight="false" outlineLevel="0" collapsed="false">
      <c r="AC780" s="17" t="n">
        <f aca="false">30+760*$AD$5</f>
        <v>77.5</v>
      </c>
      <c r="AD780" s="17" t="n">
        <f aca="false">-Delta_c*AC780</f>
        <v>-7.84852047512987</v>
      </c>
      <c r="AF780" s="11" t="n">
        <f aca="false">(-AD780/$AD$5*AF779)/(Rho_a-AD780/$AD$5)</f>
        <v>-169.32773978833</v>
      </c>
      <c r="AG780" s="11" t="n">
        <f aca="false">IF(AC780&lt;Floor_F,MAX((-(Cost_k*Ubar_c+Delay_D)*(1-EXP(-Rho_a*LN((Top_c-AC780)/(Top_c-Floor_F))/Delta_c))/Rho_a+EXP(-Rho_a*LN((Top_c-AC780)/(Top_c-Floor_F))/Delta_c)*(-Cost_k*Delta_c*Floor_F/Rho_a)),(-Delay_D/Rho_a)),(EXP(-Rho_a*LN(AC780/Floor_F)/Delta_c)*(-Cost_k*Delta_c*Floor_F/Rho_a)))</f>
        <v>-169.276767362501</v>
      </c>
      <c r="AH780" s="22" t="n">
        <f aca="false">ABS(AF780-AG780)</f>
        <v>0.0509724258295705</v>
      </c>
    </row>
    <row r="781" customFormat="false" ht="15" hidden="false" customHeight="false" outlineLevel="0" collapsed="false">
      <c r="AC781" s="17" t="n">
        <f aca="false">30+761*$AD$5</f>
        <v>77.5625</v>
      </c>
      <c r="AD781" s="17" t="n">
        <f aca="false">-Delta_c*AC781</f>
        <v>-7.85484992712594</v>
      </c>
      <c r="AF781" s="11" t="n">
        <f aca="false">(-AD781/$AD$5*AF780)/(Rho_a-AD781/$AD$5)</f>
        <v>-169.199423941526</v>
      </c>
      <c r="AG781" s="11" t="n">
        <f aca="false">IF(AC781&lt;Floor_F,MAX((-(Cost_k*Ubar_c+Delay_D)*(1-EXP(-Rho_a*LN((Top_c-AC781)/(Top_c-Floor_F))/Delta_c))/Rho_a+EXP(-Rho_a*LN((Top_c-AC781)/(Top_c-Floor_F))/Delta_c)*(-Cost_k*Delta_c*Floor_F/Rho_a)),(-Delay_D/Rho_a)),(EXP(-Rho_a*LN(AC781/Floor_F)/Delta_c)*(-Cost_k*Delta_c*Floor_F/Rho_a)))</f>
        <v>-169.148389815379</v>
      </c>
      <c r="AH781" s="22" t="n">
        <f aca="false">ABS(AF781-AG781)</f>
        <v>0.0510341261472433</v>
      </c>
    </row>
    <row r="782" customFormat="false" ht="15" hidden="false" customHeight="false" outlineLevel="0" collapsed="false">
      <c r="AC782" s="17" t="n">
        <f aca="false">30+762*$AD$5</f>
        <v>77.625</v>
      </c>
      <c r="AD782" s="17" t="n">
        <f aca="false">-Delta_c*AC782</f>
        <v>-7.86117937912201</v>
      </c>
      <c r="AF782" s="11" t="n">
        <f aca="false">(-AD782/$AD$5*AF781)/(Rho_a-AD782/$AD$5)</f>
        <v>-169.071308489357</v>
      </c>
      <c r="AG782" s="11" t="n">
        <f aca="false">IF(AC782&lt;Floor_F,MAX((-(Cost_k*Ubar_c+Delay_D)*(1-EXP(-Rho_a*LN((Top_c-AC782)/(Top_c-Floor_F))/Delta_c))/Rho_a+EXP(-Rho_a*LN((Top_c-AC782)/(Top_c-Floor_F))/Delta_c)*(-Cost_k*Delta_c*Floor_F/Rho_a)),(-Delay_D/Rho_a)),(EXP(-Rho_a*LN(AC782/Floor_F)/Delta_c)*(-Cost_k*Delta_c*Floor_F/Rho_a)))</f>
        <v>-169.020212915932</v>
      </c>
      <c r="AH782" s="22" t="n">
        <f aca="false">ABS(AF782-AG782)</f>
        <v>0.051095573425215</v>
      </c>
    </row>
    <row r="783" customFormat="false" ht="15" hidden="false" customHeight="false" outlineLevel="0" collapsed="false">
      <c r="AC783" s="17" t="n">
        <f aca="false">30+763*$AD$5</f>
        <v>77.6875</v>
      </c>
      <c r="AD783" s="17" t="n">
        <f aca="false">-Delta_c*AC783</f>
        <v>-7.86750883111809</v>
      </c>
      <c r="AF783" s="11" t="n">
        <f aca="false">(-AD783/$AD$5*AF782)/(Rho_a-AD783/$AD$5)</f>
        <v>-168.943392958014</v>
      </c>
      <c r="AG783" s="11" t="n">
        <f aca="false">IF(AC783&lt;Floor_F,MAX((-(Cost_k*Ubar_c+Delay_D)*(1-EXP(-Rho_a*LN((Top_c-AC783)/(Top_c-Floor_F))/Delta_c))/Rho_a+EXP(-Rho_a*LN((Top_c-AC783)/(Top_c-Floor_F))/Delta_c)*(-Cost_k*Delta_c*Floor_F/Rho_a)),(-Delay_D/Rho_a)),(EXP(-Rho_a*LN(AC783/Floor_F)/Delta_c)*(-Cost_k*Delta_c*Floor_F/Rho_a)))</f>
        <v>-168.892236189382</v>
      </c>
      <c r="AH783" s="22" t="n">
        <f aca="false">ABS(AF783-AG783)</f>
        <v>0.0511567686320689</v>
      </c>
    </row>
    <row r="784" customFormat="false" ht="15" hidden="false" customHeight="false" outlineLevel="0" collapsed="false">
      <c r="AC784" s="17" t="n">
        <f aca="false">30+764*$AD$5</f>
        <v>77.75</v>
      </c>
      <c r="AD784" s="17" t="n">
        <f aca="false">-Delta_c*AC784</f>
        <v>-7.87383828311416</v>
      </c>
      <c r="AF784" s="11" t="n">
        <f aca="false">(-AD784/$AD$5*AF783)/(Rho_a-AD784/$AD$5)</f>
        <v>-168.815676875192</v>
      </c>
      <c r="AG784" s="11" t="n">
        <f aca="false">IF(AC784&lt;Floor_F,MAX((-(Cost_k*Ubar_c+Delay_D)*(1-EXP(-Rho_a*LN((Top_c-AC784)/(Top_c-Floor_F))/Delta_c))/Rho_a+EXP(-Rho_a*LN((Top_c-AC784)/(Top_c-Floor_F))/Delta_c)*(-Cost_k*Delta_c*Floor_F/Rho_a)),(-Delay_D/Rho_a)),(EXP(-Rho_a*LN(AC784/Floor_F)/Delta_c)*(-Cost_k*Delta_c*Floor_F/Rho_a)))</f>
        <v>-168.764459162459</v>
      </c>
      <c r="AH784" s="22" t="n">
        <f aca="false">ABS(AF784-AG784)</f>
        <v>0.0512177127323525</v>
      </c>
    </row>
    <row r="785" customFormat="false" ht="15" hidden="false" customHeight="false" outlineLevel="0" collapsed="false">
      <c r="AC785" s="17" t="n">
        <f aca="false">30+765*$AD$5</f>
        <v>77.8125</v>
      </c>
      <c r="AD785" s="17" t="n">
        <f aca="false">-Delta_c*AC785</f>
        <v>-7.88016773511023</v>
      </c>
      <c r="AF785" s="11" t="n">
        <f aca="false">(-AD785/$AD$5*AF784)/(Rho_a-AD785/$AD$5)</f>
        <v>-168.688159770076</v>
      </c>
      <c r="AG785" s="11" t="n">
        <f aca="false">IF(AC785&lt;Floor_F,MAX((-(Cost_k*Ubar_c+Delay_D)*(1-EXP(-Rho_a*LN((Top_c-AC785)/(Top_c-Floor_F))/Delta_c))/Rho_a+EXP(-Rho_a*LN((Top_c-AC785)/(Top_c-Floor_F))/Delta_c)*(-Cost_k*Delta_c*Floor_F/Rho_a)),(-Delay_D/Rho_a)),(EXP(-Rho_a*LN(AC785/Floor_F)/Delta_c)*(-Cost_k*Delta_c*Floor_F/Rho_a)))</f>
        <v>-168.636881363389</v>
      </c>
      <c r="AH785" s="22" t="n">
        <f aca="false">ABS(AF785-AG785)</f>
        <v>0.0512784066864072</v>
      </c>
    </row>
    <row r="786" customFormat="false" ht="15" hidden="false" customHeight="false" outlineLevel="0" collapsed="false">
      <c r="AC786" s="17" t="n">
        <f aca="false">30+766*$AD$5</f>
        <v>77.875</v>
      </c>
      <c r="AD786" s="17" t="n">
        <f aca="false">-Delta_c*AC786</f>
        <v>-7.8864971871063</v>
      </c>
      <c r="AF786" s="11" t="n">
        <f aca="false">(-AD786/$AD$5*AF785)/(Rho_a-AD786/$AD$5)</f>
        <v>-168.560841173341</v>
      </c>
      <c r="AG786" s="11" t="n">
        <f aca="false">IF(AC786&lt;Floor_F,MAX((-(Cost_k*Ubar_c+Delay_D)*(1-EXP(-Rho_a*LN((Top_c-AC786)/(Top_c-Floor_F))/Delta_c))/Rho_a+EXP(-Rho_a*LN((Top_c-AC786)/(Top_c-Floor_F))/Delta_c)*(-Cost_k*Delta_c*Floor_F/Rho_a)),(-Delay_D/Rho_a)),(EXP(-Rho_a*LN(AC786/Floor_F)/Delta_c)*(-Cost_k*Delta_c*Floor_F/Rho_a)))</f>
        <v>-168.509502321891</v>
      </c>
      <c r="AH786" s="22" t="n">
        <f aca="false">ABS(AF786-AG786)</f>
        <v>0.0513388514502253</v>
      </c>
    </row>
    <row r="787" customFormat="false" ht="15" hidden="false" customHeight="false" outlineLevel="0" collapsed="false">
      <c r="AC787" s="17" t="n">
        <f aca="false">30+767*$AD$5</f>
        <v>77.9375</v>
      </c>
      <c r="AD787" s="17" t="n">
        <f aca="false">-Delta_c*AC787</f>
        <v>-7.89282663910238</v>
      </c>
      <c r="AF787" s="11" t="n">
        <f aca="false">(-AD787/$AD$5*AF786)/(Rho_a-AD787/$AD$5)</f>
        <v>-168.433720617146</v>
      </c>
      <c r="AG787" s="11" t="n">
        <f aca="false">IF(AC787&lt;Floor_F,MAX((-(Cost_k*Ubar_c+Delay_D)*(1-EXP(-Rho_a*LN((Top_c-AC787)/(Top_c-Floor_F))/Delta_c))/Rho_a+EXP(-Rho_a*LN((Top_c-AC787)/(Top_c-Floor_F))/Delta_c)*(-Cost_k*Delta_c*Floor_F/Rho_a)),(-Delay_D/Rho_a)),(EXP(-Rho_a*LN(AC787/Floor_F)/Delta_c)*(-Cost_k*Delta_c*Floor_F/Rho_a)))</f>
        <v>-168.38232156917</v>
      </c>
      <c r="AH787" s="22" t="n">
        <f aca="false">ABS(AF787-AG787)</f>
        <v>0.0513990479756501</v>
      </c>
    </row>
    <row r="788" customFormat="false" ht="15" hidden="false" customHeight="false" outlineLevel="0" collapsed="false">
      <c r="AC788" s="17" t="n">
        <f aca="false">30+768*$AD$5</f>
        <v>78</v>
      </c>
      <c r="AD788" s="17" t="n">
        <f aca="false">-Delta_c*AC788</f>
        <v>-7.89915609109845</v>
      </c>
      <c r="AF788" s="11" t="n">
        <f aca="false">(-AD788/$AD$5*AF787)/(Rho_a-AD788/$AD$5)</f>
        <v>-168.306797635121</v>
      </c>
      <c r="AG788" s="11" t="n">
        <f aca="false">IF(AC788&lt;Floor_F,MAX((-(Cost_k*Ubar_c+Delay_D)*(1-EXP(-Rho_a*LN((Top_c-AC788)/(Top_c-Floor_F))/Delta_c))/Rho_a+EXP(-Rho_a*LN((Top_c-AC788)/(Top_c-Floor_F))/Delta_c)*(-Cost_k*Delta_c*Floor_F/Rho_a)),(-Delay_D/Rho_a)),(EXP(-Rho_a*LN(AC788/Floor_F)/Delta_c)*(-Cost_k*Delta_c*Floor_F/Rho_a)))</f>
        <v>-168.255338637911</v>
      </c>
      <c r="AH788" s="22" t="n">
        <f aca="false">ABS(AF788-AG788)</f>
        <v>0.0514589972106023</v>
      </c>
    </row>
    <row r="789" customFormat="false" ht="15" hidden="false" customHeight="false" outlineLevel="0" collapsed="false">
      <c r="AC789" s="17" t="n">
        <f aca="false">30+769*$AD$5</f>
        <v>78.0625</v>
      </c>
      <c r="AD789" s="17" t="n">
        <f aca="false">-Delta_c*AC789</f>
        <v>-7.90548554309452</v>
      </c>
      <c r="AF789" s="11" t="n">
        <f aca="false">(-AD789/$AD$5*AF788)/(Rho_a-AD789/$AD$5)</f>
        <v>-168.180071762373</v>
      </c>
      <c r="AG789" s="11" t="n">
        <f aca="false">IF(AC789&lt;Floor_F,MAX((-(Cost_k*Ubar_c+Delay_D)*(1-EXP(-Rho_a*LN((Top_c-AC789)/(Top_c-Floor_F))/Delta_c))/Rho_a+EXP(-Rho_a*LN((Top_c-AC789)/(Top_c-Floor_F))/Delta_c)*(-Cost_k*Delta_c*Floor_F/Rho_a)),(-Delay_D/Rho_a)),(EXP(-Rho_a*LN(AC789/Floor_F)/Delta_c)*(-Cost_k*Delta_c*Floor_F/Rho_a)))</f>
        <v>-168.128553062275</v>
      </c>
      <c r="AH789" s="22" t="n">
        <f aca="false">ABS(AF789-AG789)</f>
        <v>0.0515187000984838</v>
      </c>
    </row>
    <row r="790" customFormat="false" ht="15" hidden="false" customHeight="false" outlineLevel="0" collapsed="false">
      <c r="AC790" s="17" t="n">
        <f aca="false">30+770*$AD$5</f>
        <v>78.125</v>
      </c>
      <c r="AD790" s="17" t="n">
        <f aca="false">-Delta_c*AC790</f>
        <v>-7.91181499509059</v>
      </c>
      <c r="AF790" s="11" t="n">
        <f aca="false">(-AD790/$AD$5*AF789)/(Rho_a-AD790/$AD$5)</f>
        <v>-168.053542535469</v>
      </c>
      <c r="AG790" s="11" t="n">
        <f aca="false">IF(AC790&lt;Floor_F,MAX((-(Cost_k*Ubar_c+Delay_D)*(1-EXP(-Rho_a*LN((Top_c-AC790)/(Top_c-Floor_F))/Delta_c))/Rho_a+EXP(-Rho_a*LN((Top_c-AC790)/(Top_c-Floor_F))/Delta_c)*(-Cost_k*Delta_c*Floor_F/Rho_a)),(-Delay_D/Rho_a)),(EXP(-Rho_a*LN(AC790/Floor_F)/Delta_c)*(-Cost_k*Delta_c*Floor_F/Rho_a)))</f>
        <v>-168.00196437789</v>
      </c>
      <c r="AH790" s="22" t="n">
        <f aca="false">ABS(AF790-AG790)</f>
        <v>0.0515781575788878</v>
      </c>
    </row>
    <row r="791" customFormat="false" ht="15" hidden="false" customHeight="false" outlineLevel="0" collapsed="false">
      <c r="AC791" s="17" t="n">
        <f aca="false">30+771*$AD$5</f>
        <v>78.1875</v>
      </c>
      <c r="AD791" s="17" t="n">
        <f aca="false">-Delta_c*AC791</f>
        <v>-7.91814444708667</v>
      </c>
      <c r="AF791" s="11" t="n">
        <f aca="false">(-AD791/$AD$5*AF790)/(Rho_a-AD791/$AD$5)</f>
        <v>-167.927209492436</v>
      </c>
      <c r="AG791" s="11" t="n">
        <f aca="false">IF(AC791&lt;Floor_F,MAX((-(Cost_k*Ubar_c+Delay_D)*(1-EXP(-Rho_a*LN((Top_c-AC791)/(Top_c-Floor_F))/Delta_c))/Rho_a+EXP(-Rho_a*LN((Top_c-AC791)/(Top_c-Floor_F))/Delta_c)*(-Cost_k*Delta_c*Floor_F/Rho_a)),(-Delay_D/Rho_a)),(EXP(-Rho_a*LN(AC791/Floor_F)/Delta_c)*(-Cost_k*Delta_c*Floor_F/Rho_a)))</f>
        <v>-167.875572121849</v>
      </c>
      <c r="AH791" s="22" t="n">
        <f aca="false">ABS(AF791-AG791)</f>
        <v>0.0516373705872013</v>
      </c>
    </row>
    <row r="792" customFormat="false" ht="15" hidden="false" customHeight="false" outlineLevel="0" collapsed="false">
      <c r="AC792" s="17" t="n">
        <f aca="false">30+772*$AD$5</f>
        <v>78.25</v>
      </c>
      <c r="AD792" s="17" t="n">
        <f aca="false">-Delta_c*AC792</f>
        <v>-7.92447389908274</v>
      </c>
      <c r="AF792" s="11" t="n">
        <f aca="false">(-AD792/$AD$5*AF791)/(Rho_a-AD792/$AD$5)</f>
        <v>-167.801072172756</v>
      </c>
      <c r="AG792" s="11" t="n">
        <f aca="false">IF(AC792&lt;Floor_F,MAX((-(Cost_k*Ubar_c+Delay_D)*(1-EXP(-Rho_a*LN((Top_c-AC792)/(Top_c-Floor_F))/Delta_c))/Rho_a+EXP(-Rho_a*LN((Top_c-AC792)/(Top_c-Floor_F))/Delta_c)*(-Cost_k*Delta_c*Floor_F/Rho_a)),(-Delay_D/Rho_a)),(EXP(-Rho_a*LN(AC792/Floor_F)/Delta_c)*(-Cost_k*Delta_c*Floor_F/Rho_a)))</f>
        <v>-167.749375832701</v>
      </c>
      <c r="AH792" s="22" t="n">
        <f aca="false">ABS(AF792-AG792)</f>
        <v>0.0516963400547468</v>
      </c>
    </row>
    <row r="793" customFormat="false" ht="15" hidden="false" customHeight="false" outlineLevel="0" collapsed="false">
      <c r="AC793" s="17" t="n">
        <f aca="false">30+773*$AD$5</f>
        <v>78.3125</v>
      </c>
      <c r="AD793" s="17" t="n">
        <f aca="false">-Delta_c*AC793</f>
        <v>-7.93080335107881</v>
      </c>
      <c r="AF793" s="11" t="n">
        <f aca="false">(-AD793/$AD$5*AF792)/(Rho_a-AD793/$AD$5)</f>
        <v>-167.675130117355</v>
      </c>
      <c r="AG793" s="11" t="n">
        <f aca="false">IF(AC793&lt;Floor_F,MAX((-(Cost_k*Ubar_c+Delay_D)*(1-EXP(-Rho_a*LN((Top_c-AC793)/(Top_c-Floor_F))/Delta_c))/Rho_a+EXP(-Rho_a*LN((Top_c-AC793)/(Top_c-Floor_F))/Delta_c)*(-Cost_k*Delta_c*Floor_F/Rho_a)),(-Delay_D/Rho_a)),(EXP(-Rho_a*LN(AC793/Floor_F)/Delta_c)*(-Cost_k*Delta_c*Floor_F/Rho_a)))</f>
        <v>-167.623375050446</v>
      </c>
      <c r="AH793" s="22" t="n">
        <f aca="false">ABS(AF793-AG793)</f>
        <v>0.0517550669088394</v>
      </c>
    </row>
    <row r="794" customFormat="false" ht="15" hidden="false" customHeight="false" outlineLevel="0" collapsed="false">
      <c r="AC794" s="17" t="n">
        <f aca="false">30+774*$AD$5</f>
        <v>78.375</v>
      </c>
      <c r="AD794" s="17" t="n">
        <f aca="false">-Delta_c*AC794</f>
        <v>-7.93713280307488</v>
      </c>
      <c r="AF794" s="11" t="n">
        <f aca="false">(-AD794/$AD$5*AF793)/(Rho_a-AD794/$AD$5)</f>
        <v>-167.549382868604</v>
      </c>
      <c r="AG794" s="11" t="n">
        <f aca="false">IF(AC794&lt;Floor_F,MAX((-(Cost_k*Ubar_c+Delay_D)*(1-EXP(-Rho_a*LN((Top_c-AC794)/(Top_c-Floor_F))/Delta_c))/Rho_a+EXP(-Rho_a*LN((Top_c-AC794)/(Top_c-Floor_F))/Delta_c)*(-Cost_k*Delta_c*Floor_F/Rho_a)),(-Delay_D/Rho_a)),(EXP(-Rho_a*LN(AC794/Floor_F)/Delta_c)*(-Cost_k*Delta_c*Floor_F/Rho_a)))</f>
        <v>-167.497569316531</v>
      </c>
      <c r="AH794" s="22" t="n">
        <f aca="false">ABS(AF794-AG794)</f>
        <v>0.051813552072673</v>
      </c>
    </row>
    <row r="795" customFormat="false" ht="15" hidden="false" customHeight="false" outlineLevel="0" collapsed="false">
      <c r="AC795" s="17" t="n">
        <f aca="false">30+775*$AD$5</f>
        <v>78.4375</v>
      </c>
      <c r="AD795" s="17" t="n">
        <f aca="false">-Delta_c*AC795</f>
        <v>-7.94346225507096</v>
      </c>
      <c r="AF795" s="11" t="n">
        <f aca="false">(-AD795/$AD$5*AF794)/(Rho_a-AD795/$AD$5)</f>
        <v>-167.423829970309</v>
      </c>
      <c r="AG795" s="11" t="n">
        <f aca="false">IF(AC795&lt;Floor_F,MAX((-(Cost_k*Ubar_c+Delay_D)*(1-EXP(-Rho_a*LN((Top_c-AC795)/(Top_c-Floor_F))/Delta_c))/Rho_a+EXP(-Rho_a*LN((Top_c-AC795)/(Top_c-Floor_F))/Delta_c)*(-Cost_k*Delta_c*Floor_F/Rho_a)),(-Delay_D/Rho_a)),(EXP(-Rho_a*LN(AC795/Floor_F)/Delta_c)*(-Cost_k*Delta_c*Floor_F/Rho_a)))</f>
        <v>-167.371958173843</v>
      </c>
      <c r="AH795" s="22" t="n">
        <f aca="false">ABS(AF795-AG795)</f>
        <v>0.0518717964655764</v>
      </c>
    </row>
    <row r="796" customFormat="false" ht="15" hidden="false" customHeight="false" outlineLevel="0" collapsed="false">
      <c r="AC796" s="17" t="n">
        <f aca="false">30+776*$AD$5</f>
        <v>78.5</v>
      </c>
      <c r="AD796" s="17" t="n">
        <f aca="false">-Delta_c*AC796</f>
        <v>-7.94979170706703</v>
      </c>
      <c r="AF796" s="11" t="n">
        <f aca="false">(-AD796/$AD$5*AF795)/(Rho_a-AD796/$AD$5)</f>
        <v>-167.298470967705</v>
      </c>
      <c r="AG796" s="11" t="n">
        <f aca="false">IF(AC796&lt;Floor_F,MAX((-(Cost_k*Ubar_c+Delay_D)*(1-EXP(-Rho_a*LN((Top_c-AC796)/(Top_c-Floor_F))/Delta_c))/Rho_a+EXP(-Rho_a*LN((Top_c-AC796)/(Top_c-Floor_F))/Delta_c)*(-Cost_k*Delta_c*Floor_F/Rho_a)),(-Delay_D/Rho_a)),(EXP(-Rho_a*LN(AC796/Floor_F)/Delta_c)*(-Cost_k*Delta_c*Floor_F/Rho_a)))</f>
        <v>-167.246541166702</v>
      </c>
      <c r="AH796" s="22" t="n">
        <f aca="false">ABS(AF796-AG796)</f>
        <v>0.0519298010026716</v>
      </c>
    </row>
    <row r="797" customFormat="false" ht="15" hidden="false" customHeight="false" outlineLevel="0" collapsed="false">
      <c r="AC797" s="17" t="n">
        <f aca="false">30+777*$AD$5</f>
        <v>78.5625</v>
      </c>
      <c r="AD797" s="17" t="n">
        <f aca="false">-Delta_c*AC797</f>
        <v>-7.9561211590631</v>
      </c>
      <c r="AF797" s="11" t="n">
        <f aca="false">(-AD797/$AD$5*AF796)/(Rho_a-AD797/$AD$5)</f>
        <v>-167.173305407453</v>
      </c>
      <c r="AG797" s="11" t="n">
        <f aca="false">IF(AC797&lt;Floor_F,MAX((-(Cost_k*Ubar_c+Delay_D)*(1-EXP(-Rho_a*LN((Top_c-AC797)/(Top_c-Floor_F))/Delta_c))/Rho_a+EXP(-Rho_a*LN((Top_c-AC797)/(Top_c-Floor_F))/Delta_c)*(-Cost_k*Delta_c*Floor_F/Rho_a)),(-Delay_D/Rho_a)),(EXP(-Rho_a*LN(AC797/Floor_F)/Delta_c)*(-Cost_k*Delta_c*Floor_F/Rho_a)))</f>
        <v>-167.121317840858</v>
      </c>
      <c r="AH797" s="22" t="n">
        <f aca="false">ABS(AF797-AG797)</f>
        <v>0.0519875665953862</v>
      </c>
    </row>
    <row r="798" customFormat="false" ht="15" hidden="false" customHeight="false" outlineLevel="0" collapsed="false">
      <c r="AC798" s="17" t="n">
        <f aca="false">30+778*$AD$5</f>
        <v>78.625</v>
      </c>
      <c r="AD798" s="17" t="n">
        <f aca="false">-Delta_c*AC798</f>
        <v>-7.96245061105917</v>
      </c>
      <c r="AF798" s="11" t="n">
        <f aca="false">(-AD798/$AD$5*AF797)/(Rho_a-AD798/$AD$5)</f>
        <v>-167.048332837634</v>
      </c>
      <c r="AG798" s="11" t="n">
        <f aca="false">IF(AC798&lt;Floor_F,MAX((-(Cost_k*Ubar_c+Delay_D)*(1-EXP(-Rho_a*LN((Top_c-AC798)/(Top_c-Floor_F))/Delta_c))/Rho_a+EXP(-Rho_a*LN((Top_c-AC798)/(Top_c-Floor_F))/Delta_c)*(-Cost_k*Delta_c*Floor_F/Rho_a)),(-Delay_D/Rho_a)),(EXP(-Rho_a*LN(AC798/Floor_F)/Delta_c)*(-Cost_k*Delta_c*Floor_F/Rho_a)))</f>
        <v>-166.996287743483</v>
      </c>
      <c r="AH798" s="22" t="n">
        <f aca="false">ABS(AF798-AG798)</f>
        <v>0.0520450941509694</v>
      </c>
    </row>
    <row r="799" customFormat="false" ht="15" hidden="false" customHeight="false" outlineLevel="0" collapsed="false">
      <c r="AC799" s="17" t="n">
        <f aca="false">30+779*$AD$5</f>
        <v>78.6875</v>
      </c>
      <c r="AD799" s="17" t="n">
        <f aca="false">-Delta_c*AC799</f>
        <v>-7.96878006305525</v>
      </c>
      <c r="AF799" s="11" t="n">
        <f aca="false">(-AD799/$AD$5*AF798)/(Rho_a-AD799/$AD$5)</f>
        <v>-166.923552807741</v>
      </c>
      <c r="AG799" s="11" t="n">
        <f aca="false">IF(AC799&lt;Floor_F,MAX((-(Cost_k*Ubar_c+Delay_D)*(1-EXP(-Rho_a*LN((Top_c-AC799)/(Top_c-Floor_F))/Delta_c))/Rho_a+EXP(-Rho_a*LN((Top_c-AC799)/(Top_c-Floor_F))/Delta_c)*(-Cost_k*Delta_c*Floor_F/Rho_a)),(-Delay_D/Rho_a)),(EXP(-Rho_a*LN(AC799/Floor_F)/Delta_c)*(-Cost_k*Delta_c*Floor_F/Rho_a)))</f>
        <v>-166.871450423168</v>
      </c>
      <c r="AH799" s="22" t="n">
        <f aca="false">ABS(AF799-AG799)</f>
        <v>0.0521023845728053</v>
      </c>
    </row>
    <row r="800" customFormat="false" ht="15" hidden="false" customHeight="false" outlineLevel="0" collapsed="false">
      <c r="AC800" s="17" t="n">
        <f aca="false">30+780*$AD$5</f>
        <v>78.75</v>
      </c>
      <c r="AD800" s="17" t="n">
        <f aca="false">-Delta_c*AC800</f>
        <v>-7.97510951505132</v>
      </c>
      <c r="AF800" s="11" t="n">
        <f aca="false">(-AD800/$AD$5*AF799)/(Rho_a-AD800/$AD$5)</f>
        <v>-166.798964868675</v>
      </c>
      <c r="AG800" s="11" t="n">
        <f aca="false">IF(AC800&lt;Floor_F,MAX((-(Cost_k*Ubar_c+Delay_D)*(1-EXP(-Rho_a*LN((Top_c-AC800)/(Top_c-Floor_F))/Delta_c))/Rho_a+EXP(-Rho_a*LN((Top_c-AC800)/(Top_c-Floor_F))/Delta_c)*(-Cost_k*Delta_c*Floor_F/Rho_a)),(-Delay_D/Rho_a)),(EXP(-Rho_a*LN(AC800/Floor_F)/Delta_c)*(-Cost_k*Delta_c*Floor_F/Rho_a)))</f>
        <v>-166.746805429915</v>
      </c>
      <c r="AH800" s="22" t="n">
        <f aca="false">ABS(AF800-AG800)</f>
        <v>0.0521594387603841</v>
      </c>
    </row>
    <row r="801" customFormat="false" ht="15" hidden="false" customHeight="false" outlineLevel="0" collapsed="false">
      <c r="AC801" s="17" t="n">
        <f aca="false">30+781*$AD$5</f>
        <v>78.8125</v>
      </c>
      <c r="AD801" s="17" t="n">
        <f aca="false">-Delta_c*AC801</f>
        <v>-7.98143896704739</v>
      </c>
      <c r="AF801" s="11" t="n">
        <f aca="false">(-AD801/$AD$5*AF800)/(Rho_a-AD801/$AD$5)</f>
        <v>-166.674568572742</v>
      </c>
      <c r="AG801" s="11" t="n">
        <f aca="false">IF(AC801&lt;Floor_F,MAX((-(Cost_k*Ubar_c+Delay_D)*(1-EXP(-Rho_a*LN((Top_c-AC801)/(Top_c-Floor_F))/Delta_c))/Rho_a+EXP(-Rho_a*LN((Top_c-AC801)/(Top_c-Floor_F))/Delta_c)*(-Cost_k*Delta_c*Floor_F/Rho_a)),(-Delay_D/Rho_a)),(EXP(-Rho_a*LN(AC801/Floor_F)/Delta_c)*(-Cost_k*Delta_c*Floor_F/Rho_a)))</f>
        <v>-166.622352315133</v>
      </c>
      <c r="AH801" s="22" t="n">
        <f aca="false">ABS(AF801-AG801)</f>
        <v>0.0522162576093592</v>
      </c>
    </row>
    <row r="802" customFormat="false" ht="15" hidden="false" customHeight="false" outlineLevel="0" collapsed="false">
      <c r="AC802" s="17" t="n">
        <f aca="false">30+782*$AD$5</f>
        <v>78.875</v>
      </c>
      <c r="AD802" s="17" t="n">
        <f aca="false">-Delta_c*AC802</f>
        <v>-7.98776841904346</v>
      </c>
      <c r="AF802" s="11" t="n">
        <f aca="false">(-AD802/$AD$5*AF801)/(Rho_a-AD802/$AD$5)</f>
        <v>-166.550363473642</v>
      </c>
      <c r="AG802" s="11" t="n">
        <f aca="false">IF(AC802&lt;Floor_F,MAX((-(Cost_k*Ubar_c+Delay_D)*(1-EXP(-Rho_a*LN((Top_c-AC802)/(Top_c-Floor_F))/Delta_c))/Rho_a+EXP(-Rho_a*LN((Top_c-AC802)/(Top_c-Floor_F))/Delta_c)*(-Cost_k*Delta_c*Floor_F/Rho_a)),(-Delay_D/Rho_a)),(EXP(-Rho_a*LN(AC802/Floor_F)/Delta_c)*(-Cost_k*Delta_c*Floor_F/Rho_a)))</f>
        <v>-166.498090631631</v>
      </c>
      <c r="AH802" s="22" t="n">
        <f aca="false">ABS(AF802-AG802)</f>
        <v>0.0522728420114333</v>
      </c>
    </row>
    <row r="803" customFormat="false" ht="15" hidden="false" customHeight="false" outlineLevel="0" collapsed="false">
      <c r="AC803" s="17" t="n">
        <f aca="false">30+783*$AD$5</f>
        <v>78.9375</v>
      </c>
      <c r="AD803" s="17" t="n">
        <f aca="false">-Delta_c*AC803</f>
        <v>-7.99409787103954</v>
      </c>
      <c r="AF803" s="11" t="n">
        <f aca="false">(-AD803/$AD$5*AF802)/(Rho_a-AD803/$AD$5)</f>
        <v>-166.426349126469</v>
      </c>
      <c r="AG803" s="11" t="n">
        <f aca="false">IF(AC803&lt;Floor_F,MAX((-(Cost_k*Ubar_c+Delay_D)*(1-EXP(-Rho_a*LN((Top_c-AC803)/(Top_c-Floor_F))/Delta_c))/Rho_a+EXP(-Rho_a*LN((Top_c-AC803)/(Top_c-Floor_F))/Delta_c)*(-Cost_k*Delta_c*Floor_F/Rho_a)),(-Delay_D/Rho_a)),(EXP(-Rho_a*LN(AC803/Floor_F)/Delta_c)*(-Cost_k*Delta_c*Floor_F/Rho_a)))</f>
        <v>-166.374019933615</v>
      </c>
      <c r="AH803" s="22" t="n">
        <f aca="false">ABS(AF803-AG803)</f>
        <v>0.0523291928544722</v>
      </c>
    </row>
    <row r="804" customFormat="false" ht="15" hidden="false" customHeight="false" outlineLevel="0" collapsed="false">
      <c r="AC804" s="17" t="n">
        <f aca="false">30+784*$AD$5</f>
        <v>79</v>
      </c>
      <c r="AD804" s="17" t="n">
        <f aca="false">-Delta_c*AC804</f>
        <v>-8.00042732303561</v>
      </c>
      <c r="AF804" s="11" t="n">
        <f aca="false">(-AD804/$AD$5*AF803)/(Rho_a-AD804/$AD$5)</f>
        <v>-166.302525087702</v>
      </c>
      <c r="AG804" s="11" t="n">
        <f aca="false">IF(AC804&lt;Floor_F,MAX((-(Cost_k*Ubar_c+Delay_D)*(1-EXP(-Rho_a*LN((Top_c-AC804)/(Top_c-Floor_F))/Delta_c))/Rho_a+EXP(-Rho_a*LN((Top_c-AC804)/(Top_c-Floor_F))/Delta_c)*(-Cost_k*Delta_c*Floor_F/Rho_a)),(-Delay_D/Rho_a)),(EXP(-Rho_a*LN(AC804/Floor_F)/Delta_c)*(-Cost_k*Delta_c*Floor_F/Rho_a)))</f>
        <v>-166.25013977668</v>
      </c>
      <c r="AH804" s="22" t="n">
        <f aca="false">ABS(AF804-AG804)</f>
        <v>0.0523853110224479</v>
      </c>
    </row>
    <row r="805" customFormat="false" ht="15" hidden="false" customHeight="false" outlineLevel="0" collapsed="false">
      <c r="AC805" s="17" t="n">
        <f aca="false">30+785*$AD$5</f>
        <v>79.0625</v>
      </c>
      <c r="AD805" s="17" t="n">
        <f aca="false">-Delta_c*AC805</f>
        <v>-8.00675677503168</v>
      </c>
      <c r="AF805" s="11" t="n">
        <f aca="false">(-AD805/$AD$5*AF804)/(Rho_a-AD805/$AD$5)</f>
        <v>-166.178890915201</v>
      </c>
      <c r="AG805" s="11" t="n">
        <f aca="false">IF(AC805&lt;Floor_F,MAX((-(Cost_k*Ubar_c+Delay_D)*(1-EXP(-Rho_a*LN((Top_c-AC805)/(Top_c-Floor_F))/Delta_c))/Rho_a+EXP(-Rho_a*LN((Top_c-AC805)/(Top_c-Floor_F))/Delta_c)*(-Cost_k*Delta_c*Floor_F/Rho_a)),(-Delay_D/Rho_a)),(EXP(-Rho_a*LN(AC805/Floor_F)/Delta_c)*(-Cost_k*Delta_c*Floor_F/Rho_a)))</f>
        <v>-166.126449717805</v>
      </c>
      <c r="AH805" s="22" t="n">
        <f aca="false">ABS(AF805-AG805)</f>
        <v>0.0524411973957513</v>
      </c>
    </row>
    <row r="806" customFormat="false" ht="15" hidden="false" customHeight="false" outlineLevel="0" collapsed="false">
      <c r="AC806" s="17" t="n">
        <f aca="false">30+786*$AD$5</f>
        <v>79.125</v>
      </c>
      <c r="AD806" s="17" t="n">
        <f aca="false">-Delta_c*AC806</f>
        <v>-8.01308622702775</v>
      </c>
      <c r="AF806" s="11" t="n">
        <f aca="false">(-AD806/$AD$5*AF805)/(Rho_a-AD806/$AD$5)</f>
        <v>-166.055446168201</v>
      </c>
      <c r="AG806" s="11" t="n">
        <f aca="false">IF(AC806&lt;Floor_F,MAX((-(Cost_k*Ubar_c+Delay_D)*(1-EXP(-Rho_a*LN((Top_c-AC806)/(Top_c-Floor_F))/Delta_c))/Rho_a+EXP(-Rho_a*LN((Top_c-AC806)/(Top_c-Floor_F))/Delta_c)*(-Cost_k*Delta_c*Floor_F/Rho_a)),(-Delay_D/Rho_a)),(EXP(-Rho_a*LN(AC806/Floor_F)/Delta_c)*(-Cost_k*Delta_c*Floor_F/Rho_a)))</f>
        <v>-166.00294931535</v>
      </c>
      <c r="AH806" s="22" t="n">
        <f aca="false">ABS(AF806-AG806)</f>
        <v>0.0524968528506804</v>
      </c>
    </row>
    <row r="807" customFormat="false" ht="15" hidden="false" customHeight="false" outlineLevel="0" collapsed="false">
      <c r="AC807" s="17" t="n">
        <f aca="false">30+787*$AD$5</f>
        <v>79.1875</v>
      </c>
      <c r="AD807" s="17" t="n">
        <f aca="false">-Delta_c*AC807</f>
        <v>-8.01941567902382</v>
      </c>
      <c r="AF807" s="11" t="n">
        <f aca="false">(-AD807/$AD$5*AF806)/(Rho_a-AD807/$AD$5)</f>
        <v>-165.932190407307</v>
      </c>
      <c r="AG807" s="11" t="n">
        <f aca="false">IF(AC807&lt;Floor_F,MAX((-(Cost_k*Ubar_c+Delay_D)*(1-EXP(-Rho_a*LN((Top_c-AC807)/(Top_c-Floor_F))/Delta_c))/Rho_a+EXP(-Rho_a*LN((Top_c-AC807)/(Top_c-Floor_F))/Delta_c)*(-Cost_k*Delta_c*Floor_F/Rho_a)),(-Delay_D/Rho_a)),(EXP(-Rho_a*LN(AC807/Floor_F)/Delta_c)*(-Cost_k*Delta_c*Floor_F/Rho_a)))</f>
        <v>-165.879638129047</v>
      </c>
      <c r="AH807" s="22" t="n">
        <f aca="false">ABS(AF807-AG807)</f>
        <v>0.0525522782599523</v>
      </c>
    </row>
    <row r="808" customFormat="false" ht="15" hidden="false" customHeight="false" outlineLevel="0" collapsed="false">
      <c r="AC808" s="17" t="n">
        <f aca="false">30+788*$AD$5</f>
        <v>79.25</v>
      </c>
      <c r="AD808" s="17" t="n">
        <f aca="false">-Delta_c*AC808</f>
        <v>-8.0257451310199</v>
      </c>
      <c r="AF808" s="11" t="n">
        <f aca="false">(-AD808/$AD$5*AF807)/(Rho_a-AD808/$AD$5)</f>
        <v>-165.80912319449</v>
      </c>
      <c r="AG808" s="11" t="n">
        <f aca="false">IF(AC808&lt;Floor_F,MAX((-(Cost_k*Ubar_c+Delay_D)*(1-EXP(-Rho_a*LN((Top_c-AC808)/(Top_c-Floor_F))/Delta_c))/Rho_a+EXP(-Rho_a*LN((Top_c-AC808)/(Top_c-Floor_F))/Delta_c)*(-Cost_k*Delta_c*Floor_F/Rho_a)),(-Delay_D/Rho_a)),(EXP(-Rho_a*LN(AC808/Floor_F)/Delta_c)*(-Cost_k*Delta_c*Floor_F/Rho_a)))</f>
        <v>-165.756515719998</v>
      </c>
      <c r="AH808" s="22" t="n">
        <f aca="false">ABS(AF808-AG808)</f>
        <v>0.0526074744924472</v>
      </c>
    </row>
    <row r="809" customFormat="false" ht="15" hidden="false" customHeight="false" outlineLevel="0" collapsed="false">
      <c r="AC809" s="17" t="n">
        <f aca="false">30+789*$AD$5</f>
        <v>79.3125</v>
      </c>
      <c r="AD809" s="17" t="n">
        <f aca="false">-Delta_c*AC809</f>
        <v>-8.03207458301597</v>
      </c>
      <c r="AF809" s="11" t="n">
        <f aca="false">(-AD809/$AD$5*AF808)/(Rho_a-AD809/$AD$5)</f>
        <v>-165.686244093079</v>
      </c>
      <c r="AG809" s="11" t="n">
        <f aca="false">IF(AC809&lt;Floor_F,MAX((-(Cost_k*Ubar_c+Delay_D)*(1-EXP(-Rho_a*LN((Top_c-AC809)/(Top_c-Floor_F))/Delta_c))/Rho_a+EXP(-Rho_a*LN((Top_c-AC809)/(Top_c-Floor_F))/Delta_c)*(-Cost_k*Delta_c*Floor_F/Rho_a)),(-Delay_D/Rho_a)),(EXP(-Rho_a*LN(AC809/Floor_F)/Delta_c)*(-Cost_k*Delta_c*Floor_F/Rho_a)))</f>
        <v>-165.633581650666</v>
      </c>
      <c r="AH809" s="22" t="n">
        <f aca="false">ABS(AF809-AG809)</f>
        <v>0.0526624424133502</v>
      </c>
    </row>
    <row r="810" customFormat="false" ht="15" hidden="false" customHeight="false" outlineLevel="0" collapsed="false">
      <c r="AC810" s="17" t="n">
        <f aca="false">30+790*$AD$5</f>
        <v>79.375</v>
      </c>
      <c r="AD810" s="17" t="n">
        <f aca="false">-Delta_c*AC810</f>
        <v>-8.03840403501204</v>
      </c>
      <c r="AF810" s="11" t="n">
        <f aca="false">(-AD810/$AD$5*AF809)/(Rho_a-AD810/$AD$5)</f>
        <v>-165.563552667758</v>
      </c>
      <c r="AG810" s="11" t="n">
        <f aca="false">IF(AC810&lt;Floor_F,MAX((-(Cost_k*Ubar_c+Delay_D)*(1-EXP(-Rho_a*LN((Top_c-AC810)/(Top_c-Floor_F))/Delta_c))/Rho_a+EXP(-Rho_a*LN((Top_c-AC810)/(Top_c-Floor_F))/Delta_c)*(-Cost_k*Delta_c*Floor_F/Rho_a)),(-Delay_D/Rho_a)),(EXP(-Rho_a*LN(AC810/Floor_F)/Delta_c)*(-Cost_k*Delta_c*Floor_F/Rho_a)))</f>
        <v>-165.510835484874</v>
      </c>
      <c r="AH810" s="22" t="n">
        <f aca="false">ABS(AF810-AG810)</f>
        <v>0.0527171828840665</v>
      </c>
    </row>
    <row r="811" customFormat="false" ht="15" hidden="false" customHeight="false" outlineLevel="0" collapsed="false">
      <c r="AC811" s="17" t="n">
        <f aca="false">30+791*$AD$5</f>
        <v>79.4375</v>
      </c>
      <c r="AD811" s="17" t="n">
        <f aca="false">-Delta_c*AC811</f>
        <v>-8.04473348700812</v>
      </c>
      <c r="AF811" s="11" t="n">
        <f aca="false">(-AD811/$AD$5*AF810)/(Rho_a-AD811/$AD$5)</f>
        <v>-165.441048484559</v>
      </c>
      <c r="AG811" s="11" t="n">
        <f aca="false">IF(AC811&lt;Floor_F,MAX((-(Cost_k*Ubar_c+Delay_D)*(1-EXP(-Rho_a*LN((Top_c-AC811)/(Top_c-Floor_F))/Delta_c))/Rho_a+EXP(-Rho_a*LN((Top_c-AC811)/(Top_c-Floor_F))/Delta_c)*(-Cost_k*Delta_c*Floor_F/Rho_a)),(-Delay_D/Rho_a)),(EXP(-Rho_a*LN(AC811/Floor_F)/Delta_c)*(-Cost_k*Delta_c*Floor_F/Rho_a)))</f>
        <v>-165.388276787797</v>
      </c>
      <c r="AH811" s="22" t="n">
        <f aca="false">ABS(AF811-AG811)</f>
        <v>0.0527716967623633</v>
      </c>
    </row>
    <row r="812" customFormat="false" ht="15" hidden="false" customHeight="false" outlineLevel="0" collapsed="false">
      <c r="AC812" s="17" t="n">
        <f aca="false">30+792*$AD$5</f>
        <v>79.5</v>
      </c>
      <c r="AD812" s="17" t="n">
        <f aca="false">-Delta_c*AC812</f>
        <v>-8.05106293900419</v>
      </c>
      <c r="AF812" s="11" t="n">
        <f aca="false">(-AD812/$AD$5*AF811)/(Rho_a-AD812/$AD$5)</f>
        <v>-165.318731110858</v>
      </c>
      <c r="AG812" s="11" t="n">
        <f aca="false">IF(AC812&lt;Floor_F,MAX((-(Cost_k*Ubar_c+Delay_D)*(1-EXP(-Rho_a*LN((Top_c-AC812)/(Top_c-Floor_F))/Delta_c))/Rho_a+EXP(-Rho_a*LN((Top_c-AC812)/(Top_c-Floor_F))/Delta_c)*(-Cost_k*Delta_c*Floor_F/Rho_a)),(-Delay_D/Rho_a)),(EXP(-Rho_a*LN(AC812/Floor_F)/Delta_c)*(-Cost_k*Delta_c*Floor_F/Rho_a)))</f>
        <v>-165.265905125956</v>
      </c>
      <c r="AH812" s="22" t="n">
        <f aca="false">ABS(AF812-AG812)</f>
        <v>0.0528259849023129</v>
      </c>
    </row>
    <row r="813" customFormat="false" ht="15" hidden="false" customHeight="false" outlineLevel="0" collapsed="false">
      <c r="AC813" s="17" t="n">
        <f aca="false">30+793*$AD$5</f>
        <v>79.5625</v>
      </c>
      <c r="AD813" s="17" t="n">
        <f aca="false">-Delta_c*AC813</f>
        <v>-8.05739239100026</v>
      </c>
      <c r="AF813" s="11" t="n">
        <f aca="false">(-AD813/$AD$5*AF812)/(Rho_a-AD813/$AD$5)</f>
        <v>-165.19660011537</v>
      </c>
      <c r="AG813" s="11" t="n">
        <f aca="false">IF(AC813&lt;Floor_F,MAX((-(Cost_k*Ubar_c+Delay_D)*(1-EXP(-Rho_a*LN((Top_c-AC813)/(Top_c-Floor_F))/Delta_c))/Rho_a+EXP(-Rho_a*LN((Top_c-AC813)/(Top_c-Floor_F))/Delta_c)*(-Cost_k*Delta_c*Floor_F/Rho_a)),(-Delay_D/Rho_a)),(EXP(-Rho_a*LN(AC813/Floor_F)/Delta_c)*(-Cost_k*Delta_c*Floor_F/Rho_a)))</f>
        <v>-165.143720067215</v>
      </c>
      <c r="AH813" s="22" t="n">
        <f aca="false">ABS(AF813-AG813)</f>
        <v>0.052880048154293</v>
      </c>
    </row>
    <row r="814" customFormat="false" ht="15" hidden="false" customHeight="false" outlineLevel="0" collapsed="false">
      <c r="AC814" s="17" t="n">
        <f aca="false">30+794*$AD$5</f>
        <v>79.625</v>
      </c>
      <c r="AD814" s="17" t="n">
        <f aca="false">-Delta_c*AC814</f>
        <v>-8.06372184299633</v>
      </c>
      <c r="AF814" s="11" t="n">
        <f aca="false">(-AD814/$AD$5*AF813)/(Rho_a-AD814/$AD$5)</f>
        <v>-165.074655068141</v>
      </c>
      <c r="AG814" s="11" t="n">
        <f aca="false">IF(AC814&lt;Floor_F,MAX((-(Cost_k*Ubar_c+Delay_D)*(1-EXP(-Rho_a*LN((Top_c-AC814)/(Top_c-Floor_F))/Delta_c))/Rho_a+EXP(-Rho_a*LN((Top_c-AC814)/(Top_c-Floor_F))/Delta_c)*(-Cost_k*Delta_c*Floor_F/Rho_a)),(-Delay_D/Rho_a)),(EXP(-Rho_a*LN(AC814/Floor_F)/Delta_c)*(-Cost_k*Delta_c*Floor_F/Rho_a)))</f>
        <v>-165.021721180776</v>
      </c>
      <c r="AH814" s="22" t="n">
        <f aca="false">ABS(AF814-AG814)</f>
        <v>0.0529338873650147</v>
      </c>
    </row>
    <row r="815" customFormat="false" ht="15" hidden="false" customHeight="false" outlineLevel="0" collapsed="false">
      <c r="AC815" s="17" t="n">
        <f aca="false">30+795*$AD$5</f>
        <v>79.6875</v>
      </c>
      <c r="AD815" s="17" t="n">
        <f aca="false">-Delta_c*AC815</f>
        <v>-8.07005129499241</v>
      </c>
      <c r="AF815" s="11" t="n">
        <f aca="false">(-AD815/$AD$5*AF814)/(Rho_a-AD815/$AD$5)</f>
        <v>-164.952895540549</v>
      </c>
      <c r="AG815" s="11" t="n">
        <f aca="false">IF(AC815&lt;Floor_F,MAX((-(Cost_k*Ubar_c+Delay_D)*(1-EXP(-Rho_a*LN((Top_c-AC815)/(Top_c-Floor_F))/Delta_c))/Rho_a+EXP(-Rho_a*LN((Top_c-AC815)/(Top_c-Floor_F))/Delta_c)*(-Cost_k*Delta_c*Floor_F/Rho_a)),(-Delay_D/Rho_a)),(EXP(-Rho_a*LN(AC815/Floor_F)/Delta_c)*(-Cost_k*Delta_c*Floor_F/Rho_a)))</f>
        <v>-164.899908037171</v>
      </c>
      <c r="AH815" s="22" t="n">
        <f aca="false">ABS(AF815-AG815)</f>
        <v>0.0529875033776648</v>
      </c>
    </row>
    <row r="816" customFormat="false" ht="15" hidden="false" customHeight="false" outlineLevel="0" collapsed="false">
      <c r="AC816" s="17" t="n">
        <f aca="false">30+796*$AD$5</f>
        <v>79.75</v>
      </c>
      <c r="AD816" s="17" t="n">
        <f aca="false">-Delta_c*AC816</f>
        <v>-8.07638074698848</v>
      </c>
      <c r="AF816" s="11" t="n">
        <f aca="false">(-AD816/$AD$5*AF815)/(Rho_a-AD816/$AD$5)</f>
        <v>-164.831321105291</v>
      </c>
      <c r="AG816" s="11" t="n">
        <f aca="false">IF(AC816&lt;Floor_F,MAX((-(Cost_k*Ubar_c+Delay_D)*(1-EXP(-Rho_a*LN((Top_c-AC816)/(Top_c-Floor_F))/Delta_c))/Rho_a+EXP(-Rho_a*LN((Top_c-AC816)/(Top_c-Floor_F))/Delta_c)*(-Cost_k*Delta_c*Floor_F/Rho_a)),(-Delay_D/Rho_a)),(EXP(-Rho_a*LN(AC816/Floor_F)/Delta_c)*(-Cost_k*Delta_c*Floor_F/Rho_a)))</f>
        <v>-164.778280208259</v>
      </c>
      <c r="AH816" s="22" t="n">
        <f aca="false">ABS(AF816-AG816)</f>
        <v>0.0530408970316785</v>
      </c>
    </row>
    <row r="817" customFormat="false" ht="15" hidden="false" customHeight="false" outlineLevel="0" collapsed="false">
      <c r="AC817" s="17" t="n">
        <f aca="false">30+797*$AD$5</f>
        <v>79.8125</v>
      </c>
      <c r="AD817" s="17" t="n">
        <f aca="false">-Delta_c*AC817</f>
        <v>-8.08271019898455</v>
      </c>
      <c r="AF817" s="11" t="n">
        <f aca="false">(-AD817/$AD$5*AF816)/(Rho_a-AD817/$AD$5)</f>
        <v>-164.709931336383</v>
      </c>
      <c r="AG817" s="11" t="n">
        <f aca="false">IF(AC817&lt;Floor_F,MAX((-(Cost_k*Ubar_c+Delay_D)*(1-EXP(-Rho_a*LN((Top_c-AC817)/(Top_c-Floor_F))/Delta_c))/Rho_a+EXP(-Rho_a*LN((Top_c-AC817)/(Top_c-Floor_F))/Delta_c)*(-Cost_k*Delta_c*Floor_F/Rho_a)),(-Delay_D/Rho_a)),(EXP(-Rho_a*LN(AC817/Floor_F)/Delta_c)*(-Cost_k*Delta_c*Floor_F/Rho_a)))</f>
        <v>-164.65683726722</v>
      </c>
      <c r="AH817" s="22" t="n">
        <f aca="false">ABS(AF817-AG817)</f>
        <v>0.0530940691630519</v>
      </c>
    </row>
    <row r="818" customFormat="false" ht="15" hidden="false" customHeight="false" outlineLevel="0" collapsed="false">
      <c r="AC818" s="17" t="n">
        <f aca="false">30+798*$AD$5</f>
        <v>79.875</v>
      </c>
      <c r="AD818" s="17" t="n">
        <f aca="false">-Delta_c*AC818</f>
        <v>-8.08903965098062</v>
      </c>
      <c r="AF818" s="11" t="n">
        <f aca="false">(-AD818/$AD$5*AF817)/(Rho_a-AD818/$AD$5)</f>
        <v>-164.588725809155</v>
      </c>
      <c r="AG818" s="11" t="n">
        <f aca="false">IF(AC818&lt;Floor_F,MAX((-(Cost_k*Ubar_c+Delay_D)*(1-EXP(-Rho_a*LN((Top_c-AC818)/(Top_c-Floor_F))/Delta_c))/Rho_a+EXP(-Rho_a*LN((Top_c-AC818)/(Top_c-Floor_F))/Delta_c)*(-Cost_k*Delta_c*Floor_F/Rho_a)),(-Delay_D/Rho_a)),(EXP(-Rho_a*LN(AC818/Floor_F)/Delta_c)*(-Cost_k*Delta_c*Floor_F/Rho_a)))</f>
        <v>-164.535578788551</v>
      </c>
      <c r="AH818" s="22" t="n">
        <f aca="false">ABS(AF818-AG818)</f>
        <v>0.0531470206040865</v>
      </c>
    </row>
    <row r="819" customFormat="false" ht="15" hidden="false" customHeight="false" outlineLevel="0" collapsed="false">
      <c r="AC819" s="17" t="n">
        <f aca="false">30+799*$AD$5</f>
        <v>79.9375</v>
      </c>
      <c r="AD819" s="17" t="n">
        <f aca="false">-Delta_c*AC819</f>
        <v>-8.0953691029767</v>
      </c>
      <c r="AF819" s="11" t="n">
        <f aca="false">(-AD819/$AD$5*AF818)/(Rho_a-AD819/$AD$5)</f>
        <v>-164.467704100243</v>
      </c>
      <c r="AG819" s="11" t="n">
        <f aca="false">IF(AC819&lt;Floor_F,MAX((-(Cost_k*Ubar_c+Delay_D)*(1-EXP(-Rho_a*LN((Top_c-AC819)/(Top_c-Floor_F))/Delta_c))/Rho_a+EXP(-Rho_a*LN((Top_c-AC819)/(Top_c-Floor_F))/Delta_c)*(-Cost_k*Delta_c*Floor_F/Rho_a)),(-Delay_D/Rho_a)),(EXP(-Rho_a*LN(AC819/Floor_F)/Delta_c)*(-Cost_k*Delta_c*Floor_F/Rho_a)))</f>
        <v>-164.41450434806</v>
      </c>
      <c r="AH819" s="22" t="n">
        <f aca="false">ABS(AF819-AG819)</f>
        <v>0.0531997521835308</v>
      </c>
    </row>
    <row r="820" customFormat="false" ht="15" hidden="false" customHeight="false" outlineLevel="0" collapsed="false">
      <c r="AC820" s="17" t="n">
        <f aca="false">30+800*$AD$5</f>
        <v>80</v>
      </c>
      <c r="AD820" s="17" t="n">
        <f aca="false">-Delta_c*AC820</f>
        <v>-8.10169855497277</v>
      </c>
      <c r="AF820" s="11" t="n">
        <f aca="false">(-AD820/$AD$5*AF819)/(Rho_a-AD820/$AD$5)</f>
        <v>-164.346865787587</v>
      </c>
      <c r="AG820" s="11" t="n">
        <f aca="false">IF(AC820&lt;Floor_F,MAX((-(Cost_k*Ubar_c+Delay_D)*(1-EXP(-Rho_a*LN((Top_c-AC820)/(Top_c-Floor_F))/Delta_c))/Rho_a+EXP(-Rho_a*LN((Top_c-AC820)/(Top_c-Floor_F))/Delta_c)*(-Cost_k*Delta_c*Floor_F/Rho_a)),(-Delay_D/Rho_a)),(EXP(-Rho_a*LN(AC820/Floor_F)/Delta_c)*(-Cost_k*Delta_c*Floor_F/Rho_a)))</f>
        <v>-164.293613522861</v>
      </c>
      <c r="AH820" s="22" t="n">
        <f aca="false">ABS(AF820-AG820)</f>
        <v>0.0532522647267228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90"/>
  </cols>
  <sheetData>
    <row r="1" customFormat="false" ht="15" hidden="false" customHeight="false" outlineLevel="0" collapsed="false">
      <c r="A1" s="8" t="s">
        <v>323</v>
      </c>
      <c r="B1" s="8" t="s">
        <v>324</v>
      </c>
      <c r="C1" s="8" t="s">
        <v>325</v>
      </c>
    </row>
    <row r="2" customFormat="false" ht="15" hidden="false" customHeight="false" outlineLevel="0" collapsed="false">
      <c r="A2" s="2" t="s">
        <v>326</v>
      </c>
      <c r="B2" s="32" t="n">
        <v>0.000903721742949847</v>
      </c>
      <c r="C2" s="2" t="s">
        <v>327</v>
      </c>
    </row>
    <row r="3" customFormat="false" ht="15" hidden="false" customHeight="false" outlineLevel="0" collapsed="false">
      <c r="A3" s="2" t="s">
        <v>81</v>
      </c>
      <c r="B3" s="32" t="n">
        <v>-0.00122948365443142</v>
      </c>
      <c r="C3" s="2" t="s">
        <v>328</v>
      </c>
    </row>
    <row r="4" customFormat="false" ht="15" hidden="false" customHeight="false" outlineLevel="0" collapsed="false">
      <c r="A4" s="2" t="s">
        <v>329</v>
      </c>
      <c r="B4" s="32" t="n">
        <v>4.33786436615926</v>
      </c>
      <c r="C4" s="2" t="s">
        <v>330</v>
      </c>
    </row>
    <row r="5" customFormat="false" ht="15" hidden="false" customHeight="false" outlineLevel="0" collapsed="false">
      <c r="A5" s="2" t="s">
        <v>331</v>
      </c>
      <c r="B5" s="32" t="n">
        <v>2.75043790342498</v>
      </c>
      <c r="C5" s="2" t="s">
        <v>90</v>
      </c>
    </row>
    <row r="6" customFormat="false" ht="15" hidden="false" customHeight="false" outlineLevel="0" collapsed="false">
      <c r="A6" s="2" t="s">
        <v>332</v>
      </c>
      <c r="B6" s="32" t="n">
        <v>9.03721742949847</v>
      </c>
      <c r="C6" s="2" t="s">
        <v>92</v>
      </c>
    </row>
    <row r="7" customFormat="false" ht="15" hidden="false" customHeight="false" outlineLevel="0" collapsed="false">
      <c r="A7" s="2" t="s">
        <v>333</v>
      </c>
      <c r="B7" s="32" t="n">
        <v>0.180744348589969</v>
      </c>
      <c r="C7" s="2" t="s">
        <v>94</v>
      </c>
    </row>
    <row r="8" customFormat="false" ht="15" hidden="false" customHeight="false" outlineLevel="0" collapsed="false">
      <c r="A8" s="2" t="s">
        <v>334</v>
      </c>
      <c r="B8" s="32" t="n">
        <v>3.11947086213119</v>
      </c>
      <c r="C8" s="2" t="s">
        <v>335</v>
      </c>
    </row>
    <row r="9" customFormat="false" ht="15" hidden="false" customHeight="false" outlineLevel="0" collapsed="false">
      <c r="A9" s="2" t="s">
        <v>336</v>
      </c>
      <c r="B9" s="32" t="n">
        <v>1.04920586872571</v>
      </c>
      <c r="C9" s="2" t="s">
        <v>337</v>
      </c>
    </row>
    <row r="10" customFormat="false" ht="15" hidden="false" customHeight="false" outlineLevel="0" collapsed="false">
      <c r="A10" s="2" t="s">
        <v>338</v>
      </c>
      <c r="B10" s="32" t="n">
        <v>5.32024153688198</v>
      </c>
      <c r="C10" s="2" t="s">
        <v>339</v>
      </c>
    </row>
    <row r="11" customFormat="false" ht="15" hidden="false" customHeight="false" outlineLevel="0" collapsed="false">
      <c r="A11" s="2" t="s">
        <v>340</v>
      </c>
      <c r="B11" s="32" t="n">
        <v>4.4169412110559</v>
      </c>
      <c r="C11" s="2" t="s">
        <v>341</v>
      </c>
    </row>
    <row r="12" customFormat="false" ht="15" hidden="false" customHeight="false" outlineLevel="0" collapsed="false">
      <c r="A12" s="2" t="s">
        <v>342</v>
      </c>
      <c r="B12" s="32" t="n">
        <v>4.33846577261128</v>
      </c>
      <c r="C12" s="2" t="s">
        <v>343</v>
      </c>
    </row>
    <row r="13" customFormat="false" ht="15" hidden="false" customHeight="false" outlineLevel="0" collapsed="false">
      <c r="A13" s="2" t="s">
        <v>344</v>
      </c>
      <c r="B13" s="32" t="n">
        <v>9.20196085636647</v>
      </c>
      <c r="C13" s="2" t="s">
        <v>345</v>
      </c>
    </row>
    <row r="14" customFormat="false" ht="15" hidden="false" customHeight="false" outlineLevel="0" collapsed="false">
      <c r="A14" s="2" t="s">
        <v>346</v>
      </c>
      <c r="B14" s="32" t="n">
        <v>9.0372175030802</v>
      </c>
      <c r="C14" s="2" t="s">
        <v>347</v>
      </c>
    </row>
    <row r="15" customFormat="false" ht="15" hidden="false" customHeight="false" outlineLevel="0" collapsed="false">
      <c r="A15" s="2" t="s">
        <v>348</v>
      </c>
      <c r="B15" s="32" t="n">
        <v>0.00312465308696419</v>
      </c>
      <c r="C15" s="2" t="s">
        <v>349</v>
      </c>
    </row>
    <row r="16" customFormat="false" ht="15" hidden="false" customHeight="false" outlineLevel="0" collapsed="false">
      <c r="A16" s="2" t="s">
        <v>350</v>
      </c>
      <c r="B16" s="32" t="n">
        <v>4.27865366575102</v>
      </c>
      <c r="C16" s="2" t="s">
        <v>351</v>
      </c>
    </row>
    <row r="17" customFormat="false" ht="15" hidden="false" customHeight="false" outlineLevel="0" collapsed="false">
      <c r="A17" s="2" t="s">
        <v>352</v>
      </c>
      <c r="B17" s="32" t="n">
        <v>7.13104946326946</v>
      </c>
      <c r="C17" s="2" t="s">
        <v>353</v>
      </c>
    </row>
    <row r="18" customFormat="false" ht="15" hidden="false" customHeight="false" outlineLevel="0" collapsed="false">
      <c r="A18" s="2" t="s">
        <v>160</v>
      </c>
      <c r="B18" s="32" t="n">
        <v>7.22022806095484</v>
      </c>
      <c r="C18" s="2" t="s">
        <v>354</v>
      </c>
    </row>
    <row r="19" customFormat="false" ht="15" hidden="false" customHeight="false" outlineLevel="0" collapsed="false">
      <c r="A19" s="2" t="s">
        <v>161</v>
      </c>
      <c r="B19" s="32" t="n">
        <v>14.3512775242243</v>
      </c>
      <c r="C19" s="2" t="s">
        <v>355</v>
      </c>
    </row>
    <row r="20" customFormat="false" ht="15" hidden="false" customHeight="false" outlineLevel="0" collapsed="false">
      <c r="A20" s="2" t="s">
        <v>163</v>
      </c>
      <c r="B20" s="32" t="n">
        <v>5.31406009472583</v>
      </c>
      <c r="C20" s="2" t="s">
        <v>164</v>
      </c>
    </row>
    <row r="21" customFormat="false" ht="15" hidden="false" customHeight="false" outlineLevel="0" collapsed="false">
      <c r="A21" s="2" t="s">
        <v>168</v>
      </c>
      <c r="B21" s="32" t="n">
        <v>67.8112025281924</v>
      </c>
      <c r="C21" s="2" t="s">
        <v>169</v>
      </c>
    </row>
    <row r="22" customFormat="false" ht="15" hidden="false" customHeight="false" outlineLevel="0" collapsed="false">
      <c r="A22" s="2" t="s">
        <v>356</v>
      </c>
      <c r="B22" s="32" t="n">
        <v>-9.56713678107325</v>
      </c>
      <c r="C22" s="2" t="s">
        <v>357</v>
      </c>
    </row>
    <row r="23" customFormat="false" ht="15" hidden="false" customHeight="false" outlineLevel="0" collapsed="false">
      <c r="A23" s="2" t="s">
        <v>358</v>
      </c>
      <c r="B23" s="32" t="n">
        <v>0.287025550484486</v>
      </c>
      <c r="C23" s="2" t="s">
        <v>359</v>
      </c>
    </row>
    <row r="24" customFormat="false" ht="15" hidden="false" customHeight="false" outlineLevel="0" collapsed="false">
      <c r="A24" s="2" t="s">
        <v>360</v>
      </c>
      <c r="B24" s="32" t="n">
        <v>10.950822627063</v>
      </c>
      <c r="C24" s="2" t="s">
        <v>361</v>
      </c>
    </row>
    <row r="25" customFormat="false" ht="15" hidden="false" customHeight="false" outlineLevel="0" collapsed="false">
      <c r="A25" s="2" t="s">
        <v>362</v>
      </c>
      <c r="B25" s="32" t="n">
        <v>18.5396271640962</v>
      </c>
      <c r="C25" s="2" t="s">
        <v>363</v>
      </c>
    </row>
    <row r="26" customFormat="false" ht="15" hidden="false" customHeight="false" outlineLevel="0" collapsed="false">
      <c r="A26" s="2" t="s">
        <v>364</v>
      </c>
      <c r="B26" s="32" t="n">
        <v>3.40045489716134</v>
      </c>
      <c r="C26" s="2" t="s">
        <v>365</v>
      </c>
    </row>
    <row r="27" customFormat="false" ht="15" hidden="false" customHeight="false" outlineLevel="0" collapsed="false">
      <c r="A27" s="2" t="s">
        <v>366</v>
      </c>
      <c r="B27" s="32" t="n">
        <v>10.1359323627446</v>
      </c>
      <c r="C27" s="2" t="s">
        <v>367</v>
      </c>
    </row>
    <row r="28" customFormat="false" ht="15" hidden="false" customHeight="false" outlineLevel="0" collapsed="false">
      <c r="A28" s="2" t="s">
        <v>368</v>
      </c>
      <c r="B28" s="32" t="n">
        <v>11.0838365351708</v>
      </c>
      <c r="C28" s="2" t="s">
        <v>369</v>
      </c>
    </row>
    <row r="29" customFormat="false" ht="15" hidden="false" customHeight="false" outlineLevel="0" collapsed="false">
      <c r="A29" s="2" t="s">
        <v>370</v>
      </c>
      <c r="B29" s="32" t="n">
        <v>9.46155831546795</v>
      </c>
      <c r="C29" s="2" t="s">
        <v>371</v>
      </c>
    </row>
    <row r="30" customFormat="false" ht="15" hidden="false" customHeight="false" outlineLevel="0" collapsed="false">
      <c r="A30" s="2" t="s">
        <v>372</v>
      </c>
      <c r="B30" s="32" t="n">
        <v>2.04661910567233</v>
      </c>
      <c r="C30" s="2" t="s">
        <v>373</v>
      </c>
    </row>
    <row r="31" customFormat="false" ht="15" hidden="false" customHeight="false" outlineLevel="0" collapsed="false">
      <c r="A31" s="2" t="s">
        <v>374</v>
      </c>
      <c r="B31" s="32" t="n">
        <v>0.229914542387183</v>
      </c>
      <c r="C31" s="2" t="s">
        <v>375</v>
      </c>
    </row>
    <row r="32" customFormat="false" ht="15" hidden="false" customHeight="false" outlineLevel="0" collapsed="false">
      <c r="A32" s="2" t="s">
        <v>376</v>
      </c>
      <c r="B32" s="32" t="n">
        <v>0.492733114381791</v>
      </c>
      <c r="C32" s="2" t="s">
        <v>377</v>
      </c>
    </row>
    <row r="33" customFormat="false" ht="15" hidden="false" customHeight="false" outlineLevel="0" collapsed="false">
      <c r="A33" s="2" t="s">
        <v>378</v>
      </c>
      <c r="B33" s="32" t="n">
        <v>10.9235558768093</v>
      </c>
      <c r="C33" s="2" t="s">
        <v>379</v>
      </c>
    </row>
    <row r="34" customFormat="false" ht="15" hidden="false" customHeight="false" outlineLevel="0" collapsed="false">
      <c r="A34" s="2" t="s">
        <v>380</v>
      </c>
      <c r="B34" s="32" t="n">
        <v>0.960648006495929</v>
      </c>
      <c r="C34" s="2" t="s">
        <v>381</v>
      </c>
    </row>
    <row r="35" customFormat="false" ht="15" hidden="false" customHeight="false" outlineLevel="0" collapsed="false">
      <c r="A35" s="2" t="s">
        <v>382</v>
      </c>
      <c r="B35" s="32" t="n">
        <v>6.41617502041216</v>
      </c>
      <c r="C35" s="2" t="s">
        <v>383</v>
      </c>
    </row>
    <row r="36" customFormat="false" ht="15" hidden="false" customHeight="false" outlineLevel="0" collapsed="false">
      <c r="A36" s="2" t="s">
        <v>384</v>
      </c>
      <c r="B36" s="32" t="n">
        <v>6.33194012753094</v>
      </c>
      <c r="C36" s="2" t="s">
        <v>385</v>
      </c>
    </row>
    <row r="37" customFormat="false" ht="15" hidden="false" customHeight="false" outlineLevel="0" collapsed="false">
      <c r="A37" s="2" t="s">
        <v>386</v>
      </c>
      <c r="B37" s="32" t="n">
        <v>24.9472478917474</v>
      </c>
      <c r="C37" s="2" t="s">
        <v>387</v>
      </c>
    </row>
    <row r="38" customFormat="false" ht="15" hidden="false" customHeight="false" outlineLevel="0" collapsed="false">
      <c r="A38" s="2" t="s">
        <v>388</v>
      </c>
      <c r="B38" s="32" t="n">
        <v>8.35621340641141</v>
      </c>
      <c r="C38" s="2" t="s">
        <v>389</v>
      </c>
    </row>
    <row r="39" customFormat="false" ht="15" hidden="false" customHeight="false" outlineLevel="0" collapsed="false">
      <c r="A39" s="2" t="s">
        <v>390</v>
      </c>
      <c r="B39" s="32" t="n">
        <v>16.7124268128228</v>
      </c>
      <c r="C39" s="2" t="s">
        <v>391</v>
      </c>
    </row>
    <row r="40" customFormat="false" ht="15" hidden="false" customHeight="false" outlineLevel="0" collapsed="false">
      <c r="A40" s="2" t="s">
        <v>392</v>
      </c>
      <c r="B40" s="32" t="n">
        <v>12.4736239458737</v>
      </c>
      <c r="C40" s="2" t="s">
        <v>393</v>
      </c>
    </row>
    <row r="41" customFormat="false" ht="15" hidden="false" customHeight="false" outlineLevel="0" collapsed="false">
      <c r="A41" s="2" t="s">
        <v>394</v>
      </c>
      <c r="B41" s="32" t="n">
        <v>4.22016083916302</v>
      </c>
      <c r="C41" s="2" t="s">
        <v>245</v>
      </c>
    </row>
    <row r="42" customFormat="false" ht="15" hidden="false" customHeight="false" outlineLevel="0" collapsed="false">
      <c r="A42" s="2" t="s">
        <v>395</v>
      </c>
      <c r="B42" s="32" t="n">
        <v>18.5396271640962</v>
      </c>
      <c r="C42" s="2" t="s">
        <v>363</v>
      </c>
    </row>
    <row r="43" customFormat="false" ht="15" hidden="false" customHeight="false" outlineLevel="0" collapsed="false">
      <c r="A43" s="2" t="s">
        <v>396</v>
      </c>
      <c r="B43" s="32" t="n">
        <v>3.67487777819279</v>
      </c>
      <c r="C43" s="2" t="s">
        <v>255</v>
      </c>
    </row>
    <row r="44" customFormat="false" ht="15" hidden="false" customHeight="false" outlineLevel="0" collapsed="false">
      <c r="A44" s="2" t="s">
        <v>397</v>
      </c>
      <c r="B44" s="32" t="n">
        <v>19.5337619646701</v>
      </c>
      <c r="C44" s="2" t="s">
        <v>398</v>
      </c>
    </row>
    <row r="45" customFormat="false" ht="15" hidden="false" customHeight="false" outlineLevel="0" collapsed="false">
      <c r="A45" s="2" t="s">
        <v>399</v>
      </c>
      <c r="B45" s="32" t="n">
        <v>-324.455155485325</v>
      </c>
      <c r="C45" s="2" t="s">
        <v>400</v>
      </c>
    </row>
    <row r="46" customFormat="false" ht="15" hidden="false" customHeight="false" outlineLevel="0" collapsed="false">
      <c r="A46" s="2" t="s">
        <v>401</v>
      </c>
      <c r="B46" s="32" t="n">
        <v>-254.892119102207</v>
      </c>
      <c r="C46" s="2" t="s">
        <v>402</v>
      </c>
    </row>
    <row r="47" customFormat="false" ht="15" hidden="false" customHeight="false" outlineLevel="0" collapsed="false">
      <c r="A47" s="2" t="s">
        <v>403</v>
      </c>
      <c r="B47" s="32" t="n">
        <v>-233.759615939411</v>
      </c>
      <c r="C47" s="2" t="s">
        <v>404</v>
      </c>
    </row>
    <row r="48" customFormat="false" ht="15" hidden="false" customHeight="false" outlineLevel="0" collapsed="false">
      <c r="A48" s="2" t="s">
        <v>405</v>
      </c>
      <c r="B48" s="32" t="n">
        <v>-222.362657933191</v>
      </c>
      <c r="C48" s="2" t="s">
        <v>406</v>
      </c>
    </row>
    <row r="49" customFormat="false" ht="15" hidden="false" customHeight="false" outlineLevel="0" collapsed="false">
      <c r="A49" s="2" t="s">
        <v>407</v>
      </c>
      <c r="B49" s="32" t="n">
        <v>43.446246513125</v>
      </c>
      <c r="C49" s="2" t="s">
        <v>408</v>
      </c>
    </row>
    <row r="50" customFormat="false" ht="15" hidden="false" customHeight="false" outlineLevel="0" collapsed="false">
      <c r="A50" s="2" t="s">
        <v>409</v>
      </c>
      <c r="B50" s="32" t="n">
        <v>7.07291692129386</v>
      </c>
      <c r="C50" s="2" t="s">
        <v>410</v>
      </c>
    </row>
    <row r="51" customFormat="false" ht="15" hidden="false" customHeight="false" outlineLevel="0" collapsed="false">
      <c r="A51" s="2" t="s">
        <v>315</v>
      </c>
      <c r="B51" s="32" t="n">
        <v>11.0218471475924</v>
      </c>
      <c r="C51" s="2" t="s">
        <v>411</v>
      </c>
    </row>
    <row r="52" customFormat="false" ht="15" hidden="false" customHeight="false" outlineLevel="0" collapsed="false">
      <c r="A52" s="2" t="s">
        <v>412</v>
      </c>
      <c r="B52" s="32" t="n">
        <v>22.2796710261752</v>
      </c>
      <c r="C52" s="2" t="s">
        <v>413</v>
      </c>
    </row>
    <row r="53" customFormat="false" ht="15" hidden="false" customHeight="false" outlineLevel="0" collapsed="false">
      <c r="A53" s="2" t="s">
        <v>414</v>
      </c>
      <c r="B53" s="32" t="n">
        <v>49.5994196297189</v>
      </c>
      <c r="C53" s="2" t="s">
        <v>415</v>
      </c>
    </row>
    <row r="54" customFormat="false" ht="15" hidden="false" customHeight="false" outlineLevel="0" collapsed="false">
      <c r="A54" s="2" t="s">
        <v>282</v>
      </c>
      <c r="B54" s="32" t="n">
        <v>-21.1934249093801</v>
      </c>
      <c r="C54" s="2" t="s">
        <v>416</v>
      </c>
    </row>
    <row r="55" customFormat="false" ht="15" hidden="false" customHeight="false" outlineLevel="0" collapsed="false">
      <c r="A55" s="2" t="s">
        <v>417</v>
      </c>
      <c r="B55" s="32" t="n">
        <v>5.87373145235528</v>
      </c>
      <c r="C55" s="2" t="s">
        <v>418</v>
      </c>
    </row>
    <row r="56" customFormat="false" ht="15" hidden="false" customHeight="false" outlineLevel="0" collapsed="false">
      <c r="A56" s="2" t="s">
        <v>419</v>
      </c>
      <c r="B56" s="32" t="n">
        <v>3.60817056096118</v>
      </c>
      <c r="C56" s="2" t="s">
        <v>420</v>
      </c>
    </row>
    <row r="57" customFormat="false" ht="15" hidden="false" customHeight="false" outlineLevel="0" collapsed="false">
      <c r="A57" s="2" t="s">
        <v>421</v>
      </c>
      <c r="B57" s="32" t="n">
        <v>-254.463926101897</v>
      </c>
      <c r="C57" s="2" t="s">
        <v>422</v>
      </c>
    </row>
    <row r="58" customFormat="false" ht="15" hidden="false" customHeight="false" outlineLevel="0" collapsed="false">
      <c r="A58" s="2" t="s">
        <v>423</v>
      </c>
      <c r="B58" s="32" t="n">
        <v>1.5824661397312</v>
      </c>
      <c r="C58" s="2" t="s">
        <v>424</v>
      </c>
    </row>
    <row r="59" customFormat="false" ht="15" hidden="false" customHeight="false" outlineLevel="0" collapsed="false">
      <c r="A59" s="2" t="s">
        <v>425</v>
      </c>
      <c r="B59" s="32" t="n">
        <v>1.68138419426816</v>
      </c>
      <c r="C59" s="2" t="s">
        <v>426</v>
      </c>
    </row>
    <row r="60" customFormat="false" ht="15" hidden="false" customHeight="false" outlineLevel="0" collapsed="false">
      <c r="A60" s="2" t="s">
        <v>427</v>
      </c>
      <c r="B60" s="32" t="n">
        <v>44</v>
      </c>
      <c r="C60" s="2" t="s">
        <v>428</v>
      </c>
    </row>
    <row r="61" customFormat="false" ht="15" hidden="false" customHeight="false" outlineLevel="0" collapsed="false">
      <c r="A61" s="2" t="s">
        <v>429</v>
      </c>
      <c r="B61" s="32" t="n">
        <v>0.871327835763793</v>
      </c>
      <c r="C61" s="2" t="s">
        <v>430</v>
      </c>
    </row>
    <row r="62" customFormat="false" ht="15" hidden="false" customHeight="false" outlineLevel="0" collapsed="false">
      <c r="A62" s="2" t="s">
        <v>431</v>
      </c>
      <c r="B62" s="32" t="n">
        <v>0.437520002262374</v>
      </c>
      <c r="C62" s="2" t="s">
        <v>432</v>
      </c>
    </row>
    <row r="63" customFormat="false" ht="15" hidden="false" customHeight="false" outlineLevel="0" collapsed="false">
      <c r="A63" s="2" t="s">
        <v>433</v>
      </c>
      <c r="B63" s="32" t="n">
        <v>0.219226956500393</v>
      </c>
      <c r="C63" s="2" t="s">
        <v>434</v>
      </c>
    </row>
    <row r="64" customFormat="false" ht="15" hidden="false" customHeight="false" outlineLevel="0" collapsed="false">
      <c r="A64" s="2" t="s">
        <v>435</v>
      </c>
      <c r="B64" s="32" t="n">
        <v>0.109730586557134</v>
      </c>
      <c r="C64" s="2" t="s">
        <v>436</v>
      </c>
    </row>
    <row r="65" customFormat="false" ht="15" hidden="false" customHeight="false" outlineLevel="0" collapsed="false">
      <c r="A65" s="2" t="s">
        <v>437</v>
      </c>
      <c r="B65" s="32" t="n">
        <v>-222.374584130806</v>
      </c>
      <c r="C65" s="2" t="s">
        <v>438</v>
      </c>
    </row>
    <row r="66" customFormat="false" ht="15" hidden="false" customHeight="false" outlineLevel="0" collapsed="false">
      <c r="A66" s="2" t="s">
        <v>439</v>
      </c>
      <c r="B66" s="32" t="n">
        <v>10.9922118733271</v>
      </c>
      <c r="C66" s="2" t="s">
        <v>440</v>
      </c>
    </row>
    <row r="67" customFormat="false" ht="15" hidden="false" customHeight="false" outlineLevel="0" collapsed="false">
      <c r="A67" s="2" t="s">
        <v>441</v>
      </c>
      <c r="B67" s="32" t="n">
        <v>3.99119606662543</v>
      </c>
      <c r="C67" s="2" t="s">
        <v>442</v>
      </c>
    </row>
    <row r="68" customFormat="false" ht="15" hidden="false" customHeight="false" outlineLevel="0" collapsed="false">
      <c r="A68" s="2" t="s">
        <v>443</v>
      </c>
      <c r="B68" s="32" t="n">
        <v>43.4375</v>
      </c>
      <c r="C68" s="2" t="s">
        <v>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16"/>
    <col collapsed="false" customWidth="true" hidden="false" outlineLevel="0" max="5" min="4" style="0" width="11"/>
    <col collapsed="false" customWidth="true" hidden="false" outlineLevel="0" max="6" min="6" style="0" width="10"/>
  </cols>
  <sheetData>
    <row r="1" customFormat="false" ht="15" hidden="false" customHeight="false" outlineLevel="0" collapsed="false">
      <c r="A1" s="8" t="s">
        <v>323</v>
      </c>
      <c r="B1" s="8" t="s">
        <v>445</v>
      </c>
      <c r="C1" s="8" t="s">
        <v>324</v>
      </c>
      <c r="D1" s="8" t="s">
        <v>446</v>
      </c>
      <c r="E1" s="8" t="s">
        <v>447</v>
      </c>
      <c r="F1" s="8" t="s">
        <v>448</v>
      </c>
    </row>
    <row r="2" customFormat="false" ht="15" hidden="false" customHeight="false" outlineLevel="0" collapsed="false">
      <c r="A2" s="2" t="s">
        <v>326</v>
      </c>
      <c r="B2" s="11" t="n">
        <f aca="false">Riccati!B7</f>
        <v>0.000903721742949847</v>
      </c>
      <c r="C2" s="33" t="n">
        <f aca="false">Reference_Values!B2</f>
        <v>0.000903721742949847</v>
      </c>
      <c r="D2" s="22" t="n">
        <f aca="false">ABS(B2-C2)</f>
        <v>0</v>
      </c>
      <c r="E2" s="34" t="n">
        <v>1E-012</v>
      </c>
      <c r="F2" s="4" t="str">
        <f aca="false">IF(D2&lt;=E2,"PASS","FAIL")</f>
        <v>PASS</v>
      </c>
    </row>
    <row r="3" customFormat="false" ht="15" hidden="false" customHeight="false" outlineLevel="0" collapsed="false">
      <c r="A3" s="2" t="s">
        <v>81</v>
      </c>
      <c r="B3" s="11" t="n">
        <f aca="false">Riccati!B8</f>
        <v>-0.00122948365443142</v>
      </c>
      <c r="C3" s="33" t="n">
        <f aca="false">Reference_Values!B3</f>
        <v>-0.00122948365443142</v>
      </c>
      <c r="D3" s="22" t="n">
        <f aca="false">ABS(B3-C3)</f>
        <v>0</v>
      </c>
      <c r="E3" s="34" t="n">
        <v>1E-012</v>
      </c>
      <c r="F3" s="4" t="str">
        <f aca="false">IF(D3&lt;=E3,"PASS","FAIL")</f>
        <v>PASS</v>
      </c>
    </row>
    <row r="4" customFormat="false" ht="15" hidden="false" customHeight="false" outlineLevel="0" collapsed="false">
      <c r="A4" s="2" t="s">
        <v>329</v>
      </c>
      <c r="B4" s="11" t="n">
        <f aca="false">Riccati!B9</f>
        <v>4.33786436615926</v>
      </c>
      <c r="C4" s="33" t="n">
        <f aca="false">Reference_Values!B4</f>
        <v>4.33786436615926</v>
      </c>
      <c r="D4" s="22" t="n">
        <f aca="false">ABS(B4-C4)</f>
        <v>0</v>
      </c>
      <c r="E4" s="34" t="n">
        <v>1E-009</v>
      </c>
      <c r="F4" s="4" t="str">
        <f aca="false">IF(D4&lt;=E4,"PASS","FAIL")</f>
        <v>PASS</v>
      </c>
    </row>
    <row r="5" customFormat="false" ht="15" hidden="false" customHeight="false" outlineLevel="0" collapsed="false">
      <c r="A5" s="2" t="s">
        <v>331</v>
      </c>
      <c r="B5" s="11" t="n">
        <f aca="false">Riccati!B13</f>
        <v>2.75043790342498</v>
      </c>
      <c r="C5" s="33" t="n">
        <f aca="false">Reference_Values!B5</f>
        <v>2.75043790342498</v>
      </c>
      <c r="D5" s="22" t="n">
        <f aca="false">ABS(B5-C5)</f>
        <v>0</v>
      </c>
      <c r="E5" s="34" t="n">
        <v>1E-009</v>
      </c>
      <c r="F5" s="4" t="str">
        <f aca="false">IF(D5&lt;=E5,"PASS","FAIL")</f>
        <v>PASS</v>
      </c>
    </row>
    <row r="6" customFormat="false" ht="15" hidden="false" customHeight="false" outlineLevel="0" collapsed="false">
      <c r="A6" s="2" t="s">
        <v>332</v>
      </c>
      <c r="B6" s="11" t="n">
        <f aca="false">Riccati!B14</f>
        <v>9.03721742949847</v>
      </c>
      <c r="C6" s="33" t="n">
        <f aca="false">Reference_Values!B6</f>
        <v>9.03721742949847</v>
      </c>
      <c r="D6" s="22" t="n">
        <f aca="false">ABS(B6-C6)</f>
        <v>0</v>
      </c>
      <c r="E6" s="34" t="n">
        <v>1E-009</v>
      </c>
      <c r="F6" s="4" t="str">
        <f aca="false">IF(D6&lt;=E6,"PASS","FAIL")</f>
        <v>PASS</v>
      </c>
    </row>
    <row r="7" customFormat="false" ht="15" hidden="false" customHeight="false" outlineLevel="0" collapsed="false">
      <c r="A7" s="2" t="s">
        <v>333</v>
      </c>
      <c r="B7" s="11" t="n">
        <f aca="false">Riccati!B15</f>
        <v>0.180744348589969</v>
      </c>
      <c r="C7" s="33" t="n">
        <f aca="false">Reference_Values!B7</f>
        <v>0.180744348589969</v>
      </c>
      <c r="D7" s="22" t="n">
        <f aca="false">ABS(B7-C7)</f>
        <v>0</v>
      </c>
      <c r="E7" s="34" t="n">
        <v>1E-012</v>
      </c>
      <c r="F7" s="4" t="str">
        <f aca="false">IF(D7&lt;=E7,"PASS","FAIL")</f>
        <v>PASS</v>
      </c>
    </row>
    <row r="8" customFormat="false" ht="15" hidden="false" customHeight="false" outlineLevel="0" collapsed="false">
      <c r="A8" s="2" t="s">
        <v>334</v>
      </c>
      <c r="B8" s="11" t="n">
        <f aca="false">Riccati!B21</f>
        <v>3.11947086213119</v>
      </c>
      <c r="C8" s="33" t="n">
        <f aca="false">Reference_Values!B8</f>
        <v>3.11947086213119</v>
      </c>
      <c r="D8" s="22" t="n">
        <f aca="false">ABS(B8-C8)</f>
        <v>0</v>
      </c>
      <c r="E8" s="34" t="n">
        <v>1E-009</v>
      </c>
      <c r="F8" s="4" t="str">
        <f aca="false">IF(D8&lt;=E8,"PASS","FAIL")</f>
        <v>PASS</v>
      </c>
    </row>
    <row r="9" customFormat="false" ht="15" hidden="false" customHeight="false" outlineLevel="0" collapsed="false">
      <c r="A9" s="2" t="s">
        <v>336</v>
      </c>
      <c r="B9" s="11" t="n">
        <f aca="false">Riccati!B23</f>
        <v>1.04920586872571</v>
      </c>
      <c r="C9" s="33" t="n">
        <f aca="false">Reference_Values!B9</f>
        <v>1.04920586872571</v>
      </c>
      <c r="D9" s="22" t="n">
        <f aca="false">ABS(B9-C9)</f>
        <v>0</v>
      </c>
      <c r="E9" s="34" t="n">
        <v>1E-009</v>
      </c>
      <c r="F9" s="4" t="str">
        <f aca="false">IF(D9&lt;=E9,"PASS","FAIL")</f>
        <v>PASS</v>
      </c>
    </row>
    <row r="10" customFormat="false" ht="15" hidden="false" customHeight="false" outlineLevel="0" collapsed="false">
      <c r="A10" s="2" t="s">
        <v>338</v>
      </c>
      <c r="B10" s="11" t="n">
        <f aca="false">PolicyIteration!B6</f>
        <v>5.32024153688198</v>
      </c>
      <c r="C10" s="33" t="n">
        <f aca="false">Reference_Values!B10</f>
        <v>5.32024153688198</v>
      </c>
      <c r="D10" s="22" t="n">
        <f aca="false">ABS(B10-C10)</f>
        <v>0</v>
      </c>
      <c r="E10" s="34" t="n">
        <v>1E-009</v>
      </c>
      <c r="F10" s="4" t="str">
        <f aca="false">IF(D10&lt;=E10,"PASS","FAIL")</f>
        <v>PASS</v>
      </c>
    </row>
    <row r="11" customFormat="false" ht="15" hidden="false" customHeight="false" outlineLevel="0" collapsed="false">
      <c r="A11" s="2" t="s">
        <v>340</v>
      </c>
      <c r="B11" s="11" t="n">
        <f aca="false">PolicyIteration!B7</f>
        <v>4.4169412110559</v>
      </c>
      <c r="C11" s="33" t="n">
        <f aca="false">Reference_Values!B11</f>
        <v>4.4169412110559</v>
      </c>
      <c r="D11" s="22" t="n">
        <f aca="false">ABS(B11-C11)</f>
        <v>0</v>
      </c>
      <c r="E11" s="34" t="n">
        <v>1E-009</v>
      </c>
      <c r="F11" s="4" t="str">
        <f aca="false">IF(D11&lt;=E11,"PASS","FAIL")</f>
        <v>PASS</v>
      </c>
    </row>
    <row r="12" customFormat="false" ht="15" hidden="false" customHeight="false" outlineLevel="0" collapsed="false">
      <c r="A12" s="2" t="s">
        <v>342</v>
      </c>
      <c r="B12" s="11" t="n">
        <f aca="false">PolicyIteration!B8</f>
        <v>4.33846577261128</v>
      </c>
      <c r="C12" s="33" t="n">
        <f aca="false">Reference_Values!B12</f>
        <v>4.33846577261128</v>
      </c>
      <c r="D12" s="22" t="n">
        <f aca="false">ABS(B12-C12)</f>
        <v>0</v>
      </c>
      <c r="E12" s="34" t="n">
        <v>1E-009</v>
      </c>
      <c r="F12" s="4" t="str">
        <f aca="false">IF(D12&lt;=E12,"PASS","FAIL")</f>
        <v>PASS</v>
      </c>
    </row>
    <row r="13" customFormat="false" ht="15" hidden="false" customHeight="false" outlineLevel="0" collapsed="false">
      <c r="A13" s="2" t="s">
        <v>344</v>
      </c>
      <c r="B13" s="11" t="n">
        <f aca="false">PolicyIteration!D6</f>
        <v>9.20196085636647</v>
      </c>
      <c r="C13" s="33" t="n">
        <f aca="false">Reference_Values!B13</f>
        <v>9.20196085636647</v>
      </c>
      <c r="D13" s="22" t="n">
        <f aca="false">ABS(B13-C13)</f>
        <v>0</v>
      </c>
      <c r="E13" s="34" t="n">
        <v>1E-009</v>
      </c>
      <c r="F13" s="4" t="str">
        <f aca="false">IF(D13&lt;=E13,"PASS","FAIL")</f>
        <v>PASS</v>
      </c>
    </row>
    <row r="14" customFormat="false" ht="15" hidden="false" customHeight="false" outlineLevel="0" collapsed="false">
      <c r="A14" s="2" t="s">
        <v>346</v>
      </c>
      <c r="B14" s="11" t="n">
        <f aca="false">PolicyIteration!D8</f>
        <v>9.0372175030802</v>
      </c>
      <c r="C14" s="33" t="n">
        <f aca="false">Reference_Values!B14</f>
        <v>9.0372175030802</v>
      </c>
      <c r="D14" s="22" t="n">
        <f aca="false">ABS(B14-C14)</f>
        <v>0</v>
      </c>
      <c r="E14" s="34" t="n">
        <v>1E-009</v>
      </c>
      <c r="F14" s="4" t="str">
        <f aca="false">IF(D14&lt;=E14,"PASS","FAIL")</f>
        <v>PASS</v>
      </c>
    </row>
    <row r="15" customFormat="false" ht="15" hidden="false" customHeight="false" outlineLevel="0" collapsed="false">
      <c r="A15" s="2" t="s">
        <v>348</v>
      </c>
      <c r="B15" s="11" t="n">
        <f aca="false">Delay!B4</f>
        <v>0.00312465308696419</v>
      </c>
      <c r="C15" s="33" t="n">
        <f aca="false">Reference_Values!B15</f>
        <v>0.00312465308696419</v>
      </c>
      <c r="D15" s="22" t="n">
        <f aca="false">ABS(B15-C15)</f>
        <v>0</v>
      </c>
      <c r="E15" s="34" t="n">
        <v>1E-012</v>
      </c>
      <c r="F15" s="4" t="str">
        <f aca="false">IF(D15&lt;=E15,"PASS","FAIL")</f>
        <v>PASS</v>
      </c>
    </row>
    <row r="16" customFormat="false" ht="15" hidden="false" customHeight="false" outlineLevel="0" collapsed="false">
      <c r="A16" s="2" t="s">
        <v>350</v>
      </c>
      <c r="B16" s="11" t="n">
        <f aca="false">Delay!B6</f>
        <v>4.27865366575102</v>
      </c>
      <c r="C16" s="33" t="n">
        <f aca="false">Reference_Values!B16</f>
        <v>4.27865366575102</v>
      </c>
      <c r="D16" s="22" t="n">
        <f aca="false">ABS(B16-C16)</f>
        <v>0</v>
      </c>
      <c r="E16" s="34" t="n">
        <v>1E-009</v>
      </c>
      <c r="F16" s="4" t="str">
        <f aca="false">IF(D16&lt;=E16,"PASS","FAIL")</f>
        <v>PASS</v>
      </c>
    </row>
    <row r="17" customFormat="false" ht="15" hidden="false" customHeight="false" outlineLevel="0" collapsed="false">
      <c r="A17" s="2" t="s">
        <v>352</v>
      </c>
      <c r="B17" s="11" t="n">
        <f aca="false">Delay!B9</f>
        <v>7.13104946326946</v>
      </c>
      <c r="C17" s="33" t="n">
        <f aca="false">Reference_Values!B17</f>
        <v>7.13104946326946</v>
      </c>
      <c r="D17" s="22" t="n">
        <f aca="false">ABS(B17-C17)</f>
        <v>0</v>
      </c>
      <c r="E17" s="34" t="n">
        <v>1E-009</v>
      </c>
      <c r="F17" s="4" t="str">
        <f aca="false">IF(D17&lt;=E17,"PASS","FAIL")</f>
        <v>PASS</v>
      </c>
    </row>
    <row r="18" customFormat="false" ht="15" hidden="false" customHeight="false" outlineLevel="0" collapsed="false">
      <c r="A18" s="2" t="s">
        <v>160</v>
      </c>
      <c r="B18" s="11" t="n">
        <f aca="false">Delay!B10</f>
        <v>7.22022806095484</v>
      </c>
      <c r="C18" s="33" t="n">
        <f aca="false">Reference_Values!B18</f>
        <v>7.22022806095484</v>
      </c>
      <c r="D18" s="22" t="n">
        <f aca="false">ABS(B18-C18)</f>
        <v>0</v>
      </c>
      <c r="E18" s="34" t="n">
        <v>1E-009</v>
      </c>
      <c r="F18" s="4" t="str">
        <f aca="false">IF(D18&lt;=E18,"PASS","FAIL")</f>
        <v>PASS</v>
      </c>
    </row>
    <row r="19" customFormat="false" ht="15" hidden="false" customHeight="false" outlineLevel="0" collapsed="false">
      <c r="A19" s="2" t="s">
        <v>161</v>
      </c>
      <c r="B19" s="11" t="n">
        <f aca="false">Delay!B11</f>
        <v>14.3512775242243</v>
      </c>
      <c r="C19" s="33" t="n">
        <f aca="false">Reference_Values!B19</f>
        <v>14.3512775242243</v>
      </c>
      <c r="D19" s="22" t="n">
        <f aca="false">ABS(B19-C19)</f>
        <v>0</v>
      </c>
      <c r="E19" s="34" t="n">
        <v>1E-009</v>
      </c>
      <c r="F19" s="4" t="str">
        <f aca="false">IF(D19&lt;=E19,"PASS","FAIL")</f>
        <v>PASS</v>
      </c>
    </row>
    <row r="20" customFormat="false" ht="15" hidden="false" customHeight="false" outlineLevel="0" collapsed="false">
      <c r="A20" s="2" t="s">
        <v>163</v>
      </c>
      <c r="B20" s="11" t="n">
        <f aca="false">Delay!B12</f>
        <v>5.31406009472583</v>
      </c>
      <c r="C20" s="33" t="n">
        <f aca="false">Reference_Values!B20</f>
        <v>5.31406009472583</v>
      </c>
      <c r="D20" s="22" t="n">
        <f aca="false">ABS(B20-C20)</f>
        <v>0</v>
      </c>
      <c r="E20" s="34" t="n">
        <v>1E-009</v>
      </c>
      <c r="F20" s="4" t="str">
        <f aca="false">IF(D20&lt;=E20,"PASS","FAIL")</f>
        <v>PASS</v>
      </c>
    </row>
    <row r="21" customFormat="false" ht="15" hidden="false" customHeight="false" outlineLevel="0" collapsed="false">
      <c r="A21" s="2" t="s">
        <v>168</v>
      </c>
      <c r="B21" s="11" t="n">
        <f aca="false">Delay!B15</f>
        <v>67.8112025281924</v>
      </c>
      <c r="C21" s="33" t="n">
        <f aca="false">Reference_Values!B21</f>
        <v>67.8112025281924</v>
      </c>
      <c r="D21" s="22" t="n">
        <f aca="false">ABS(B21-C21)</f>
        <v>0</v>
      </c>
      <c r="E21" s="34" t="n">
        <v>1E-009</v>
      </c>
      <c r="F21" s="4" t="str">
        <f aca="false">IF(D21&lt;=E21,"PASS","FAIL")</f>
        <v>PASS</v>
      </c>
    </row>
    <row r="22" customFormat="false" ht="15" hidden="false" customHeight="false" outlineLevel="0" collapsed="false">
      <c r="A22" s="2" t="s">
        <v>356</v>
      </c>
      <c r="B22" s="11" t="n">
        <f aca="false">Delay!B16</f>
        <v>-9.56713678107325</v>
      </c>
      <c r="C22" s="33" t="n">
        <f aca="false">Reference_Values!B22</f>
        <v>-9.56713678107325</v>
      </c>
      <c r="D22" s="22" t="n">
        <f aca="false">ABS(B22-C22)</f>
        <v>0</v>
      </c>
      <c r="E22" s="34" t="n">
        <v>1E-009</v>
      </c>
      <c r="F22" s="4" t="str">
        <f aca="false">IF(D22&lt;=E22,"PASS","FAIL")</f>
        <v>PASS</v>
      </c>
    </row>
    <row r="23" customFormat="false" ht="15" hidden="false" customHeight="false" outlineLevel="0" collapsed="false">
      <c r="A23" s="2" t="s">
        <v>358</v>
      </c>
      <c r="B23" s="11" t="n">
        <f aca="false">Delay!B19</f>
        <v>0.287025550484486</v>
      </c>
      <c r="C23" s="33" t="n">
        <f aca="false">Reference_Values!B23</f>
        <v>0.287025550484486</v>
      </c>
      <c r="D23" s="22" t="n">
        <f aca="false">ABS(B23-C23)</f>
        <v>0</v>
      </c>
      <c r="E23" s="34" t="n">
        <v>1E-012</v>
      </c>
      <c r="F23" s="4" t="str">
        <f aca="false">IF(D23&lt;=E23,"PASS","FAIL")</f>
        <v>PASS</v>
      </c>
    </row>
    <row r="24" customFormat="false" ht="15" hidden="false" customHeight="false" outlineLevel="0" collapsed="false">
      <c r="A24" s="2" t="s">
        <v>360</v>
      </c>
      <c r="B24" s="11" t="n">
        <f aca="false">Delay!G24</f>
        <v>10.9508226270629</v>
      </c>
      <c r="C24" s="33" t="n">
        <f aca="false">Reference_Values!B24</f>
        <v>10.950822627063</v>
      </c>
      <c r="D24" s="22" t="n">
        <f aca="false">ABS(B24-C24)</f>
        <v>0</v>
      </c>
      <c r="E24" s="34" t="n">
        <v>1E-009</v>
      </c>
      <c r="F24" s="4" t="str">
        <f aca="false">IF(D24&lt;=E24,"PASS","FAIL")</f>
        <v>PASS</v>
      </c>
    </row>
    <row r="25" customFormat="false" ht="15" hidden="false" customHeight="false" outlineLevel="0" collapsed="false">
      <c r="A25" s="2" t="s">
        <v>362</v>
      </c>
      <c r="B25" s="11" t="n">
        <f aca="false">Delay!G29</f>
        <v>18.5396271640962</v>
      </c>
      <c r="C25" s="33" t="n">
        <f aca="false">Reference_Values!B25</f>
        <v>18.5396271640962</v>
      </c>
      <c r="D25" s="22" t="n">
        <f aca="false">ABS(B25-C25)</f>
        <v>0</v>
      </c>
      <c r="E25" s="34" t="n">
        <v>1E-009</v>
      </c>
      <c r="F25" s="4" t="str">
        <f aca="false">IF(D25&lt;=E25,"PASS","FAIL")</f>
        <v>PASS</v>
      </c>
    </row>
    <row r="26" customFormat="false" ht="15" hidden="false" customHeight="false" outlineLevel="0" collapsed="false">
      <c r="A26" s="2" t="s">
        <v>364</v>
      </c>
      <c r="B26" s="11" t="n">
        <f aca="false">Delay!G31</f>
        <v>3.40045489716135</v>
      </c>
      <c r="C26" s="33" t="n">
        <f aca="false">Reference_Values!B26</f>
        <v>3.40045489716134</v>
      </c>
      <c r="D26" s="22" t="n">
        <f aca="false">ABS(B26-C26)</f>
        <v>0</v>
      </c>
      <c r="E26" s="34" t="n">
        <v>1E-009</v>
      </c>
      <c r="F26" s="4" t="str">
        <f aca="false">IF(D26&lt;=E26,"PASS","FAIL")</f>
        <v>PASS</v>
      </c>
    </row>
    <row r="27" customFormat="false" ht="15" hidden="false" customHeight="false" outlineLevel="0" collapsed="false">
      <c r="A27" s="2" t="s">
        <v>366</v>
      </c>
      <c r="B27" s="11" t="n">
        <f aca="false">PolicyIteration!C16</f>
        <v>10.1359323627446</v>
      </c>
      <c r="C27" s="33" t="n">
        <f aca="false">Reference_Values!B27</f>
        <v>10.1359323627446</v>
      </c>
      <c r="D27" s="22" t="n">
        <f aca="false">ABS(B27-C27)</f>
        <v>0</v>
      </c>
      <c r="E27" s="34" t="n">
        <v>1E-009</v>
      </c>
      <c r="F27" s="4" t="str">
        <f aca="false">IF(D27&lt;=E27,"PASS","FAIL")</f>
        <v>PASS</v>
      </c>
    </row>
    <row r="28" customFormat="false" ht="15" hidden="false" customHeight="false" outlineLevel="0" collapsed="false">
      <c r="A28" s="2" t="s">
        <v>368</v>
      </c>
      <c r="B28" s="11" t="n">
        <f aca="false">PolicyIteration!C17</f>
        <v>11.0838365351708</v>
      </c>
      <c r="C28" s="33" t="n">
        <f aca="false">Reference_Values!B28</f>
        <v>11.0838365351708</v>
      </c>
      <c r="D28" s="22" t="n">
        <f aca="false">ABS(B28-C28)</f>
        <v>0</v>
      </c>
      <c r="E28" s="34" t="n">
        <v>1E-009</v>
      </c>
      <c r="F28" s="4" t="str">
        <f aca="false">IF(D28&lt;=E28,"PASS","FAIL")</f>
        <v>PASS</v>
      </c>
    </row>
    <row r="29" customFormat="false" ht="15" hidden="false" customHeight="false" outlineLevel="0" collapsed="false">
      <c r="A29" s="2" t="s">
        <v>370</v>
      </c>
      <c r="B29" s="11" t="n">
        <f aca="false">PolicyIteration!C18</f>
        <v>9.46155831546795</v>
      </c>
      <c r="C29" s="33" t="n">
        <f aca="false">Reference_Values!B29</f>
        <v>9.46155831546795</v>
      </c>
      <c r="D29" s="22" t="n">
        <f aca="false">ABS(B29-C29)</f>
        <v>0</v>
      </c>
      <c r="E29" s="34" t="n">
        <v>1E-009</v>
      </c>
      <c r="F29" s="4" t="str">
        <f aca="false">IF(D29&lt;=E29,"PASS","FAIL")</f>
        <v>PASS</v>
      </c>
    </row>
    <row r="30" customFormat="false" ht="15" hidden="false" customHeight="false" outlineLevel="0" collapsed="false">
      <c r="A30" s="2" t="s">
        <v>372</v>
      </c>
      <c r="B30" s="11" t="n">
        <f aca="false">PolicyIteration!C19</f>
        <v>2.04661910567233</v>
      </c>
      <c r="C30" s="33" t="n">
        <f aca="false">Reference_Values!B30</f>
        <v>2.04661910567233</v>
      </c>
      <c r="D30" s="22" t="n">
        <f aca="false">ABS(B30-C30)</f>
        <v>0</v>
      </c>
      <c r="E30" s="34" t="n">
        <v>1E-009</v>
      </c>
      <c r="F30" s="4" t="str">
        <f aca="false">IF(D30&lt;=E30,"PASS","FAIL")</f>
        <v>PASS</v>
      </c>
    </row>
    <row r="31" customFormat="false" ht="15" hidden="false" customHeight="false" outlineLevel="0" collapsed="false">
      <c r="A31" s="2" t="s">
        <v>374</v>
      </c>
      <c r="B31" s="11" t="n">
        <f aca="false">Rules!I7</f>
        <v>0.22991454238718</v>
      </c>
      <c r="C31" s="33" t="n">
        <f aca="false">Reference_Values!B31</f>
        <v>0.229914542387183</v>
      </c>
      <c r="D31" s="22" t="n">
        <f aca="false">ABS(B31-C31)</f>
        <v>3.52495810318487E-015</v>
      </c>
      <c r="E31" s="34" t="n">
        <v>1E-009</v>
      </c>
      <c r="F31" s="4" t="str">
        <f aca="false">IF(D31&lt;=E31,"PASS","FAIL")</f>
        <v>PASS</v>
      </c>
    </row>
    <row r="32" customFormat="false" ht="15" hidden="false" customHeight="false" outlineLevel="0" collapsed="false">
      <c r="A32" s="2" t="s">
        <v>376</v>
      </c>
      <c r="B32" s="11" t="n">
        <f aca="false">Rules!I8</f>
        <v>0.492733114381791</v>
      </c>
      <c r="C32" s="33" t="n">
        <f aca="false">Reference_Values!B32</f>
        <v>0.492733114381791</v>
      </c>
      <c r="D32" s="22" t="n">
        <f aca="false">ABS(B32-C32)</f>
        <v>0</v>
      </c>
      <c r="E32" s="34" t="n">
        <v>1E-009</v>
      </c>
      <c r="F32" s="4" t="str">
        <f aca="false">IF(D32&lt;=E32,"PASS","FAIL")</f>
        <v>PASS</v>
      </c>
    </row>
    <row r="33" customFormat="false" ht="15" hidden="false" customHeight="false" outlineLevel="0" collapsed="false">
      <c r="A33" s="2" t="s">
        <v>378</v>
      </c>
      <c r="B33" s="11" t="n">
        <f aca="false">CriticalGain!H6</f>
        <v>10.9235558768093</v>
      </c>
      <c r="C33" s="33" t="n">
        <f aca="false">Reference_Values!B33</f>
        <v>10.9235558768093</v>
      </c>
      <c r="D33" s="22" t="n">
        <f aca="false">ABS(B33-C33)</f>
        <v>0</v>
      </c>
      <c r="E33" s="34" t="n">
        <v>1E-009</v>
      </c>
      <c r="F33" s="4" t="str">
        <f aca="false">IF(D33&lt;=E33,"PASS","FAIL")</f>
        <v>PASS</v>
      </c>
    </row>
    <row r="34" customFormat="false" ht="15" hidden="false" customHeight="false" outlineLevel="0" collapsed="false">
      <c r="A34" s="2" t="s">
        <v>380</v>
      </c>
      <c r="B34" s="11" t="n">
        <f aca="false">CriticalGain!H8</f>
        <v>0.960648006495929</v>
      </c>
      <c r="C34" s="33" t="n">
        <f aca="false">Reference_Values!B34</f>
        <v>0.960648006495929</v>
      </c>
      <c r="D34" s="22" t="n">
        <f aca="false">ABS(B34-C34)</f>
        <v>0</v>
      </c>
      <c r="E34" s="34" t="n">
        <v>1E-009</v>
      </c>
      <c r="F34" s="4" t="str">
        <f aca="false">IF(D34&lt;=E34,"PASS","FAIL")</f>
        <v>PASS</v>
      </c>
    </row>
    <row r="35" customFormat="false" ht="15" hidden="false" customHeight="false" outlineLevel="0" collapsed="false">
      <c r="A35" s="2" t="s">
        <v>382</v>
      </c>
      <c r="B35" s="11" t="n">
        <f aca="false">Sensitivities!G5</f>
        <v>6.41617502041216</v>
      </c>
      <c r="C35" s="33" t="n">
        <f aca="false">Reference_Values!B35</f>
        <v>6.41617502041216</v>
      </c>
      <c r="D35" s="22" t="n">
        <f aca="false">ABS(B35-C35)</f>
        <v>0</v>
      </c>
      <c r="E35" s="34" t="n">
        <v>1E-009</v>
      </c>
      <c r="F35" s="4" t="str">
        <f aca="false">IF(D35&lt;=E35,"PASS","FAIL")</f>
        <v>PASS</v>
      </c>
    </row>
    <row r="36" customFormat="false" ht="15" hidden="false" customHeight="false" outlineLevel="0" collapsed="false">
      <c r="A36" s="2" t="s">
        <v>384</v>
      </c>
      <c r="B36" s="11" t="n">
        <f aca="false">Sensitivities!K5</f>
        <v>6.33194012753094</v>
      </c>
      <c r="C36" s="33" t="n">
        <f aca="false">Reference_Values!B36</f>
        <v>6.33194012753094</v>
      </c>
      <c r="D36" s="22" t="n">
        <f aca="false">ABS(B36-C36)</f>
        <v>0</v>
      </c>
      <c r="E36" s="34" t="n">
        <v>1E-009</v>
      </c>
      <c r="F36" s="4" t="str">
        <f aca="false">IF(D36&lt;=E36,"PASS","FAIL")</f>
        <v>PASS</v>
      </c>
    </row>
    <row r="37" customFormat="false" ht="15" hidden="false" customHeight="false" outlineLevel="0" collapsed="false">
      <c r="A37" s="2" t="s">
        <v>386</v>
      </c>
      <c r="B37" s="11" t="n">
        <f aca="false">Sensitivities!L5</f>
        <v>24.9472478917474</v>
      </c>
      <c r="C37" s="33" t="n">
        <f aca="false">Reference_Values!B37</f>
        <v>24.9472478917474</v>
      </c>
      <c r="D37" s="22" t="n">
        <f aca="false">ABS(B37-C37)</f>
        <v>0</v>
      </c>
      <c r="E37" s="34" t="n">
        <v>1E-009</v>
      </c>
      <c r="F37" s="4" t="str">
        <f aca="false">IF(D37&lt;=E37,"PASS","FAIL")</f>
        <v>PASS</v>
      </c>
    </row>
    <row r="38" customFormat="false" ht="15" hidden="false" customHeight="false" outlineLevel="0" collapsed="false">
      <c r="A38" s="2" t="s">
        <v>388</v>
      </c>
      <c r="B38" s="11" t="n">
        <f aca="false">Sensitivities!L6</f>
        <v>8.35621340641142</v>
      </c>
      <c r="C38" s="33" t="n">
        <f aca="false">Reference_Values!B38</f>
        <v>8.35621340641141</v>
      </c>
      <c r="D38" s="22" t="n">
        <f aca="false">ABS(B38-C38)</f>
        <v>0</v>
      </c>
      <c r="E38" s="34" t="n">
        <v>1E-009</v>
      </c>
      <c r="F38" s="4" t="str">
        <f aca="false">IF(D38&lt;=E38,"PASS","FAIL")</f>
        <v>PASS</v>
      </c>
    </row>
    <row r="39" customFormat="false" ht="15" hidden="false" customHeight="false" outlineLevel="0" collapsed="false">
      <c r="A39" s="2" t="s">
        <v>390</v>
      </c>
      <c r="B39" s="11" t="n">
        <f aca="false">Sensitivities!L7</f>
        <v>16.7124268128228</v>
      </c>
      <c r="C39" s="33" t="n">
        <f aca="false">Reference_Values!B39</f>
        <v>16.7124268128228</v>
      </c>
      <c r="D39" s="22" t="n">
        <f aca="false">ABS(B39-C39)</f>
        <v>0</v>
      </c>
      <c r="E39" s="34" t="n">
        <v>1E-009</v>
      </c>
      <c r="F39" s="4" t="str">
        <f aca="false">IF(D39&lt;=E39,"PASS","FAIL")</f>
        <v>PASS</v>
      </c>
    </row>
    <row r="40" customFormat="false" ht="15" hidden="false" customHeight="false" outlineLevel="0" collapsed="false">
      <c r="A40" s="2" t="s">
        <v>392</v>
      </c>
      <c r="B40" s="11" t="n">
        <f aca="false">Sensitivities!L8</f>
        <v>12.4736239458737</v>
      </c>
      <c r="C40" s="33" t="n">
        <f aca="false">Reference_Values!B40</f>
        <v>12.4736239458737</v>
      </c>
      <c r="D40" s="22" t="n">
        <f aca="false">ABS(B40-C40)</f>
        <v>0</v>
      </c>
      <c r="E40" s="34" t="n">
        <v>1E-009</v>
      </c>
      <c r="F40" s="4" t="str">
        <f aca="false">IF(D40&lt;=E40,"PASS","FAIL")</f>
        <v>PASS</v>
      </c>
    </row>
    <row r="41" customFormat="false" ht="15" hidden="false" customHeight="false" outlineLevel="0" collapsed="false">
      <c r="A41" s="2" t="s">
        <v>394</v>
      </c>
      <c r="B41" s="11" t="n">
        <f aca="false">Sensitivities!B18</f>
        <v>4.22016083916302</v>
      </c>
      <c r="C41" s="33" t="n">
        <f aca="false">Reference_Values!B41</f>
        <v>4.22016083916302</v>
      </c>
      <c r="D41" s="22" t="n">
        <f aca="false">ABS(B41-C41)</f>
        <v>0</v>
      </c>
      <c r="E41" s="34" t="n">
        <v>1E-009</v>
      </c>
      <c r="F41" s="4" t="str">
        <f aca="false">IF(D41&lt;=E41,"PASS","FAIL")</f>
        <v>PASS</v>
      </c>
    </row>
    <row r="42" customFormat="false" ht="15" hidden="false" customHeight="false" outlineLevel="0" collapsed="false">
      <c r="A42" s="2" t="s">
        <v>395</v>
      </c>
      <c r="B42" s="11" t="n">
        <f aca="false">Sensitivities!B19</f>
        <v>18.5396271640962</v>
      </c>
      <c r="C42" s="33" t="n">
        <f aca="false">Reference_Values!B42</f>
        <v>18.5396271640962</v>
      </c>
      <c r="D42" s="22" t="n">
        <f aca="false">ABS(B42-C42)</f>
        <v>0</v>
      </c>
      <c r="E42" s="34" t="n">
        <v>1E-009</v>
      </c>
      <c r="F42" s="4" t="str">
        <f aca="false">IF(D42&lt;=E42,"PASS","FAIL")</f>
        <v>PASS</v>
      </c>
    </row>
    <row r="43" customFormat="false" ht="15" hidden="false" customHeight="false" outlineLevel="0" collapsed="false">
      <c r="A43" s="2" t="s">
        <v>396</v>
      </c>
      <c r="B43" s="11" t="n">
        <f aca="false">Sensitivities!B26</f>
        <v>3.67487777819279</v>
      </c>
      <c r="C43" s="33" t="n">
        <f aca="false">Reference_Values!B43</f>
        <v>3.67487777819279</v>
      </c>
      <c r="D43" s="22" t="n">
        <f aca="false">ABS(B43-C43)</f>
        <v>0</v>
      </c>
      <c r="E43" s="34" t="n">
        <v>1E-009</v>
      </c>
      <c r="F43" s="4" t="str">
        <f aca="false">IF(D43&lt;=E43,"PASS","FAIL")</f>
        <v>PASS</v>
      </c>
    </row>
    <row r="44" customFormat="false" ht="15" hidden="false" customHeight="false" outlineLevel="0" collapsed="false">
      <c r="A44" s="2" t="s">
        <v>397</v>
      </c>
      <c r="B44" s="11" t="n">
        <f aca="false">Sensitivities!B27</f>
        <v>19.5337619646701</v>
      </c>
      <c r="C44" s="33" t="n">
        <f aca="false">Reference_Values!B44</f>
        <v>19.5337619646701</v>
      </c>
      <c r="D44" s="22" t="n">
        <f aca="false">ABS(B44-C44)</f>
        <v>0</v>
      </c>
      <c r="E44" s="34" t="n">
        <v>1E-009</v>
      </c>
      <c r="F44" s="4" t="str">
        <f aca="false">IF(D44&lt;=E44,"PASS","FAIL")</f>
        <v>PASS</v>
      </c>
    </row>
    <row r="45" customFormat="false" ht="15" hidden="false" customHeight="false" outlineLevel="0" collapsed="false">
      <c r="A45" s="2" t="s">
        <v>399</v>
      </c>
      <c r="B45" s="11" t="n">
        <f aca="false">Capability!B4</f>
        <v>-324.455155485324</v>
      </c>
      <c r="C45" s="33" t="n">
        <f aca="false">Reference_Values!B45</f>
        <v>-324.455155485325</v>
      </c>
      <c r="D45" s="22" t="n">
        <f aca="false">ABS(B45-C45)</f>
        <v>0</v>
      </c>
      <c r="E45" s="34" t="n">
        <v>1E-009</v>
      </c>
      <c r="F45" s="4" t="str">
        <f aca="false">IF(D45&lt;=E45,"PASS","FAIL")</f>
        <v>PASS</v>
      </c>
    </row>
    <row r="46" customFormat="false" ht="15" hidden="false" customHeight="false" outlineLevel="0" collapsed="false">
      <c r="A46" s="2" t="s">
        <v>401</v>
      </c>
      <c r="B46" s="11" t="n">
        <f aca="false">Capability!B5</f>
        <v>-254.892119102206</v>
      </c>
      <c r="C46" s="33" t="n">
        <f aca="false">Reference_Values!B46</f>
        <v>-254.892119102207</v>
      </c>
      <c r="D46" s="22" t="n">
        <f aca="false">ABS(B46-C46)</f>
        <v>9.9475983006414E-013</v>
      </c>
      <c r="E46" s="34" t="n">
        <v>1E-009</v>
      </c>
      <c r="F46" s="4" t="str">
        <f aca="false">IF(D46&lt;=E46,"PASS","FAIL")</f>
        <v>PASS</v>
      </c>
    </row>
    <row r="47" customFormat="false" ht="15" hidden="false" customHeight="false" outlineLevel="0" collapsed="false">
      <c r="A47" s="2" t="s">
        <v>403</v>
      </c>
      <c r="B47" s="11" t="n">
        <f aca="false">Capability!B6</f>
        <v>-233.75961593941</v>
      </c>
      <c r="C47" s="33" t="n">
        <f aca="false">Reference_Values!B47</f>
        <v>-233.759615939411</v>
      </c>
      <c r="D47" s="22" t="n">
        <f aca="false">ABS(B47-C47)</f>
        <v>9.9475983006414E-013</v>
      </c>
      <c r="E47" s="34" t="n">
        <v>1E-009</v>
      </c>
      <c r="F47" s="4" t="str">
        <f aca="false">IF(D47&lt;=E47,"PASS","FAIL")</f>
        <v>PASS</v>
      </c>
    </row>
    <row r="48" customFormat="false" ht="15" hidden="false" customHeight="false" outlineLevel="0" collapsed="false">
      <c r="A48" s="2" t="s">
        <v>405</v>
      </c>
      <c r="B48" s="11" t="n">
        <f aca="false">Capability!B7</f>
        <v>-222.36265793319</v>
      </c>
      <c r="C48" s="33" t="n">
        <f aca="false">Reference_Values!B48</f>
        <v>-222.362657933191</v>
      </c>
      <c r="D48" s="22" t="n">
        <f aca="false">ABS(B48-C48)</f>
        <v>1.05160324892495E-012</v>
      </c>
      <c r="E48" s="34" t="n">
        <v>1E-009</v>
      </c>
      <c r="F48" s="4" t="str">
        <f aca="false">IF(D48&lt;=E48,"PASS","FAIL")</f>
        <v>PASS</v>
      </c>
    </row>
    <row r="49" customFormat="false" ht="15" hidden="false" customHeight="false" outlineLevel="0" collapsed="false">
      <c r="A49" s="2" t="s">
        <v>407</v>
      </c>
      <c r="B49" s="11" t="n">
        <f aca="false">Capability!B13</f>
        <v>43.4462465131249</v>
      </c>
      <c r="C49" s="33" t="n">
        <f aca="false">Reference_Values!B49</f>
        <v>43.446246513125</v>
      </c>
      <c r="D49" s="22" t="n">
        <f aca="false">ABS(B49-C49)</f>
        <v>0</v>
      </c>
      <c r="E49" s="34" t="n">
        <v>1E-009</v>
      </c>
      <c r="F49" s="4" t="str">
        <f aca="false">IF(D49&lt;=E49,"PASS","FAIL")</f>
        <v>PASS</v>
      </c>
    </row>
    <row r="50" customFormat="false" ht="15" hidden="false" customHeight="false" outlineLevel="0" collapsed="false">
      <c r="A50" s="2" t="s">
        <v>409</v>
      </c>
      <c r="B50" s="11" t="n">
        <f aca="false">Capability!B15</f>
        <v>7.07291692129385</v>
      </c>
      <c r="C50" s="33" t="n">
        <f aca="false">Reference_Values!B50</f>
        <v>7.07291692129386</v>
      </c>
      <c r="D50" s="22" t="n">
        <f aca="false">ABS(B50-C50)</f>
        <v>0</v>
      </c>
      <c r="E50" s="34" t="n">
        <v>1E-009</v>
      </c>
      <c r="F50" s="4" t="str">
        <f aca="false">IF(D50&lt;=E50,"PASS","FAIL")</f>
        <v>PASS</v>
      </c>
    </row>
    <row r="51" customFormat="false" ht="15" hidden="false" customHeight="false" outlineLevel="0" collapsed="false">
      <c r="A51" s="2" t="s">
        <v>315</v>
      </c>
      <c r="B51" s="11" t="n">
        <f aca="false">Capability!B16</f>
        <v>11.0218471475924</v>
      </c>
      <c r="C51" s="33" t="n">
        <f aca="false">Reference_Values!B51</f>
        <v>11.0218471475924</v>
      </c>
      <c r="D51" s="22" t="n">
        <f aca="false">ABS(B51-C51)</f>
        <v>0</v>
      </c>
      <c r="E51" s="34" t="n">
        <v>1E-009</v>
      </c>
      <c r="F51" s="4" t="str">
        <f aca="false">IF(D51&lt;=E51,"PASS","FAIL")</f>
        <v>PASS</v>
      </c>
    </row>
    <row r="52" customFormat="false" ht="15" hidden="false" customHeight="false" outlineLevel="0" collapsed="false">
      <c r="A52" s="2" t="s">
        <v>412</v>
      </c>
      <c r="B52" s="11" t="n">
        <f aca="false">Capability!B17</f>
        <v>22.2796710261751</v>
      </c>
      <c r="C52" s="33" t="n">
        <f aca="false">Reference_Values!B52</f>
        <v>22.2796710261752</v>
      </c>
      <c r="D52" s="22" t="n">
        <f aca="false">ABS(B52-C52)</f>
        <v>9.2370555648813E-014</v>
      </c>
      <c r="E52" s="34" t="n">
        <v>1E-009</v>
      </c>
      <c r="F52" s="4" t="str">
        <f aca="false">IF(D52&lt;=E52,"PASS","FAIL")</f>
        <v>PASS</v>
      </c>
    </row>
    <row r="53" customFormat="false" ht="15" hidden="false" customHeight="false" outlineLevel="0" collapsed="false">
      <c r="A53" s="2" t="s">
        <v>414</v>
      </c>
      <c r="B53" s="11" t="n">
        <f aca="false">Capability!B19</f>
        <v>49.5994196297187</v>
      </c>
      <c r="C53" s="33" t="n">
        <f aca="false">Reference_Values!B53</f>
        <v>49.5994196297189</v>
      </c>
      <c r="D53" s="22" t="n">
        <f aca="false">ABS(B53-C53)</f>
        <v>0</v>
      </c>
      <c r="E53" s="34" t="n">
        <v>1E-009</v>
      </c>
      <c r="F53" s="4" t="str">
        <f aca="false">IF(D53&lt;=E53,"PASS","FAIL")</f>
        <v>PASS</v>
      </c>
    </row>
    <row r="54" customFormat="false" ht="15" hidden="false" customHeight="false" outlineLevel="0" collapsed="false">
      <c r="A54" s="2" t="s">
        <v>282</v>
      </c>
      <c r="B54" s="11" t="n">
        <f aca="false">Capability!B21</f>
        <v>-21.19342490938</v>
      </c>
      <c r="C54" s="33" t="n">
        <f aca="false">Reference_Values!B54</f>
        <v>-21.1934249093801</v>
      </c>
      <c r="D54" s="22" t="n">
        <f aca="false">ABS(B54-C54)</f>
        <v>9.59232693276135E-014</v>
      </c>
      <c r="E54" s="34" t="n">
        <v>1E-009</v>
      </c>
      <c r="F54" s="4" t="str">
        <f aca="false">IF(D54&lt;=E54,"PASS","FAIL")</f>
        <v>PASS</v>
      </c>
    </row>
    <row r="55" customFormat="false" ht="15" hidden="false" customHeight="false" outlineLevel="0" collapsed="false">
      <c r="A55" s="2" t="s">
        <v>417</v>
      </c>
      <c r="B55" s="11" t="n">
        <f aca="false">Capability!B22</f>
        <v>5.87373145235526</v>
      </c>
      <c r="C55" s="33" t="n">
        <f aca="false">Reference_Values!B55</f>
        <v>5.87373145235528</v>
      </c>
      <c r="D55" s="22" t="n">
        <f aca="false">ABS(B55-C55)</f>
        <v>2.39808173319034E-014</v>
      </c>
      <c r="E55" s="34" t="n">
        <v>1E-009</v>
      </c>
      <c r="F55" s="4" t="str">
        <f aca="false">IF(D55&lt;=E55,"PASS","FAIL")</f>
        <v>PASS</v>
      </c>
    </row>
    <row r="56" customFormat="false" ht="15" hidden="false" customHeight="false" outlineLevel="0" collapsed="false">
      <c r="A56" s="2" t="s">
        <v>419</v>
      </c>
      <c r="B56" s="11" t="n">
        <f aca="false">Capability!B23</f>
        <v>3.60817056096118</v>
      </c>
      <c r="C56" s="33" t="n">
        <f aca="false">Reference_Values!B56</f>
        <v>3.60817056096118</v>
      </c>
      <c r="D56" s="22" t="n">
        <f aca="false">ABS(B56-C56)</f>
        <v>0</v>
      </c>
      <c r="E56" s="34" t="n">
        <v>1E-009</v>
      </c>
      <c r="F56" s="4" t="str">
        <f aca="false">IF(D56&lt;=E56,"PASS","FAIL")</f>
        <v>PASS</v>
      </c>
    </row>
    <row r="57" customFormat="false" ht="15" hidden="false" customHeight="false" outlineLevel="0" collapsed="false">
      <c r="A57" s="2" t="s">
        <v>421</v>
      </c>
      <c r="B57" s="11" t="n">
        <f aca="false">Scheme!B9</f>
        <v>-254.463926101896</v>
      </c>
      <c r="C57" s="33" t="n">
        <f aca="false">Reference_Values!B57</f>
        <v>-254.463926101897</v>
      </c>
      <c r="D57" s="22" t="n">
        <f aca="false">ABS(B57-C57)</f>
        <v>9.09494701772928E-013</v>
      </c>
      <c r="E57" s="34" t="n">
        <v>1E-008</v>
      </c>
      <c r="F57" s="4" t="str">
        <f aca="false">IF(D57&lt;=E57,"PASS","FAIL")</f>
        <v>PASS</v>
      </c>
    </row>
    <row r="58" customFormat="false" ht="15" hidden="false" customHeight="false" outlineLevel="0" collapsed="false">
      <c r="A58" s="2" t="s">
        <v>423</v>
      </c>
      <c r="B58" s="11" t="n">
        <f aca="false">Scheme!B12</f>
        <v>1.58246613973125</v>
      </c>
      <c r="C58" s="33" t="n">
        <f aca="false">Reference_Values!B58</f>
        <v>1.5824661397312</v>
      </c>
      <c r="D58" s="22" t="n">
        <f aca="false">ABS(B58-C58)</f>
        <v>5.6399329650958E-014</v>
      </c>
      <c r="E58" s="34" t="n">
        <v>1E-008</v>
      </c>
      <c r="F58" s="4" t="str">
        <f aca="false">IF(D58&lt;=E58,"PASS","FAIL")</f>
        <v>PASS</v>
      </c>
    </row>
    <row r="59" customFormat="false" ht="15" hidden="false" customHeight="false" outlineLevel="0" collapsed="false">
      <c r="A59" s="2" t="s">
        <v>425</v>
      </c>
      <c r="B59" s="11" t="n">
        <f aca="false">Scheme!B13</f>
        <v>1.68138419426822</v>
      </c>
      <c r="C59" s="33" t="n">
        <f aca="false">Reference_Values!B59</f>
        <v>1.68138419426816</v>
      </c>
      <c r="D59" s="22" t="n">
        <f aca="false">ABS(B59-C59)</f>
        <v>5.6843418860808E-014</v>
      </c>
      <c r="E59" s="34" t="n">
        <v>1E-008</v>
      </c>
      <c r="F59" s="4" t="str">
        <f aca="false">IF(D59&lt;=E59,"PASS","FAIL")</f>
        <v>PASS</v>
      </c>
    </row>
    <row r="60" customFormat="false" ht="15" hidden="false" customHeight="false" outlineLevel="0" collapsed="false">
      <c r="A60" s="2" t="s">
        <v>427</v>
      </c>
      <c r="B60" s="11" t="n">
        <f aca="false">Scheme!B15</f>
        <v>44</v>
      </c>
      <c r="C60" s="33" t="n">
        <f aca="false">Reference_Values!B60</f>
        <v>44</v>
      </c>
      <c r="D60" s="22" t="n">
        <f aca="false">ABS(B60-C60)</f>
        <v>0</v>
      </c>
      <c r="E60" s="34" t="n">
        <v>1E-009</v>
      </c>
      <c r="F60" s="4" t="str">
        <f aca="false">IF(D60&lt;=E60,"PASS","FAIL")</f>
        <v>PASS</v>
      </c>
    </row>
    <row r="61" customFormat="false" ht="15" hidden="false" customHeight="false" outlineLevel="0" collapsed="false">
      <c r="A61" s="2" t="s">
        <v>429</v>
      </c>
      <c r="B61" s="11" t="n">
        <f aca="false">Scheme!I13</f>
        <v>0.871327835762997</v>
      </c>
      <c r="C61" s="33" t="n">
        <f aca="false">Reference_Values!B61</f>
        <v>0.871327835763793</v>
      </c>
      <c r="D61" s="22" t="n">
        <f aca="false">ABS(B61-C61)</f>
        <v>7.95807864051312E-013</v>
      </c>
      <c r="E61" s="34" t="n">
        <v>1E-008</v>
      </c>
      <c r="F61" s="4" t="str">
        <f aca="false">IF(D61&lt;=E61,"PASS","FAIL")</f>
        <v>PASS</v>
      </c>
    </row>
    <row r="62" customFormat="false" ht="15" hidden="false" customHeight="false" outlineLevel="0" collapsed="false">
      <c r="A62" s="2" t="s">
        <v>431</v>
      </c>
      <c r="B62" s="11" t="n">
        <f aca="false">Scheme!P13</f>
        <v>0.437520002261749</v>
      </c>
      <c r="C62" s="33" t="n">
        <f aca="false">Reference_Values!B62</f>
        <v>0.437520002262374</v>
      </c>
      <c r="D62" s="22" t="n">
        <f aca="false">ABS(B62-C62)</f>
        <v>6.25277607468888E-013</v>
      </c>
      <c r="E62" s="34" t="n">
        <v>1E-008</v>
      </c>
      <c r="F62" s="4" t="str">
        <f aca="false">IF(D62&lt;=E62,"PASS","FAIL")</f>
        <v>PASS</v>
      </c>
    </row>
    <row r="63" customFormat="false" ht="15" hidden="false" customHeight="false" outlineLevel="0" collapsed="false">
      <c r="A63" s="2" t="s">
        <v>433</v>
      </c>
      <c r="B63" s="11" t="n">
        <f aca="false">Scheme!W13</f>
        <v>0.21922695650386</v>
      </c>
      <c r="C63" s="33" t="n">
        <f aca="false">Reference_Values!B63</f>
        <v>0.219226956500393</v>
      </c>
      <c r="D63" s="22" t="n">
        <f aca="false">ABS(B63-C63)</f>
        <v>3.46744855050929E-012</v>
      </c>
      <c r="E63" s="34" t="n">
        <v>1E-008</v>
      </c>
      <c r="F63" s="4" t="str">
        <f aca="false">IF(D63&lt;=E63,"PASS","FAIL")</f>
        <v>PASS</v>
      </c>
    </row>
    <row r="64" customFormat="false" ht="15" hidden="false" customHeight="false" outlineLevel="0" collapsed="false">
      <c r="A64" s="2" t="s">
        <v>435</v>
      </c>
      <c r="B64" s="11" t="n">
        <f aca="false">Scheme!AD13</f>
        <v>0.109730586556793</v>
      </c>
      <c r="C64" s="33" t="n">
        <f aca="false">Reference_Values!B64</f>
        <v>0.109730586557134</v>
      </c>
      <c r="D64" s="22" t="n">
        <f aca="false">ABS(B64-C64)</f>
        <v>3.41060513164848E-013</v>
      </c>
      <c r="E64" s="34" t="n">
        <v>1E-008</v>
      </c>
      <c r="F64" s="4" t="str">
        <f aca="false">IF(D64&lt;=E64,"PASS","FAIL")</f>
        <v>PASS</v>
      </c>
    </row>
    <row r="65" customFormat="false" ht="15" hidden="false" customHeight="false" outlineLevel="0" collapsed="false">
      <c r="A65" s="2" t="s">
        <v>437</v>
      </c>
      <c r="B65" s="11" t="n">
        <f aca="false">Scheme!AD11</f>
        <v>-222.374584130805</v>
      </c>
      <c r="C65" s="33" t="n">
        <f aca="false">Reference_Values!B65</f>
        <v>-222.374584130806</v>
      </c>
      <c r="D65" s="22" t="n">
        <f aca="false">ABS(B65-C65)</f>
        <v>1.19371179607697E-012</v>
      </c>
      <c r="E65" s="34" t="n">
        <v>1E-008</v>
      </c>
      <c r="F65" s="4" t="str">
        <f aca="false">IF(D65&lt;=E65,"PASS","FAIL")</f>
        <v>PASS</v>
      </c>
    </row>
    <row r="66" customFormat="false" ht="15" hidden="false" customHeight="false" outlineLevel="0" collapsed="false">
      <c r="A66" s="2" t="s">
        <v>439</v>
      </c>
      <c r="B66" s="11" t="n">
        <f aca="false">Scheme!AD16</f>
        <v>10.9922118733271</v>
      </c>
      <c r="C66" s="33" t="n">
        <f aca="false">Reference_Values!B66</f>
        <v>10.9922118733271</v>
      </c>
      <c r="D66" s="22" t="n">
        <f aca="false">ABS(B66-C66)</f>
        <v>0</v>
      </c>
      <c r="E66" s="34" t="n">
        <v>1E-007</v>
      </c>
      <c r="F66" s="4" t="str">
        <f aca="false">IF(D66&lt;=E66,"PASS","FAIL")</f>
        <v>PASS</v>
      </c>
    </row>
    <row r="67" customFormat="false" ht="15" hidden="false" customHeight="false" outlineLevel="0" collapsed="false">
      <c r="A67" s="2" t="s">
        <v>441</v>
      </c>
      <c r="B67" s="11" t="n">
        <f aca="false">Scheme!AD17</f>
        <v>3.99119606662543</v>
      </c>
      <c r="C67" s="33" t="n">
        <f aca="false">Reference_Values!B67</f>
        <v>3.99119606662543</v>
      </c>
      <c r="D67" s="22" t="n">
        <f aca="false">ABS(B67-C67)</f>
        <v>0</v>
      </c>
      <c r="E67" s="34" t="n">
        <v>1E-007</v>
      </c>
      <c r="F67" s="4" t="str">
        <f aca="false">IF(D67&lt;=E67,"PASS","FAIL")</f>
        <v>PASS</v>
      </c>
    </row>
    <row r="68" customFormat="false" ht="15" hidden="false" customHeight="false" outlineLevel="0" collapsed="false">
      <c r="A68" s="2" t="s">
        <v>443</v>
      </c>
      <c r="B68" s="11" t="n">
        <f aca="false">Scheme!AD15</f>
        <v>43.4375</v>
      </c>
      <c r="C68" s="33" t="n">
        <f aca="false">Reference_Values!B68</f>
        <v>43.4375</v>
      </c>
      <c r="D68" s="22" t="n">
        <f aca="false">ABS(B68-C68)</f>
        <v>0</v>
      </c>
      <c r="E68" s="34" t="n">
        <v>1E-009</v>
      </c>
      <c r="F68" s="4" t="str">
        <f aca="false">IF(D68&lt;=E68,"PASS","FAIL")</f>
        <v>PASS</v>
      </c>
    </row>
    <row r="70" customFormat="false" ht="15" hidden="false" customHeight="false" outlineLevel="0" collapsed="false">
      <c r="A70" s="4" t="s">
        <v>449</v>
      </c>
      <c r="F70" s="4" t="str">
        <f aca="false">IF(COUNTIF(F2:F68,"PASS")=67,"ALL PASS","CHECK")</f>
        <v>ALL 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2026-10-05T13:45:35Z</dcterms:created>
  <dc:creator>openpyxl</dc:creator>
  <dc:description/>
  <dc:language>en-US</dc:language>
  <cp:lastModifiedBy/>
  <dcterms:modified xsi:type="dcterms:W3CDTF">2026-10-05T13:45:35Z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