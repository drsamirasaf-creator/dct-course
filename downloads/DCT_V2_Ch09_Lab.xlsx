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clarations" sheetId="2" state="visible" r:id="rId4"/>
    <sheet name="Plan" sheetId="3" state="visible" r:id="rId5"/>
    <sheet name="Packages" sheetId="4" state="visible" r:id="rId6"/>
    <sheet name="Samples" sheetId="5" state="visible" r:id="rId7"/>
    <sheet name="Rules" sheetId="6" state="visible" r:id="rId8"/>
    <sheet name="Information" sheetId="7" state="visible" r:id="rId9"/>
    <sheet name="Hiring" sheetId="8" state="visible" r:id="rId10"/>
    <sheet name="Reference_Values" sheetId="9" state="visible" r:id="rId11"/>
    <sheet name="Checks" sheetId="10" state="visible" r:id="rId12"/>
  </sheets>
  <definedNames>
    <definedName function="false" hidden="false" name="AE" vbProcedure="false">Declarations!$B$11</definedName>
    <definedName function="false" hidden="false" name="Ah" vbProcedure="false">Declarations!$B$24</definedName>
    <definedName function="false" hidden="false" name="Alpha" vbProcedure="false">Declarations!$B$19</definedName>
    <definedName function="false" hidden="false" name="Beta" vbProcedure="false">Declarations!$B$38</definedName>
    <definedName function="false" hidden="false" name="Bh" vbProcedure="false">Declarations!$B$25</definedName>
    <definedName function="false" hidden="false" name="Cv" vbProcedure="false">Declarations!$B$36</definedName>
    <definedName function="false" hidden="false" name="D0h" vbProcedure="false">Declarations!$B$32</definedName>
    <definedName function="false" hidden="false" name="Depth0" vbProcedure="false">Declarations!$B$8</definedName>
    <definedName function="false" hidden="false" name="DPQ" vbProcedure="false">Declarations!$B$18</definedName>
    <definedName function="false" hidden="false" name="Fee" vbProcedure="false">Declarations!$B$16</definedName>
    <definedName function="false" hidden="false" name="FloorL" vbProcedure="false">Declarations!$B$10</definedName>
    <definedName function="false" hidden="false" name="Kcaut" vbProcedure="false">Declarations!$B$37</definedName>
    <definedName function="false" hidden="false" name="Krel" vbProcedure="false">Declarations!$B$7</definedName>
    <definedName function="false" hidden="false" name="Liq0" vbProcedure="false">Declarations!$B$4</definedName>
    <definedName function="false" hidden="false" name="NPaths" vbProcedure="false">Declarations!$B$20</definedName>
    <definedName function="false" hidden="false" name="PerPt" vbProcedure="false">Declarations!$B$5</definedName>
    <definedName function="false" hidden="false" name="Qh" vbProcedure="false">Declarations!$B$27</definedName>
    <definedName function="false" hidden="false" name="Rh" vbProcedure="false">Declarations!$B$29</definedName>
    <definedName function="false" hidden="false" name="Rho" vbProcedure="false">Declarations!$B$31</definedName>
    <definedName function="false" hidden="false" name="SDW" vbProcedure="false">Declarations!$B$12</definedName>
    <definedName function="false" hidden="false" name="Sig" vbProcedure="false">Declarations!$B$33</definedName>
    <definedName function="false" hidden="false" name="Sy" vbProcedure="false">Declarations!$B$35</definedName>
    <definedName function="false" hidden="false" name="Tpk" vbProcedure="false">Declarations!$B$9</definedName>
    <definedName function="false" hidden="false" name="VQ" vbProcedure="false">Declarations!$B$17</definedName>
    <definedName function="false" hidden="false" name="Xinf" vbProcedure="false">Declarations!$B$6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<sst xmlns="http://schemas.openxmlformats.org/spreadsheetml/2006/main" count="678" uniqueCount="511">
  <si>
    <t xml:space="preserve">DCT Laboratory — Vol II, Ch 9: Stochastic Enterprise Optimization</t>
  </si>
  <si>
    <t xml:space="preserve">Seed 26209 · Companion to DCT_V2_Ch09_Lab.ipynb and AXIOM Lab 2.9 (module AXIOM-09). Money in $ million.</t>
  </si>
  <si>
    <t xml:space="preserve">Worked Example 9.1, Can a Rule Replace the Committed Delay?, with the book's declarations: Volume I, Chapter 8's law for the digital program on the book's 100,000 paths (seed 8), every answer judged on 100,000 fresh paths (seed 26209, the lab's); and Chapter 8's hiring loop with human resources' record (Sections 9.2-9.3).</t>
  </si>
  <si>
    <t xml:space="preserve">Declarations: the law, the levers and their prices, the appetite; the hiring loop's declarations.</t>
  </si>
  <si>
    <t xml:space="preserve">Plan: the plan's liquidity and the draw quarter by quarter, the share of the draw still ahead, and the Gaussian chance of a breach in each quarter with their sum (Proposition 9.2(i); Figure 9.1).</t>
  </si>
  <si>
    <t xml:space="preserve">Packages: Volume I's package from the critical delays of each line (the quantile form), its standard error on fresh paths, the appetite read quarter by quarter, and the CVaR package (Proposition 9.2).</t>
  </si>
  <si>
    <t xml:space="preserve">Samples: the margin bounds of Theorem 9.3(iv) (Chernoff and Hoeffding), standard errors, and the sample-size study of Figure 9.2.</t>
  </si>
  <si>
    <t xml:space="preserve">Rules: rules that read cash once or every quarter, their costs from lines, delays and shares slowed, and Table 9.3 (Steps 3-4; Figure 9.3(a)).</t>
  </si>
  <si>
    <t xml:space="preserve">Information: the clairvoyant's bound, the early warning's allotment and value, and the law with persistent surprises (Proposition 9.3; Step 5; Figure 9.3(b)).</t>
  </si>
  <si>
    <t xml:space="preserve">Hiring: certainty equivalence, caution, vigilance, robustness and the value ledger in closed form (Theorems 9.1-9.2; Proposition 9.1).</t>
  </si>
  <si>
    <t xml:space="preserve">Engine values (green) are what needs the simulated paths: critical delays, chances, shares slowed, the rules' triggers, the sample-size study. Everything else is a formula.</t>
  </si>
  <si>
    <t xml:space="preserve">Reference_Values and Checks: the engine's numbers and a PASS/FAIL comparison with this workbook's formulas.</t>
  </si>
  <si>
    <t xml:space="preserve">LEGEND</t>
  </si>
  <si>
    <t xml:space="preserve">Input: blue on pale gold. A declaration from the book; change it to explore.</t>
  </si>
  <si>
    <t xml:space="preserve">Formula: black. Recalculates from the inputs.</t>
  </si>
  <si>
    <t xml:space="preserve">Engine value: green on pale green. Computed by the notebook's engine (the book's numbers); the Checks sheet compares the workbook's formulas with them.</t>
  </si>
  <si>
    <t xml:space="preserve">Cross-sheet link: green.</t>
  </si>
  <si>
    <t xml:space="preserve">Declarations (Worked Example 9.1, Step 1; Chapter 8's hiring loop with HR's record). Money in $ million.</t>
  </si>
  <si>
    <t xml:space="preserve">Quantity</t>
  </si>
  <si>
    <t xml:space="preserve">Value</t>
  </si>
  <si>
    <t xml:space="preserve">Source</t>
  </si>
  <si>
    <t xml:space="preserve">Liquidity today</t>
  </si>
  <si>
    <t xml:space="preserve">Meridian's state (Volume I, Chapter 1)</t>
  </si>
  <si>
    <t xml:space="preserve">$ million per index point</t>
  </si>
  <si>
    <t xml:space="preserve">Index 100 = $620 million</t>
  </si>
  <si>
    <t xml:space="preserve">Plan without the draw: long-run index</t>
  </si>
  <si>
    <t xml:space="preserve">The Chapter 1 plan relaxes from 100 toward 112</t>
  </si>
  <si>
    <t xml:space="preserve">  at the rate (a year)</t>
  </si>
  <si>
    <t xml:space="preserve">The draw's depth (index points)</t>
  </si>
  <si>
    <t xml:space="preserve">The digital program's draw, deepest at two years</t>
  </si>
  <si>
    <t xml:space="preserve">The draw is deepest at (years)</t>
  </si>
  <si>
    <t xml:space="preserve">Shape S(t) = (t/2) e^(1 - t/2)</t>
  </si>
  <si>
    <t xml:space="preserve">Floor</t>
  </si>
  <si>
    <t xml:space="preserve">The board's floor</t>
  </si>
  <si>
    <t xml:space="preserve">Persistence of a surprise a quarter</t>
  </si>
  <si>
    <t xml:space="preserve">E' = 0.6 E + w (Volume I, Chapter 8)</t>
  </si>
  <si>
    <t xml:space="preserve">Standard deviation of w, a quarter</t>
  </si>
  <si>
    <t xml:space="preserve">Funding-window closures a year</t>
  </si>
  <si>
    <t xml:space="preserve">About once a decade</t>
  </si>
  <si>
    <t xml:space="preserve">Closure size: mean</t>
  </si>
  <si>
    <t xml:space="preserve">Gamma-distributed, never recovered</t>
  </si>
  <si>
    <t xml:space="preserve">Closure size: standard deviation</t>
  </si>
  <si>
    <t xml:space="preserve">Line fees over the program, per $ of line</t>
  </si>
  <si>
    <t xml:space="preserve">About 1 percent a year for three years</t>
  </si>
  <si>
    <t xml:space="preserve">A quarter of delay</t>
  </si>
  <si>
    <t xml:space="preserve">The transformation office (Volume I, Worked Example 15.1)</t>
  </si>
  <si>
    <t xml:space="preserve">Depth cut by a quarter of delay (points)</t>
  </si>
  <si>
    <t xml:space="preserve">Two quarters of phasing: depth 20</t>
  </si>
  <si>
    <t xml:space="preserve">The appetite</t>
  </si>
  <si>
    <t xml:space="preserve">At most a 5 percent chance of a breach in some quarter</t>
  </si>
  <si>
    <t xml:space="preserve">Paths (the book's, seed 8; fresh, seed 26209)</t>
  </si>
  <si>
    <t xml:space="preserve">Volume I, Chapter 8's law</t>
  </si>
  <si>
    <t xml:space="preserve">Chapter 8's hiring loop, read without the delay, with human resources' record (Online Appendix 9.B.3)</t>
  </si>
  <si>
    <t xml:space="preserve">Share of a gap carried over a quarter</t>
  </si>
  <si>
    <t xml:space="preserve">Retraining and internal moves close 10 percent</t>
  </si>
  <si>
    <t xml:space="preserve">a: the gap closes on its own, a year</t>
  </si>
  <si>
    <t xml:space="preserve">4 ln(10/9)</t>
  </si>
  <si>
    <t xml:space="preserve">b: share of approvals that become engineers</t>
  </si>
  <si>
    <t xml:space="preserve">Cost of a gap of 100 engineers, a year</t>
  </si>
  <si>
    <t xml:space="preserve">The program office</t>
  </si>
  <si>
    <t xml:space="preserve">q = that cost / 100^2</t>
  </si>
  <si>
    <t xml:space="preserve">Premium for approving 400 a year, a year</t>
  </si>
  <si>
    <t xml:space="preserve">Human resources</t>
  </si>
  <si>
    <t xml:space="preserve">r = that premium / 400^2</t>
  </si>
  <si>
    <t xml:space="preserve">Hurdle rate a year</t>
  </si>
  <si>
    <t xml:space="preserve">rho = ln(1 + hurdle rate)</t>
  </si>
  <si>
    <t xml:space="preserve">Gap today (engineers)</t>
  </si>
  <si>
    <t xml:space="preserve">100 short</t>
  </si>
  <si>
    <t xml:space="preserve">sigma: departures and early or late starts, sd over a year</t>
  </si>
  <si>
    <t xml:space="preserve">HR's record</t>
  </si>
  <si>
    <t xml:space="preserve">A quarter's cohort: standard deviation of its yield</t>
  </si>
  <si>
    <t xml:space="preserve">20 points around 60 percent</t>
  </si>
  <si>
    <t xml:space="preserve">s = that sd x sqrt(1/4)</t>
  </si>
  <si>
    <t xml:space="preserve">The yield of a quarter's approvals has sd 2s</t>
  </si>
  <si>
    <t xml:space="preserve">c: noise that grows with the gap (vigilance)</t>
  </si>
  <si>
    <t xml:space="preserve">Theorem 9.2(iv)</t>
  </si>
  <si>
    <t xml:space="preserve">Volume I's cautious gain, a year</t>
  </si>
  <si>
    <t xml:space="preserve">Half the gap a quarter</t>
  </si>
  <si>
    <t xml:space="preserve">beta = 2a + rho</t>
  </si>
  <si>
    <t xml:space="preserve">Online Appendix 9.B.3: 0.938194</t>
  </si>
  <si>
    <t xml:space="preserve">The plan, the draw, and the chances quarter by quarter (Section 9.4; Figure 9.1; AXIOM Lab 2.9, step 1)</t>
  </si>
  <si>
    <t xml:space="preserve">E_k is Gaussian with mean 0 and variance 50^2 (1 - 0.6^(2k)) / (1 - 0.6^2) (Volume I, Theorem 8.3), so each quarter's chance of a breach from the surprises alone is a formula; the chance over the program needs the paths.</t>
  </si>
  <si>
    <t xml:space="preserve">Quarter k</t>
  </si>
  <si>
    <t xml:space="preserve">t (years)</t>
  </si>
  <si>
    <t xml:space="preserve">Plan index without the draw</t>
  </si>
  <si>
    <t xml:space="preserve">Without the draw ($m)</t>
  </si>
  <si>
    <t xml:space="preserve">The draw's shape S</t>
  </si>
  <si>
    <t xml:space="preserve">$m per point of depth</t>
  </si>
  <si>
    <t xml:space="preserve">Planned liquidity ($m)</t>
  </si>
  <si>
    <t xml:space="preserve">Draw still ahead, 1 - S</t>
  </si>
  <si>
    <t xml:space="preserve">Variance of E_k</t>
  </si>
  <si>
    <t xml:space="preserve">Gaussian chance, surprises only</t>
  </si>
  <si>
    <t xml:space="preserve">Simulated, surprises only (engine)</t>
  </si>
  <si>
    <t xml:space="preserve">Simulated, full law under Volume I's package (engine)</t>
  </si>
  <si>
    <t xml:space="preserve">Planned liquidity at its low point</t>
  </si>
  <si>
    <t xml:space="preserve">$482 million</t>
  </si>
  <si>
    <t xml:space="preserve">  in quarter</t>
  </si>
  <si>
    <t xml:space="preserve">7</t>
  </si>
  <si>
    <t xml:space="preserve">A quarter of committed delay lifts the deepest point by</t>
  </si>
  <si>
    <t xml:space="preserve">$24.8 million, 'up to $25 million'</t>
  </si>
  <si>
    <t xml:space="preserve">Surprises only: the worst quarter, Gaussian</t>
  </si>
  <si>
    <t xml:space="preserve">1.73% (simulated 1.69%)</t>
  </si>
  <si>
    <t xml:space="preserve">Surprises only: sum over the quarters, Gaussian</t>
  </si>
  <si>
    <t xml:space="preserve">11.2 percent: the union bound of Proposition 9.2(i)</t>
  </si>
  <si>
    <t xml:space="preserve">Surprises only: the worst quarter, simulated</t>
  </si>
  <si>
    <t xml:space="preserve">Surprises only: some quarter (engine)</t>
  </si>
  <si>
    <t xml:space="preserve">8.4 percent</t>
  </si>
  <si>
    <t xml:space="preserve">Between the worst quarter and the sum?</t>
  </si>
  <si>
    <t xml:space="preserve">Proposition 9.2(i)</t>
  </si>
  <si>
    <t xml:space="preserve">Full law, Volume I's package: some quarter (engine)</t>
  </si>
  <si>
    <t xml:space="preserve">5.0 percent</t>
  </si>
  <si>
    <t xml:space="preserve">Full law, Volume I's package: the worst quarter</t>
  </si>
  <si>
    <t xml:space="preserve">Under 1 percent</t>
  </si>
  <si>
    <t xml:space="preserve">No levers, full law: some quarter (engine)</t>
  </si>
  <si>
    <t xml:space="preserve">24.6 percent, though the average path's trough is $460 million</t>
  </si>
  <si>
    <t xml:space="preserve">The average path's trough (engine)</t>
  </si>
  <si>
    <t xml:space="preserve">Committed packages: the quantile, quarter by quarter, and CVaR (Proposition 9.2; Section 9.4; Worked Example 9.1, Step 2)</t>
  </si>
  <si>
    <t xml:space="preserve">For each line, the delay that keeps the appetite is the 95th percentile of the delays the paths need (engine); the cost of a package is 0.03 l + 8 phi.</t>
  </si>
  <si>
    <t xml:space="preserve">Line</t>
  </si>
  <si>
    <t xml:space="preserve">Delay that meets 5% (engine)</t>
  </si>
  <si>
    <t xml:space="preserve">Fees</t>
  </si>
  <si>
    <t xml:space="preserve">Delay cost</t>
  </si>
  <si>
    <t xml:space="preserve">Cost</t>
  </si>
  <si>
    <t xml:space="preserve">The cheapest line on the grid</t>
  </si>
  <si>
    <t xml:space="preserve">Volume I's package: $170 million</t>
  </si>
  <si>
    <t xml:space="preserve">Its delay (quarters)</t>
  </si>
  <si>
    <t xml:space="preserve">0.6676</t>
  </si>
  <si>
    <t xml:space="preserve">$5.10 million</t>
  </si>
  <si>
    <t xml:space="preserve">$5.34 million</t>
  </si>
  <si>
    <t xml:space="preserve">$10.44 million</t>
  </si>
  <si>
    <t xml:space="preserve">Chance on the book's paths (engine)</t>
  </si>
  <si>
    <t xml:space="preserve">5.000%</t>
  </si>
  <si>
    <t xml:space="preserve">Chance on the fresh paths (engine)</t>
  </si>
  <si>
    <t xml:space="preserve">4.907%</t>
  </si>
  <si>
    <t xml:space="preserve">Standard error of 5% on 100,000 paths</t>
  </si>
  <si>
    <t xml:space="preserve">0.069 points</t>
  </si>
  <si>
    <t xml:space="preserve">Fresh chance below 5%, in standard errors</t>
  </si>
  <si>
    <t xml:space="preserve">'within 1.3 standard errors'</t>
  </si>
  <si>
    <t xml:space="preserve">Designed on the fresh paths: line (engine)</t>
  </si>
  <si>
    <t xml:space="preserve">$165 million</t>
  </si>
  <si>
    <t xml:space="preserve">  delay (engine)</t>
  </si>
  <si>
    <t xml:space="preserve">0.6658</t>
  </si>
  <si>
    <t xml:space="preserve">  cost</t>
  </si>
  <si>
    <t xml:space="preserve">$10.28 million</t>
  </si>
  <si>
    <t xml:space="preserve">  differs from the book's package by</t>
  </si>
  <si>
    <t xml:space="preserve">Costs that differ by less than about $0.2 million cannot be told apart</t>
  </si>
  <si>
    <t xml:space="preserve">Read quarter by quarter: line (engine)</t>
  </si>
  <si>
    <t xml:space="preserve">5 percent in each quarter</t>
  </si>
  <si>
    <t xml:space="preserve">0.008</t>
  </si>
  <si>
    <t xml:space="preserve">$1.86 million</t>
  </si>
  <si>
    <t xml:space="preserve">  chance of a breach in some quarter (engine)</t>
  </si>
  <si>
    <t xml:space="preserve">16.69% (fresh 16.39%)</t>
  </si>
  <si>
    <t xml:space="preserve">CVaR, the convex safe version: line (engine)</t>
  </si>
  <si>
    <t xml:space="preserve">$185 million</t>
  </si>
  <si>
    <t xml:space="preserve">  delay (engine, by bisection)</t>
  </si>
  <si>
    <t xml:space="preserve">1.596</t>
  </si>
  <si>
    <t xml:space="preserve">$18.31 million</t>
  </si>
  <si>
    <t xml:space="preserve">  chance of a breach (engine)</t>
  </si>
  <si>
    <t xml:space="preserve">1.9 percent (fresh 1.85%)</t>
  </si>
  <si>
    <t xml:space="preserve">Convexity buys tractability and gives up</t>
  </si>
  <si>
    <t xml:space="preserve">$7.9 million</t>
  </si>
  <si>
    <t xml:space="preserve">A nonconvex quantile (Online Appendix 9.B): chance of 1</t>
  </si>
  <si>
    <t xml:space="preserve">c = z1 x1 + z2 x2, x_i independent, 1 with chance 0.04</t>
  </si>
  <si>
    <t xml:space="preserve">  chance that c &gt; 0 at the midpoint (0.5, 0.5)</t>
  </si>
  <si>
    <t xml:space="preserve">0.0784</t>
  </si>
  <si>
    <t xml:space="preserve">  95th percentile at (1, 0) and (0, 1)</t>
  </si>
  <si>
    <t xml:space="preserve">0</t>
  </si>
  <si>
    <t xml:space="preserve">  95th percentile at their midpoint</t>
  </si>
  <si>
    <t xml:space="preserve">0.5: not convex</t>
  </si>
  <si>
    <t xml:space="preserve">The sample is part of the answer (Theorem 9.3; Figure 9.2; AXIOM Lab 2.9, step 2)</t>
  </si>
  <si>
    <t xml:space="preserve">Theorem 9.3(iv), Equation 9.5: a package whose true chance exceeds 5 percent passes a test at 5% - delta on N paths with probability at most e^(-N kappa), kappa = a ln(a/alpha) + (1 - a) ln((1 - a)/(1 - alpha)), a = alpha - delta; Hoeffding's bound is e^(-2 N delta^2), and kappa &gt;= 2 delta^2 (Pinsker).</t>
  </si>
  <si>
    <t xml:space="preserve">Paths N</t>
  </si>
  <si>
    <t xml:space="preserve">Margin delta</t>
  </si>
  <si>
    <t xml:space="preserve">a = alpha - delta</t>
  </si>
  <si>
    <t xml:space="preserve">kappa (Chernoff)</t>
  </si>
  <si>
    <t xml:space="preserve">e^(-N kappa)</t>
  </si>
  <si>
    <t xml:space="preserve">Hoeffding e^(-2N delta^2)</t>
  </si>
  <si>
    <t xml:space="preserve">2 delta^2</t>
  </si>
  <si>
    <t xml:space="preserve">kappa &gt;= 2 delta^2?</t>
  </si>
  <si>
    <t xml:space="preserve">Standard error of an estimated 5 percent chance</t>
  </si>
  <si>
    <t xml:space="preserve">Standard error (points)</t>
  </si>
  <si>
    <t xml:space="preserve">Packages designed on small samples, judged on the fresh 100,000 paths (engine: 200 samples of 1,000 paths, seeds 900000-900199; 100 of 10,000, seeds 900000-900099)</t>
  </si>
  <si>
    <t xml:space="preserve">Paths</t>
  </si>
  <si>
    <t xml:space="preserve">Margin</t>
  </si>
  <si>
    <t xml:space="preserve">Aimed at</t>
  </si>
  <si>
    <t xml:space="preserve">Designs</t>
  </si>
  <si>
    <t xml:space="preserve">Meet 5% (engine)</t>
  </si>
  <si>
    <t xml:space="preserve">Mean true chance (engine)</t>
  </si>
  <si>
    <t xml:space="preserve">90th percentile (engine)</t>
  </si>
  <si>
    <t xml:space="preserve">Mean cost (engine)</t>
  </si>
  <si>
    <t xml:space="preserve">Cost against the book's package</t>
  </si>
  <si>
    <t xml:space="preserve">Designed on 1,000 paths and aimed at the appetite, packages look cheaper than the book's and buy too little: an optimistic answer (Theorem 9.3(iii)). The board's test of record is the check on fresh paths.</t>
  </si>
  <si>
    <t xml:space="preserve">Rules that read cash: one reading, every reading, and Table 9.3 (Worked Example 9.1, Steps 3-4; Figure 9.3(a); AXIOM Lab 2.9, step 3)</t>
  </si>
  <si>
    <t xml:space="preserve">A slowdown of phi' quarters decided at the end of quarter k costs 8 phi' (1 - S_k) on each path it slows. Which paths a rule slows, and what that does to the chance of a breach, needs the paths (engine); the costs are formulas.</t>
  </si>
  <si>
    <t xml:space="preserve">Quarter read</t>
  </si>
  <si>
    <t xml:space="preserve">Draw still ahead</t>
  </si>
  <si>
    <t xml:space="preserve">Slow only: line (engine)</t>
  </si>
  <si>
    <t xml:space="preserve">Slowdown</t>
  </si>
  <si>
    <t xml:space="preserve">Trigger ($m, engine)</t>
  </si>
  <si>
    <t xml:space="preserve">Share slowed (engine)</t>
  </si>
  <si>
    <t xml:space="preserve">Commit and slow: line (engine)</t>
  </si>
  <si>
    <t xml:space="preserve">Committed</t>
  </si>
  <si>
    <t xml:space="preserve">Saves against the package</t>
  </si>
  <si>
    <t xml:space="preserve">none</t>
  </si>
  <si>
    <t xml:space="preserve">The best quarter to read (least cost of committing and slowing)</t>
  </si>
  <si>
    <t xml:space="preserve">Quarter 3: earlier says too little, later leaves too little of the draw to cut</t>
  </si>
  <si>
    <t xml:space="preserve">Its cost</t>
  </si>
  <si>
    <t xml:space="preserve">$10.23 million</t>
  </si>
  <si>
    <t xml:space="preserve">It saves against Volume I's package</t>
  </si>
  <si>
    <t xml:space="preserve">$0.21 million</t>
  </si>
  <si>
    <t xml:space="preserve">Every reading: slow by 1.25 quarters the first time cash falls more than the margin below the committed plan</t>
  </si>
  <si>
    <t xml:space="preserve">Quarter first slowed</t>
  </si>
  <si>
    <t xml:space="preserve">Share of paths (engine)</t>
  </si>
  <si>
    <t xml:space="preserve">Share x draw ahead</t>
  </si>
  <si>
    <t xml:space="preserve">Line (engine search)</t>
  </si>
  <si>
    <t xml:space="preserve">Committed delay (engine search)</t>
  </si>
  <si>
    <t xml:space="preserve">Half a quarter</t>
  </si>
  <si>
    <t xml:space="preserve">Slowdown (engine search)</t>
  </si>
  <si>
    <t xml:space="preserve">1.25 quarters</t>
  </si>
  <si>
    <t xml:space="preserve">Margin below the plan's path (engine, by bisection)</t>
  </si>
  <si>
    <t xml:space="preserve">$73 million</t>
  </si>
  <si>
    <t xml:space="preserve">Share of paths slowed</t>
  </si>
  <si>
    <t xml:space="preserve">A third</t>
  </si>
  <si>
    <t xml:space="preserve">Contingent delay on average (quarters)</t>
  </si>
  <si>
    <t xml:space="preserve">0.16 quarter</t>
  </si>
  <si>
    <t xml:space="preserve">$10.20 million</t>
  </si>
  <si>
    <t xml:space="preserve">Saves against Volume I's package</t>
  </si>
  <si>
    <t xml:space="preserve">$0.25 million</t>
  </si>
  <si>
    <t xml:space="preserve">  as a share of it</t>
  </si>
  <si>
    <t xml:space="preserve">2 percent</t>
  </si>
  <si>
    <t xml:space="preserve">On the fresh paths: chance (engine)</t>
  </si>
  <si>
    <t xml:space="preserve">4.95%</t>
  </si>
  <si>
    <t xml:space="preserve">On the fresh paths: cost (engine)</t>
  </si>
  <si>
    <t xml:space="preserve">$10.21 million</t>
  </si>
  <si>
    <t xml:space="preserve">Table 9.3: ways of keeping Meridian's appetite, designed on the book's 100,000 paths</t>
  </si>
  <si>
    <t xml:space="preserve">Way</t>
  </si>
  <si>
    <t xml:space="preserve">Committed delay</t>
  </si>
  <si>
    <t xml:space="preserve">Paths slowed</t>
  </si>
  <si>
    <t xml:space="preserve">Fresh: chance (engine)</t>
  </si>
  <si>
    <t xml:space="preserve">Fresh: cost (engine)</t>
  </si>
  <si>
    <t xml:space="preserve">Volume I's package</t>
  </si>
  <si>
    <t xml:space="preserve">--</t>
  </si>
  <si>
    <t xml:space="preserve">Slow only, reading quarter 1</t>
  </si>
  <si>
    <t xml:space="preserve">Slow only, reading quarter 3</t>
  </si>
  <si>
    <t xml:space="preserve">Commit and slow, quarter 3</t>
  </si>
  <si>
    <t xml:space="preserve">Commit and slow, every quarter</t>
  </si>
  <si>
    <t xml:space="preserve">Early warning of closures</t>
  </si>
  <si>
    <t xml:space="preserve">0, 215</t>
  </si>
  <si>
    <t xml:space="preserve">0.61, 0.50</t>
  </si>
  <si>
    <t xml:space="preserve">Every path's future</t>
  </si>
  <si>
    <t xml:space="preserve">Price information: the clairvoyant, an early warning, and a law that persists (Proposition 9.3; Worked Example 9.1, Step 5; Figure 9.3(b); AXIOM Lab 2.9, step 4)</t>
  </si>
  <si>
    <t xml:space="preserve">Reading</t>
  </si>
  <si>
    <t xml:space="preserve">Nothing is read</t>
  </si>
  <si>
    <t xml:space="preserve">Clairvoyant: each path's cheapest safe package, the costliest 5% let go (engine)</t>
  </si>
  <si>
    <t xml:space="preserve">$0.44 million (Proposition 9.3(iii))</t>
  </si>
  <si>
    <t xml:space="preserve">Expected value of perfect information</t>
  </si>
  <si>
    <t xml:space="preserve">$10.0 million: the most any information could save with these levers</t>
  </si>
  <si>
    <t xml:space="preserve">Paths given a package (engine)</t>
  </si>
  <si>
    <t xml:space="preserve">19.6%</t>
  </si>
  <si>
    <t xml:space="preserve">Paths that need no lever</t>
  </si>
  <si>
    <t xml:space="preserve">Four paths in five</t>
  </si>
  <si>
    <t xml:space="preserve">Paths given some of the line (engine)</t>
  </si>
  <si>
    <t xml:space="preserve">One in six</t>
  </si>
  <si>
    <t xml:space="preserve">Early warning: paths that see a closure during the program (engine)</t>
  </si>
  <si>
    <t xml:space="preserve">26 percent</t>
  </si>
  <si>
    <t xml:space="preserve">  share with no closure ahead</t>
  </si>
  <si>
    <t xml:space="preserve">No closure ahead: line (engine)</t>
  </si>
  <si>
    <t xml:space="preserve">No line</t>
  </si>
  <si>
    <t xml:space="preserve">0.61 quarter</t>
  </si>
  <si>
    <t xml:space="preserve">  chance allotted</t>
  </si>
  <si>
    <t xml:space="preserve">4.75%, on a grid of a quarter of a point</t>
  </si>
  <si>
    <t xml:space="preserve">$4.87 million</t>
  </si>
  <si>
    <t xml:space="preserve">Closure ahead: line (engine)</t>
  </si>
  <si>
    <t xml:space="preserve">$215 million</t>
  </si>
  <si>
    <t xml:space="preserve">  chance allotted, so that the overall chance is 5%</t>
  </si>
  <si>
    <t xml:space="preserve">5.71%: more of the appetite where the closure is coming (Proposition 9.3(ii))</t>
  </si>
  <si>
    <t xml:space="preserve">$10.49 million</t>
  </si>
  <si>
    <t xml:space="preserve">Expected cost with the warning</t>
  </si>
  <si>
    <t xml:space="preserve">$6.32 million</t>
  </si>
  <si>
    <t xml:space="preserve">The warning is worth</t>
  </si>
  <si>
    <t xml:space="preserve">$4.1 million</t>
  </si>
  <si>
    <t xml:space="preserve">Reading cash every quarter is worth</t>
  </si>
  <si>
    <t xml:space="preserve">Persistence 0.85, surprises only: some quarter (engine)</t>
  </si>
  <si>
    <t xml:space="preserve">21.0 percent (8.4 at 0.6)</t>
  </si>
  <si>
    <t xml:space="preserve">Persistence 0.85: committed line (engine)</t>
  </si>
  <si>
    <t xml:space="preserve">  committed delay (engine)</t>
  </si>
  <si>
    <t xml:space="preserve">Almost three quarters</t>
  </si>
  <si>
    <t xml:space="preserve">$28.2 million</t>
  </si>
  <si>
    <t xml:space="preserve">Persistence 0.85: reading cash every quarter, cost (engine)</t>
  </si>
  <si>
    <t xml:space="preserve">Line 160, 1.9 committed, slowdown 5.0</t>
  </si>
  <si>
    <t xml:space="preserve">  saves</t>
  </si>
  <si>
    <t xml:space="preserve">$2.3 million</t>
  </si>
  <si>
    <t xml:space="preserve">  as a share of the package</t>
  </si>
  <si>
    <t xml:space="preserve">8 percent: cash says more when surprises persist</t>
  </si>
  <si>
    <t xml:space="preserve">Figure 9.3(b): the least cost by what the decision can see</t>
  </si>
  <si>
    <t xml:space="preserve">What the decision can see</t>
  </si>
  <si>
    <t xml:space="preserve">Least cost</t>
  </si>
  <si>
    <t xml:space="preserve">Nothing (committed)</t>
  </si>
  <si>
    <t xml:space="preserve">Cash, every quarter</t>
  </si>
  <si>
    <t xml:space="preserve">Warning of closures</t>
  </si>
  <si>
    <t xml:space="preserve">Chapter 8's hiring loop with outside events (Theorems 9.1-9.2; Proposition 9.1; Online Appendix 9.B.3; AXIOM Lab 2.9, step 5)</t>
  </si>
  <si>
    <t xml:space="preserve">dd = (-a d + b v) dt + sigma dW1 + s v dW2. Certainty equivalence: the Riccati root of Chapter 8, and the departures cost sigma^2 p / rho. Caution: r b K^2 + (r beta + q s^2) K - q b = 0. Vigilance: (b^2/r) p^2 + (beta - c^2) p - q = 0. Robustness: (b^2/r - 2 theta sigma^2) p^2 + beta p - q = 0, smallest positive root.</t>
  </si>
  <si>
    <t xml:space="preserve">Riccati root p (certainty equivalence)</t>
  </si>
  <si>
    <t xml:space="preserve">0.00090372: departures leave the rule unchanged</t>
  </si>
  <si>
    <t xml:space="preserve">Gain K = b p / r, a year</t>
  </si>
  <si>
    <t xml:space="preserve">4.34 a year</t>
  </si>
  <si>
    <t xml:space="preserve">Departures cost sigma^2 p, a year</t>
  </si>
  <si>
    <t xml:space="preserve">$0.20 million a year</t>
  </si>
  <si>
    <t xml:space="preserve">  in present value, sigma^2 p / rho</t>
  </si>
  <si>
    <t xml:space="preserve">$2.13 million, whatever HR decides</t>
  </si>
  <si>
    <t xml:space="preserve">Least cost from 100 short with departures</t>
  </si>
  <si>
    <t xml:space="preserve">9.037 + 2.133 = 11.171</t>
  </si>
  <si>
    <t xml:space="preserve">Caution: an uncertain yield of approvals (Theorem 9.2(iii))</t>
  </si>
  <si>
    <t xml:space="preserve">Yield noise s</t>
  </si>
  <si>
    <t xml:space="preserve">r b</t>
  </si>
  <si>
    <t xml:space="preserve">r beta + q s^2</t>
  </si>
  <si>
    <t xml:space="preserve">q b</t>
  </si>
  <si>
    <t xml:space="preserve">Gain K</t>
  </si>
  <si>
    <t xml:space="preserve">p = q/(bK + beta)</t>
  </si>
  <si>
    <t xml:space="preserve">Least cost p(d0^2 + sigma^2/rho)</t>
  </si>
  <si>
    <t xml:space="preserve">Certainty-equivalent gain's cost</t>
  </si>
  <si>
    <t xml:space="preserve">Ignoring the uncertainty costs</t>
  </si>
  <si>
    <t xml:space="preserve">Vigilance: p with noise c d dW (Theorem 9.2(iv))</t>
  </si>
  <si>
    <t xml:space="preserve">0.00094136</t>
  </si>
  <si>
    <t xml:space="preserve">  gain b p / r</t>
  </si>
  <si>
    <t xml:space="preserve">4.52: close a gap faster when it breeds its own volatility</t>
  </si>
  <si>
    <t xml:space="preserve">Robustness: guarding against a misjudged drift at the penalty h^2/(2 theta) a year (Proposition 9.1(ii))</t>
  </si>
  <si>
    <t xml:space="preserve">theta</t>
  </si>
  <si>
    <t xml:space="preserve">b^2/r - 2 theta sigma^2</t>
  </si>
  <si>
    <t xml:space="preserve">Discriminant</t>
  </si>
  <si>
    <t xml:space="preserve">p (smallest positive root)</t>
  </si>
  <si>
    <t xml:space="preserve">p x 1e4</t>
  </si>
  <si>
    <t xml:space="preserve">b^2/r - 2 theta sigma^2 turns negative at theta</t>
  </si>
  <si>
    <t xml:space="preserve">6.4: the robust rule continues past it</t>
  </si>
  <si>
    <t xml:space="preserve">Breakdown point theta-bar = (b^2/r + beta^2/(4q)) / (2 sigma^2)</t>
  </si>
  <si>
    <t xml:space="preserve">6.553: past it no linear rule has a finite worst case</t>
  </si>
  <si>
    <t xml:space="preserve">At the breakdown, p -&gt; 2q/beta</t>
  </si>
  <si>
    <t xml:space="preserve">0.006822</t>
  </si>
  <si>
    <t xml:space="preserve">  and K -&gt;</t>
  </si>
  <si>
    <t xml:space="preserve">32.7</t>
  </si>
  <si>
    <t xml:space="preserve">The value ledger (Theorem 9.1(iii)): E M_t, booked with the best rule's value p d^2 + sigma^2 p / rho</t>
  </si>
  <si>
    <t xml:space="preserve">Rule</t>
  </si>
  <si>
    <t xml:space="preserve">g = a + bK</t>
  </si>
  <si>
    <t xml:space="preserve">q + r K^2</t>
  </si>
  <si>
    <t xml:space="preserve">m = sigma^2/(2g)</t>
  </si>
  <si>
    <t xml:space="preserve">Years t</t>
  </si>
  <si>
    <t xml:space="preserve">E d_t^2</t>
  </si>
  <si>
    <t xml:space="preserve">Value earned to t</t>
  </si>
  <si>
    <t xml:space="preserve">Expected ledger E M_t</t>
  </si>
  <si>
    <t xml:space="preserve">Best rule</t>
  </si>
  <si>
    <t xml:space="preserve">Best rule: the limit, the rule's own cost</t>
  </si>
  <si>
    <t xml:space="preserve">Volume I's cautious gain</t>
  </si>
  <si>
    <t xml:space="preserve">Volume I's cautious gain: the limit, the rule's own cost</t>
  </si>
  <si>
    <t xml:space="preserve">Along the best rule the expected ledger stays at the least cost: no drift. Under the cautious gain it drifts up toward that rule's own cost, revealing a rule that is not the declared one.</t>
  </si>
  <si>
    <t xml:space="preserve">Checkpoint</t>
  </si>
  <si>
    <t xml:space="preserve">Engine value</t>
  </si>
  <si>
    <t xml:space="preserve">Meaning (where in the book)</t>
  </si>
  <si>
    <t xml:space="preserve">Volume I, Chapter 8: $482 million in quarter 7</t>
  </si>
  <si>
    <t xml:space="preserve">A quarter of delay lifts the deepest point by</t>
  </si>
  <si>
    <t xml:space="preserve">$24.8 million</t>
  </si>
  <si>
    <t xml:space="preserve">Gaussian chance, quarter 7</t>
  </si>
  <si>
    <t xml:space="preserve">Online Appendix 9.B.2: 1.73%</t>
  </si>
  <si>
    <t xml:space="preserve">Gaussian chance, quarter 12</t>
  </si>
  <si>
    <t xml:space="preserve">0.51%</t>
  </si>
  <si>
    <t xml:space="preserve">Sum over the quarters, Gaussian</t>
  </si>
  <si>
    <t xml:space="preserve">Figure 9.1: 11.2%</t>
  </si>
  <si>
    <t xml:space="preserve">Draw still ahead after quarter 3</t>
  </si>
  <si>
    <t xml:space="preserve">29.9%</t>
  </si>
  <si>
    <t xml:space="preserve">Draw still ahead after quarter 6</t>
  </si>
  <si>
    <t xml:space="preserve">3.7%</t>
  </si>
  <si>
    <t xml:space="preserve">Committed package: the cheapest line</t>
  </si>
  <si>
    <t xml:space="preserve">$170 million</t>
  </si>
  <si>
    <t xml:space="preserve">Committed package: fees</t>
  </si>
  <si>
    <t xml:space="preserve">Committed package: delay cost</t>
  </si>
  <si>
    <t xml:space="preserve">Committed package: cost</t>
  </si>
  <si>
    <t xml:space="preserve">Fresh chance below 5%, standard errors</t>
  </si>
  <si>
    <t xml:space="preserve">Within 1.3 standard errors</t>
  </si>
  <si>
    <t xml:space="preserve">Designed on the fresh paths: cost</t>
  </si>
  <si>
    <t xml:space="preserve">Read quarter by quarter: cost</t>
  </si>
  <si>
    <t xml:space="preserve">CVaR package: cost</t>
  </si>
  <si>
    <t xml:space="preserve">Convexity gives up</t>
  </si>
  <si>
    <t xml:space="preserve">A nonconvex quantile: chance at the midpoint</t>
  </si>
  <si>
    <t xml:space="preserve">kappa at a quarter-point margin</t>
  </si>
  <si>
    <t xml:space="preserve">6.69e-5</t>
  </si>
  <si>
    <t xml:space="preserve">Chernoff bound, quarter point, 100,000 paths</t>
  </si>
  <si>
    <t xml:space="preserve">0.12 percent</t>
  </si>
  <si>
    <t xml:space="preserve">Chernoff bound, quarter point, 10,000 paths</t>
  </si>
  <si>
    <t xml:space="preserve">0.51</t>
  </si>
  <si>
    <t xml:space="preserve">Hoeffding bound, quarter point, 100,000 paths</t>
  </si>
  <si>
    <t xml:space="preserve">0.29</t>
  </si>
  <si>
    <t xml:space="preserve">Hoeffding bound, quarter point, 10,000 paths</t>
  </si>
  <si>
    <t xml:space="preserve">0.88</t>
  </si>
  <si>
    <t xml:space="preserve">kappa at one point</t>
  </si>
  <si>
    <t xml:space="preserve">0.00113</t>
  </si>
  <si>
    <t xml:space="preserve">Chernoff bound, one point, 1,000 paths</t>
  </si>
  <si>
    <t xml:space="preserve">Up to 32 percent</t>
  </si>
  <si>
    <t xml:space="preserve">Chernoff bound, two points, 1,000 paths</t>
  </si>
  <si>
    <t xml:space="preserve">0.0076</t>
  </si>
  <si>
    <t xml:space="preserve">Slow only, quarter 1: cost</t>
  </si>
  <si>
    <t xml:space="preserve">Table 9.3: 10.62</t>
  </si>
  <si>
    <t xml:space="preserve">Slow only, quarter 2: cost</t>
  </si>
  <si>
    <t xml:space="preserve">10.89</t>
  </si>
  <si>
    <t xml:space="preserve">Slow only, quarter 3: cost</t>
  </si>
  <si>
    <t xml:space="preserve">Table 9.3: 11.41</t>
  </si>
  <si>
    <t xml:space="preserve">Slow only, quarter 4: cost</t>
  </si>
  <si>
    <t xml:space="preserve">12.31</t>
  </si>
  <si>
    <t xml:space="preserve">Commit and slow, quarter 1: cost</t>
  </si>
  <si>
    <t xml:space="preserve">10.38</t>
  </si>
  <si>
    <t xml:space="preserve">Commit and slow, quarter 2: cost</t>
  </si>
  <si>
    <t xml:space="preserve">10.30</t>
  </si>
  <si>
    <t xml:space="preserve">Commit and slow, quarter 3: cost</t>
  </si>
  <si>
    <t xml:space="preserve">Table 9.3: 10.23</t>
  </si>
  <si>
    <t xml:space="preserve">Commit and slow, quarter 4: cost</t>
  </si>
  <si>
    <t xml:space="preserve">10.31</t>
  </si>
  <si>
    <t xml:space="preserve">Commit and slow, quarter 5: cost</t>
  </si>
  <si>
    <t xml:space="preserve">10.35</t>
  </si>
  <si>
    <t xml:space="preserve">Commit and slow, quarter 6: cost</t>
  </si>
  <si>
    <t xml:space="preserve">10.43</t>
  </si>
  <si>
    <t xml:space="preserve">The best quarter to read</t>
  </si>
  <si>
    <t xml:space="preserve">Quarter 3</t>
  </si>
  <si>
    <t xml:space="preserve">Quarter 3 rule saves against the package</t>
  </si>
  <si>
    <t xml:space="preserve">Every quarter: contingent delay</t>
  </si>
  <si>
    <t xml:space="preserve">Every quarter: cost</t>
  </si>
  <si>
    <t xml:space="preserve">Table 9.3: 10.20</t>
  </si>
  <si>
    <t xml:space="preserve">Every quarter: saves against the package</t>
  </si>
  <si>
    <t xml:space="preserve">Every quarter: saves, share</t>
  </si>
  <si>
    <t xml:space="preserve">$10.0 million</t>
  </si>
  <si>
    <t xml:space="preserve">Early warning, none ahead: cost</t>
  </si>
  <si>
    <t xml:space="preserve">4.87</t>
  </si>
  <si>
    <t xml:space="preserve">Early warning, closure ahead: chance</t>
  </si>
  <si>
    <t xml:space="preserve">5.71%</t>
  </si>
  <si>
    <t xml:space="preserve">Early warning, closure ahead: cost</t>
  </si>
  <si>
    <t xml:space="preserve">10.49</t>
  </si>
  <si>
    <t xml:space="preserve">Early warning: expected cost</t>
  </si>
  <si>
    <t xml:space="preserve">Table 9.3: 6.32</t>
  </si>
  <si>
    <t xml:space="preserve">Early warning: worth</t>
  </si>
  <si>
    <t xml:space="preserve">Persistence 0.85: committed cost</t>
  </si>
  <si>
    <t xml:space="preserve">Persistence 0.85: reading cash saves</t>
  </si>
  <si>
    <t xml:space="preserve">Persistence 0.85: saves, share</t>
  </si>
  <si>
    <t xml:space="preserve">8 percent</t>
  </si>
  <si>
    <t xml:space="preserve">Hiring: Riccati root p</t>
  </si>
  <si>
    <t xml:space="preserve">0.00090372</t>
  </si>
  <si>
    <t xml:space="preserve">Hiring: gain K</t>
  </si>
  <si>
    <t xml:space="preserve">Hiring: departures cost a year</t>
  </si>
  <si>
    <t xml:space="preserve">$0.20 million</t>
  </si>
  <si>
    <t xml:space="preserve">Hiring: departures cost in present value</t>
  </si>
  <si>
    <t xml:space="preserve">$2.13 million</t>
  </si>
  <si>
    <t xml:space="preserve">Hiring: least cost with departures</t>
  </si>
  <si>
    <t xml:space="preserve">$11.171 million</t>
  </si>
  <si>
    <t xml:space="preserve">Hiring: beta</t>
  </si>
  <si>
    <t xml:space="preserve">0.938194</t>
  </si>
  <si>
    <t xml:space="preserve">Caution, s = 0.10: gain</t>
  </si>
  <si>
    <t xml:space="preserve">4.16</t>
  </si>
  <si>
    <t xml:space="preserve">Caution, s = 0.10: p</t>
  </si>
  <si>
    <t xml:space="preserve">0.00093157</t>
  </si>
  <si>
    <t xml:space="preserve">Caution, s = 0.10: least cost</t>
  </si>
  <si>
    <t xml:space="preserve">11.515</t>
  </si>
  <si>
    <t xml:space="preserve">Caution, s = 0.20: gain</t>
  </si>
  <si>
    <t xml:space="preserve">3.68</t>
  </si>
  <si>
    <t xml:space="preserve">Caution, s = 0.20: p</t>
  </si>
  <si>
    <t xml:space="preserve">0.00101669</t>
  </si>
  <si>
    <t xml:space="preserve">Caution, s = 0.20: least cost</t>
  </si>
  <si>
    <t xml:space="preserve">12.567</t>
  </si>
  <si>
    <t xml:space="preserve">Certainty-equivalent gain at s = 0.10: cost</t>
  </si>
  <si>
    <t xml:space="preserve">11.524</t>
  </si>
  <si>
    <t xml:space="preserve">Certainty-equivalent gain at s = 0.20: cost</t>
  </si>
  <si>
    <t xml:space="preserve">12.730</t>
  </si>
  <si>
    <t xml:space="preserve">Ignoring the yield's uncertainty costs, s = 0.10</t>
  </si>
  <si>
    <t xml:space="preserve">$0.01 million</t>
  </si>
  <si>
    <t xml:space="preserve">Ignoring the yield's uncertainty costs, s = 0.20</t>
  </si>
  <si>
    <t xml:space="preserve">$0.16 million</t>
  </si>
  <si>
    <t xml:space="preserve">Vigilance, c = 0.5: p</t>
  </si>
  <si>
    <t xml:space="preserve">Vigilance, c = 0.5: gain</t>
  </si>
  <si>
    <t xml:space="preserve">4.5185</t>
  </si>
  <si>
    <t xml:space="preserve">Robust, theta = 1: gain</t>
  </si>
  <si>
    <t xml:space="preserve">4.66</t>
  </si>
  <si>
    <t xml:space="preserve">Robust, theta = 2: gain</t>
  </si>
  <si>
    <t xml:space="preserve">5.07</t>
  </si>
  <si>
    <t xml:space="preserve">Robust, theta = 3: gain</t>
  </si>
  <si>
    <t xml:space="preserve">5.624</t>
  </si>
  <si>
    <t xml:space="preserve">Robust, theta = 6: gain</t>
  </si>
  <si>
    <t xml:space="preserve">11.283</t>
  </si>
  <si>
    <t xml:space="preserve">Robust, theta = 6.5: gain</t>
  </si>
  <si>
    <t xml:space="preserve">20.621</t>
  </si>
  <si>
    <t xml:space="preserve">Robust, theta = 1: p x 1e4</t>
  </si>
  <si>
    <t xml:space="preserve">9.706</t>
  </si>
  <si>
    <t xml:space="preserve">Robust, theta = 6.5: p x 1e4</t>
  </si>
  <si>
    <t xml:space="preserve">42.960</t>
  </si>
  <si>
    <t xml:space="preserve">b^2/r - 2 theta sigma^2 turns negative at</t>
  </si>
  <si>
    <t xml:space="preserve">6.4</t>
  </si>
  <si>
    <t xml:space="preserve">Breakdown point theta-bar</t>
  </si>
  <si>
    <t xml:space="preserve">6.553</t>
  </si>
  <si>
    <t xml:space="preserve">At the breakdown, K -&gt;</t>
  </si>
  <si>
    <t xml:space="preserve">Ledger, best rule, at 0</t>
  </si>
  <si>
    <t xml:space="preserve">11.171</t>
  </si>
  <si>
    <t xml:space="preserve">Ledger, best rule, after 1 year</t>
  </si>
  <si>
    <t xml:space="preserve">11.171: no drift</t>
  </si>
  <si>
    <t xml:space="preserve">Ledger, best rule, after 5 years</t>
  </si>
  <si>
    <t xml:space="preserve">Ledger, cautious gain, after 1 year</t>
  </si>
  <si>
    <t xml:space="preserve">13.176</t>
  </si>
  <si>
    <t xml:space="preserve">Ledger, cautious gain, after 2 years</t>
  </si>
  <si>
    <t xml:space="preserve">13.287</t>
  </si>
  <si>
    <t xml:space="preserve">Ledger, cautious gain, after 5 years</t>
  </si>
  <si>
    <t xml:space="preserve">13.392</t>
  </si>
  <si>
    <t xml:space="preserve">Ledger, cautious gain, its limit</t>
  </si>
  <si>
    <t xml:space="preserve">13.700, the rule's own cost</t>
  </si>
  <si>
    <t xml:space="preserve">Workbook formula value</t>
  </si>
  <si>
    <t xml:space="preserve">|diff|</t>
  </si>
  <si>
    <t xml:space="preserve">Tolerance</t>
  </si>
  <si>
    <t xml:space="preserve">Status</t>
  </si>
  <si>
    <t xml:space="preserve">All checkpoints</t>
  </si>
</sst>
</file>

<file path=xl/styles.xml><?xml version="1.0" encoding="utf-8"?>
<styleSheet xmlns="http://schemas.openxmlformats.org/spreadsheetml/2006/main">
  <numFmts count="18">
    <numFmt numFmtId="164" formatCode="General"/>
    <numFmt numFmtId="165" formatCode="0"/>
    <numFmt numFmtId="166" formatCode="0.0"/>
    <numFmt numFmtId="167" formatCode="0.00"/>
    <numFmt numFmtId="168" formatCode="#,##0"/>
    <numFmt numFmtId="169" formatCode="0.000000"/>
    <numFmt numFmtId="170" formatCode="0.0000"/>
    <numFmt numFmtId="171" formatCode="0.000"/>
    <numFmt numFmtId="172" formatCode="0.0%"/>
    <numFmt numFmtId="173" formatCode="0.00%"/>
    <numFmt numFmtId="174" formatCode="0.000%"/>
    <numFmt numFmtId="175" formatCode="0.000E+00"/>
    <numFmt numFmtId="176" formatCode="General"/>
    <numFmt numFmtId="177" formatCode="\+0.00;\-0.00"/>
    <numFmt numFmtId="178" formatCode="0%"/>
    <numFmt numFmtId="179" formatCode="0.00000000"/>
    <numFmt numFmtId="180" formatCode="0.0000000"/>
    <numFmt numFmtId="181" formatCode="0.0E+00"/>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0"/>
      <color rgb="FFFFFFFF"/>
      <name val="Arial"/>
      <family val="0"/>
      <charset val="1"/>
    </font>
    <font>
      <i val="true"/>
      <sz val="9"/>
      <color rgb="FF555555"/>
      <name val="Arial"/>
      <family val="0"/>
      <charset val="1"/>
    </font>
  </fonts>
  <fills count="5">
    <fill>
      <patternFill patternType="none"/>
    </fill>
    <fill>
      <patternFill patternType="gray125"/>
    </fill>
    <fill>
      <patternFill patternType="solid">
        <fgColor rgb="FFFFF3D6"/>
        <bgColor rgb="FFE8F0EC"/>
      </patternFill>
    </fill>
    <fill>
      <patternFill patternType="solid">
        <fgColor rgb="FFE8F0EC"/>
        <bgColor rgb="FFFFF3D6"/>
      </patternFill>
    </fill>
    <fill>
      <patternFill patternType="solid">
        <fgColor rgb="FF0B3D2E"/>
        <bgColor rgb="FF003366"/>
      </patternFill>
    </fill>
  </fills>
  <borders count="2">
    <border diagonalUp="false" diagonalDown="false">
      <left/>
      <right/>
      <top/>
      <bottom/>
      <diagonal/>
    </border>
    <border diagonalUp="false" diagonalDown="false">
      <left/>
      <right/>
      <top/>
      <bottom style="thin">
        <color rgb="FFB4BE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3" fontId="8" fillId="3"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70" fontId="8" fillId="3" borderId="0" xfId="0" applyFont="true" applyBorder="false" applyAlignment="false" applyProtection="false">
      <alignment horizontal="general" vertical="bottom" textRotation="0" wrapText="false" indent="0" shrinkToFit="false"/>
      <protection locked="true" hidden="false"/>
    </xf>
    <xf numFmtId="174" fontId="8" fillId="3"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73" fontId="7" fillId="2"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72" fontId="8" fillId="3"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1" fontId="8" fillId="3"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80" fontId="5" fillId="0"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81" fontId="5" fillId="0" borderId="0" xfId="0" applyFont="true" applyBorder="false" applyAlignment="false" applyProtection="false">
      <alignment horizontal="general" vertical="bottom" textRotation="0" wrapText="false" indent="0" shrinkToFit="false"/>
      <protection locked="true" hidden="false"/>
    </xf>
    <xf numFmtId="181"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ECE"/>
      <rgbColor rgb="FF808080"/>
      <rgbColor rgb="FF9999FF"/>
      <rgbColor rgb="FF993366"/>
      <rgbColor rgb="FFFFF3D6"/>
      <rgbColor rgb="FFE8F0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B3D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5" hidden="false" customHeight="false" outlineLevel="0" collapsed="false">
      <c r="B1" s="1" t="s">
        <v>0</v>
      </c>
    </row>
    <row r="2" customFormat="false" ht="15" hidden="false" customHeight="false" outlineLevel="0" collapsed="false">
      <c r="B2" s="2" t="s">
        <v>1</v>
      </c>
    </row>
    <row r="4" customFormat="false" ht="35.05" hidden="false" customHeight="false" outlineLevel="0" collapsed="false">
      <c r="B4" s="3" t="s">
        <v>2</v>
      </c>
    </row>
    <row r="5" customFormat="false" ht="15" hidden="false" customHeight="false" outlineLevel="0" collapsed="false">
      <c r="B5" s="3" t="s">
        <v>3</v>
      </c>
    </row>
    <row r="6" customFormat="false" ht="23.85" hidden="false" customHeight="false" outlineLevel="0" collapsed="false">
      <c r="B6" s="3" t="s">
        <v>4</v>
      </c>
    </row>
    <row r="7" customFormat="false" ht="23.85" hidden="false" customHeight="false" outlineLevel="0" collapsed="false">
      <c r="B7" s="3" t="s">
        <v>5</v>
      </c>
    </row>
    <row r="8" customFormat="false" ht="15" hidden="false" customHeight="false" outlineLevel="0" collapsed="false">
      <c r="B8" s="3" t="s">
        <v>6</v>
      </c>
    </row>
    <row r="9" customFormat="false" ht="15" hidden="false" customHeight="false" outlineLevel="0" collapsed="false">
      <c r="B9" s="3" t="s">
        <v>7</v>
      </c>
    </row>
    <row r="10" customFormat="false" ht="23.85" hidden="false" customHeight="false" outlineLevel="0" collapsed="false">
      <c r="B10" s="3" t="s">
        <v>8</v>
      </c>
    </row>
    <row r="11" customFormat="false" ht="15" hidden="false" customHeight="false" outlineLevel="0" collapsed="false">
      <c r="B11" s="3" t="s">
        <v>9</v>
      </c>
    </row>
    <row r="12" customFormat="false" ht="23.85" hidden="false" customHeight="false" outlineLevel="0" collapsed="false">
      <c r="B12" s="3" t="s">
        <v>10</v>
      </c>
    </row>
    <row r="13" customFormat="false" ht="15" hidden="false" customHeight="false" outlineLevel="0" collapsed="false">
      <c r="B13" s="3" t="s">
        <v>11</v>
      </c>
    </row>
    <row r="15" customFormat="false" ht="15" hidden="false" customHeight="false" outlineLevel="0" collapsed="false">
      <c r="B15" s="4" t="s">
        <v>12</v>
      </c>
    </row>
    <row r="16" customFormat="false" ht="15" hidden="false" customHeight="false" outlineLevel="0" collapsed="false">
      <c r="B16" s="5" t="s">
        <v>13</v>
      </c>
    </row>
    <row r="17" customFormat="false" ht="15" hidden="false" customHeight="false" outlineLevel="0" collapsed="false">
      <c r="B17" s="2" t="s">
        <v>14</v>
      </c>
    </row>
    <row r="18" customFormat="false" ht="15" hidden="false" customHeight="false" outlineLevel="0" collapsed="false">
      <c r="B18" s="6" t="s">
        <v>15</v>
      </c>
    </row>
    <row r="19" customFormat="false" ht="15" hidden="false" customHeight="false" outlineLevel="0" collapsed="false">
      <c r="B19" s="7"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4"/>
    <col collapsed="false" customWidth="true" hidden="false" outlineLevel="0" max="3" min="3" style="0" width="70"/>
  </cols>
  <sheetData>
    <row r="1" customFormat="false" ht="15" hidden="false" customHeight="false" outlineLevel="0" collapsed="false">
      <c r="A1" s="1" t="s">
        <v>17</v>
      </c>
    </row>
    <row r="3" customFormat="false" ht="15" hidden="false" customHeight="false" outlineLevel="0" collapsed="false">
      <c r="A3" s="8" t="s">
        <v>18</v>
      </c>
      <c r="B3" s="8" t="s">
        <v>19</v>
      </c>
      <c r="C3" s="8" t="s">
        <v>20</v>
      </c>
    </row>
    <row r="4" customFormat="false" ht="15" hidden="false" customHeight="false" outlineLevel="0" collapsed="false">
      <c r="A4" s="2" t="s">
        <v>21</v>
      </c>
      <c r="B4" s="9" t="n">
        <v>620</v>
      </c>
      <c r="C4" s="10" t="s">
        <v>22</v>
      </c>
    </row>
    <row r="5" customFormat="false" ht="15" hidden="false" customHeight="false" outlineLevel="0" collapsed="false">
      <c r="A5" s="2" t="s">
        <v>23</v>
      </c>
      <c r="B5" s="11" t="n">
        <f aca="false">B4/100</f>
        <v>6.2</v>
      </c>
      <c r="C5" s="10" t="s">
        <v>24</v>
      </c>
    </row>
    <row r="6" customFormat="false" ht="15" hidden="false" customHeight="false" outlineLevel="0" collapsed="false">
      <c r="A6" s="2" t="s">
        <v>25</v>
      </c>
      <c r="B6" s="9" t="n">
        <v>112</v>
      </c>
      <c r="C6" s="10" t="s">
        <v>26</v>
      </c>
    </row>
    <row r="7" customFormat="false" ht="15" hidden="false" customHeight="false" outlineLevel="0" collapsed="false">
      <c r="A7" s="2" t="s">
        <v>27</v>
      </c>
      <c r="B7" s="12" t="n">
        <v>0.35</v>
      </c>
    </row>
    <row r="8" customFormat="false" ht="15" hidden="false" customHeight="false" outlineLevel="0" collapsed="false">
      <c r="A8" s="2" t="s">
        <v>28</v>
      </c>
      <c r="B8" s="9" t="n">
        <v>28</v>
      </c>
      <c r="C8" s="10" t="s">
        <v>29</v>
      </c>
    </row>
    <row r="9" customFormat="false" ht="15" hidden="false" customHeight="false" outlineLevel="0" collapsed="false">
      <c r="A9" s="2" t="s">
        <v>30</v>
      </c>
      <c r="B9" s="13" t="n">
        <v>2</v>
      </c>
      <c r="C9" s="10" t="s">
        <v>31</v>
      </c>
    </row>
    <row r="10" customFormat="false" ht="15" hidden="false" customHeight="false" outlineLevel="0" collapsed="false">
      <c r="A10" s="2" t="s">
        <v>32</v>
      </c>
      <c r="B10" s="9" t="n">
        <v>350</v>
      </c>
      <c r="C10" s="10" t="s">
        <v>33</v>
      </c>
    </row>
    <row r="11" customFormat="false" ht="15" hidden="false" customHeight="false" outlineLevel="0" collapsed="false">
      <c r="A11" s="2" t="s">
        <v>34</v>
      </c>
      <c r="B11" s="12" t="n">
        <v>0.6</v>
      </c>
      <c r="C11" s="10" t="s">
        <v>35</v>
      </c>
    </row>
    <row r="12" customFormat="false" ht="15" hidden="false" customHeight="false" outlineLevel="0" collapsed="false">
      <c r="A12" s="2" t="s">
        <v>36</v>
      </c>
      <c r="B12" s="9" t="n">
        <v>50</v>
      </c>
    </row>
    <row r="13" customFormat="false" ht="15" hidden="false" customHeight="false" outlineLevel="0" collapsed="false">
      <c r="A13" s="2" t="s">
        <v>37</v>
      </c>
      <c r="B13" s="12" t="n">
        <v>0.1</v>
      </c>
      <c r="C13" s="10" t="s">
        <v>38</v>
      </c>
    </row>
    <row r="14" customFormat="false" ht="15" hidden="false" customHeight="false" outlineLevel="0" collapsed="false">
      <c r="A14" s="2" t="s">
        <v>39</v>
      </c>
      <c r="B14" s="9" t="n">
        <v>120</v>
      </c>
      <c r="C14" s="10" t="s">
        <v>40</v>
      </c>
    </row>
    <row r="15" customFormat="false" ht="15" hidden="false" customHeight="false" outlineLevel="0" collapsed="false">
      <c r="A15" s="2" t="s">
        <v>41</v>
      </c>
      <c r="B15" s="9" t="n">
        <v>50</v>
      </c>
    </row>
    <row r="16" customFormat="false" ht="15" hidden="false" customHeight="false" outlineLevel="0" collapsed="false">
      <c r="A16" s="2" t="s">
        <v>42</v>
      </c>
      <c r="B16" s="12" t="n">
        <v>0.03</v>
      </c>
      <c r="C16" s="10" t="s">
        <v>43</v>
      </c>
    </row>
    <row r="17" customFormat="false" ht="15" hidden="false" customHeight="false" outlineLevel="0" collapsed="false">
      <c r="A17" s="2" t="s">
        <v>44</v>
      </c>
      <c r="B17" s="13" t="n">
        <v>8</v>
      </c>
      <c r="C17" s="10" t="s">
        <v>45</v>
      </c>
    </row>
    <row r="18" customFormat="false" ht="15" hidden="false" customHeight="false" outlineLevel="0" collapsed="false">
      <c r="A18" s="2" t="s">
        <v>46</v>
      </c>
      <c r="B18" s="9" t="n">
        <v>4</v>
      </c>
      <c r="C18" s="10" t="s">
        <v>47</v>
      </c>
    </row>
    <row r="19" customFormat="false" ht="15" hidden="false" customHeight="false" outlineLevel="0" collapsed="false">
      <c r="A19" s="2" t="s">
        <v>48</v>
      </c>
      <c r="B19" s="12" t="n">
        <v>0.05</v>
      </c>
      <c r="C19" s="10" t="s">
        <v>49</v>
      </c>
    </row>
    <row r="20" customFormat="false" ht="15" hidden="false" customHeight="false" outlineLevel="0" collapsed="false">
      <c r="A20" s="2" t="s">
        <v>50</v>
      </c>
      <c r="B20" s="14" t="n">
        <v>100000</v>
      </c>
      <c r="C20" s="10" t="s">
        <v>51</v>
      </c>
    </row>
    <row r="22" customFormat="false" ht="15" hidden="false" customHeight="false" outlineLevel="0" collapsed="false">
      <c r="A22" s="4" t="s">
        <v>52</v>
      </c>
    </row>
    <row r="23" customFormat="false" ht="15" hidden="false" customHeight="false" outlineLevel="0" collapsed="false">
      <c r="A23" s="2" t="s">
        <v>53</v>
      </c>
      <c r="B23" s="12" t="n">
        <v>0.9</v>
      </c>
      <c r="C23" s="10" t="s">
        <v>54</v>
      </c>
    </row>
    <row r="24" customFormat="false" ht="15" hidden="false" customHeight="false" outlineLevel="0" collapsed="false">
      <c r="A24" s="2" t="s">
        <v>55</v>
      </c>
      <c r="B24" s="15" t="n">
        <f aca="false">-4*LN(B23)</f>
        <v>0.421442062631305</v>
      </c>
      <c r="C24" s="10" t="s">
        <v>56</v>
      </c>
    </row>
    <row r="25" customFormat="false" ht="15" hidden="false" customHeight="false" outlineLevel="0" collapsed="false">
      <c r="A25" s="2" t="s">
        <v>57</v>
      </c>
      <c r="B25" s="12" t="n">
        <v>0.6</v>
      </c>
    </row>
    <row r="26" customFormat="false" ht="15" hidden="false" customHeight="false" outlineLevel="0" collapsed="false">
      <c r="A26" s="2" t="s">
        <v>58</v>
      </c>
      <c r="B26" s="9" t="n">
        <v>32</v>
      </c>
      <c r="C26" s="10" t="s">
        <v>59</v>
      </c>
    </row>
    <row r="27" customFormat="false" ht="15" hidden="false" customHeight="false" outlineLevel="0" collapsed="false">
      <c r="A27" s="2" t="s">
        <v>60</v>
      </c>
      <c r="B27" s="16" t="n">
        <f aca="false">B26/100^2</f>
        <v>0.0032</v>
      </c>
    </row>
    <row r="28" customFormat="false" ht="15" hidden="false" customHeight="false" outlineLevel="0" collapsed="false">
      <c r="A28" s="2" t="s">
        <v>61</v>
      </c>
      <c r="B28" s="9" t="n">
        <v>20</v>
      </c>
      <c r="C28" s="10" t="s">
        <v>62</v>
      </c>
    </row>
    <row r="29" customFormat="false" ht="15" hidden="false" customHeight="false" outlineLevel="0" collapsed="false">
      <c r="A29" s="2" t="s">
        <v>63</v>
      </c>
      <c r="B29" s="15" t="n">
        <f aca="false">B28/400^2</f>
        <v>0.000125</v>
      </c>
    </row>
    <row r="30" customFormat="false" ht="15" hidden="false" customHeight="false" outlineLevel="0" collapsed="false">
      <c r="A30" s="2" t="s">
        <v>64</v>
      </c>
      <c r="B30" s="12" t="n">
        <v>0.1</v>
      </c>
    </row>
    <row r="31" customFormat="false" ht="15" hidden="false" customHeight="false" outlineLevel="0" collapsed="false">
      <c r="A31" s="2" t="s">
        <v>65</v>
      </c>
      <c r="B31" s="15" t="n">
        <f aca="false">LN(1+B30)</f>
        <v>0.0953101798043249</v>
      </c>
    </row>
    <row r="32" customFormat="false" ht="15" hidden="false" customHeight="false" outlineLevel="0" collapsed="false">
      <c r="A32" s="2" t="s">
        <v>66</v>
      </c>
      <c r="B32" s="9" t="n">
        <v>-100</v>
      </c>
      <c r="C32" s="10" t="s">
        <v>67</v>
      </c>
    </row>
    <row r="33" customFormat="false" ht="15" hidden="false" customHeight="false" outlineLevel="0" collapsed="false">
      <c r="A33" s="2" t="s">
        <v>68</v>
      </c>
      <c r="B33" s="9" t="n">
        <v>15</v>
      </c>
      <c r="C33" s="10" t="s">
        <v>69</v>
      </c>
    </row>
    <row r="34" customFormat="false" ht="15" hidden="false" customHeight="false" outlineLevel="0" collapsed="false">
      <c r="A34" s="2" t="s">
        <v>70</v>
      </c>
      <c r="B34" s="12" t="n">
        <v>0.2</v>
      </c>
      <c r="C34" s="10" t="s">
        <v>71</v>
      </c>
    </row>
    <row r="35" customFormat="false" ht="15" hidden="false" customHeight="false" outlineLevel="0" collapsed="false">
      <c r="A35" s="2" t="s">
        <v>72</v>
      </c>
      <c r="B35" s="17" t="n">
        <f aca="false">B34*SQRT(1/4)</f>
        <v>0.1</v>
      </c>
      <c r="C35" s="10" t="s">
        <v>73</v>
      </c>
    </row>
    <row r="36" customFormat="false" ht="15" hidden="false" customHeight="false" outlineLevel="0" collapsed="false">
      <c r="A36" s="2" t="s">
        <v>74</v>
      </c>
      <c r="B36" s="13" t="n">
        <v>0.5</v>
      </c>
      <c r="C36" s="10" t="s">
        <v>75</v>
      </c>
    </row>
    <row r="37" customFormat="false" ht="15" hidden="false" customHeight="false" outlineLevel="0" collapsed="false">
      <c r="A37" s="2" t="s">
        <v>76</v>
      </c>
      <c r="B37" s="13" t="n">
        <v>2</v>
      </c>
      <c r="C37" s="10" t="s">
        <v>77</v>
      </c>
    </row>
    <row r="38" customFormat="false" ht="15" hidden="false" customHeight="false" outlineLevel="0" collapsed="false">
      <c r="A38" s="2" t="s">
        <v>78</v>
      </c>
      <c r="B38" s="15" t="n">
        <f aca="false">2*B24+B31</f>
        <v>0.938194305066935</v>
      </c>
      <c r="C38" s="10"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4" min="3" style="0" width="14"/>
    <col collapsed="false" customWidth="true" hidden="false" outlineLevel="0" max="6" min="5" style="0" width="12"/>
    <col collapsed="false" customWidth="true" hidden="false" outlineLevel="0" max="7" min="7" style="0" width="14"/>
    <col collapsed="false" customWidth="true" hidden="false" outlineLevel="0" max="9" min="8" style="0" width="12"/>
    <col collapsed="false" customWidth="true" hidden="false" outlineLevel="0" max="11" min="10" style="0" width="16"/>
    <col collapsed="false" customWidth="true" hidden="false" outlineLevel="0" max="12" min="12" style="0" width="20"/>
  </cols>
  <sheetData>
    <row r="1" customFormat="false" ht="15" hidden="false" customHeight="false" outlineLevel="0" collapsed="false">
      <c r="A1" s="1" t="s">
        <v>80</v>
      </c>
    </row>
    <row r="2" customFormat="false" ht="15" hidden="false" customHeight="false" outlineLevel="0" collapsed="false">
      <c r="A2" s="10" t="s">
        <v>81</v>
      </c>
    </row>
    <row r="4" customFormat="false" ht="35.05" hidden="false" customHeight="false" outlineLevel="0" collapsed="false">
      <c r="A4" s="8" t="s">
        <v>82</v>
      </c>
      <c r="B4" s="8" t="s">
        <v>83</v>
      </c>
      <c r="C4" s="8" t="s">
        <v>84</v>
      </c>
      <c r="D4" s="8" t="s">
        <v>85</v>
      </c>
      <c r="E4" s="8" t="s">
        <v>86</v>
      </c>
      <c r="F4" s="8" t="s">
        <v>87</v>
      </c>
      <c r="G4" s="8" t="s">
        <v>88</v>
      </c>
      <c r="H4" s="8" t="s">
        <v>89</v>
      </c>
      <c r="I4" s="8" t="s">
        <v>90</v>
      </c>
      <c r="J4" s="8" t="s">
        <v>91</v>
      </c>
      <c r="K4" s="8" t="s">
        <v>92</v>
      </c>
      <c r="L4" s="8" t="s">
        <v>93</v>
      </c>
    </row>
    <row r="5" customFormat="false" ht="15" hidden="false" customHeight="false" outlineLevel="0" collapsed="false">
      <c r="A5" s="18" t="n">
        <v>1</v>
      </c>
      <c r="B5" s="17" t="n">
        <f aca="false">A5/4</f>
        <v>0.25</v>
      </c>
      <c r="C5" s="19" t="n">
        <f aca="false">Xinf+(100-Xinf)*EXP(-Krel*B5)</f>
        <v>101.005373540189</v>
      </c>
      <c r="D5" s="17" t="n">
        <f aca="false">PerPt*C5</f>
        <v>626.233315949175</v>
      </c>
      <c r="E5" s="16" t="n">
        <f aca="false">(B5/Tpk)*EXP(1-B5/Tpk)</f>
        <v>0.299859411745887</v>
      </c>
      <c r="F5" s="16" t="n">
        <f aca="false">PerPt*E5</f>
        <v>1.8591283528245</v>
      </c>
      <c r="G5" s="17" t="n">
        <f aca="false">D5-Depth0*F5</f>
        <v>574.177722070089</v>
      </c>
      <c r="H5" s="20" t="n">
        <f aca="false">1-E5</f>
        <v>0.700140588254113</v>
      </c>
      <c r="I5" s="17" t="n">
        <f aca="false">SDW^2*(1-AE^(2*A5))/(1-AE^2)</f>
        <v>2500</v>
      </c>
      <c r="J5" s="21" t="n">
        <f aca="false">NORMSDIST((FloorL-G5)/SQRT(I5))</f>
        <v>3.6704931294359E-006</v>
      </c>
      <c r="K5" s="22" t="n">
        <v>0</v>
      </c>
      <c r="L5" s="22" t="n">
        <v>0</v>
      </c>
    </row>
    <row r="6" customFormat="false" ht="15" hidden="false" customHeight="false" outlineLevel="0" collapsed="false">
      <c r="A6" s="18" t="n">
        <v>2</v>
      </c>
      <c r="B6" s="17" t="n">
        <f aca="false">A6/4</f>
        <v>0.5</v>
      </c>
      <c r="C6" s="19" t="n">
        <f aca="false">Xinf+(100-Xinf)*EXP(-Krel*B6)</f>
        <v>101.92651575077</v>
      </c>
      <c r="D6" s="17" t="n">
        <f aca="false">PerPt*C6</f>
        <v>631.944397654771</v>
      </c>
      <c r="E6" s="16" t="n">
        <f aca="false">(B6/Tpk)*EXP(1-B6/Tpk)</f>
        <v>0.529250004153169</v>
      </c>
      <c r="F6" s="16" t="n">
        <f aca="false">PerPt*E6</f>
        <v>3.28135002574965</v>
      </c>
      <c r="G6" s="17" t="n">
        <f aca="false">D6-Depth0*F6</f>
        <v>540.066596933781</v>
      </c>
      <c r="H6" s="20" t="n">
        <f aca="false">1-E6</f>
        <v>0.470749995846831</v>
      </c>
      <c r="I6" s="17" t="n">
        <f aca="false">SDW^2*(1-AE^(2*A6))/(1-AE^2)</f>
        <v>3400</v>
      </c>
      <c r="J6" s="21" t="n">
        <f aca="false">NORMSDIST((FloorL-G6)/SQRT(I6))</f>
        <v>0.000557817225918489</v>
      </c>
      <c r="K6" s="22" t="n">
        <v>0.00058</v>
      </c>
      <c r="L6" s="22" t="n">
        <v>0.00041</v>
      </c>
    </row>
    <row r="7" customFormat="false" ht="15" hidden="false" customHeight="false" outlineLevel="0" collapsed="false">
      <c r="A7" s="18" t="n">
        <v>3</v>
      </c>
      <c r="B7" s="17" t="n">
        <f aca="false">A7/4</f>
        <v>0.75</v>
      </c>
      <c r="C7" s="19" t="n">
        <f aca="false">Xinf+(100-Xinf)*EXP(-Krel*B7)</f>
        <v>102.770483627577</v>
      </c>
      <c r="D7" s="17" t="n">
        <f aca="false">PerPt*C7</f>
        <v>637.176998490978</v>
      </c>
      <c r="E7" s="16" t="n">
        <f aca="false">(B7/Tpk)*EXP(1-B7/Tpk)</f>
        <v>0.700592234037083</v>
      </c>
      <c r="F7" s="16" t="n">
        <f aca="false">PerPt*E7</f>
        <v>4.34367185102992</v>
      </c>
      <c r="G7" s="17" t="n">
        <f aca="false">D7-Depth0*F7</f>
        <v>515.554186662141</v>
      </c>
      <c r="H7" s="20" t="n">
        <f aca="false">1-E7</f>
        <v>0.299407765962917</v>
      </c>
      <c r="I7" s="17" t="n">
        <f aca="false">SDW^2*(1-AE^(2*A7))/(1-AE^2)</f>
        <v>3724</v>
      </c>
      <c r="J7" s="21" t="n">
        <f aca="false">NORMSDIST((FloorL-G7)/SQRT(I7))</f>
        <v>0.00333476432784614</v>
      </c>
      <c r="K7" s="22" t="n">
        <v>0.00312</v>
      </c>
      <c r="L7" s="22" t="n">
        <v>0.00182</v>
      </c>
    </row>
    <row r="8" customFormat="false" ht="15" hidden="false" customHeight="false" outlineLevel="0" collapsed="false">
      <c r="A8" s="18" t="n">
        <v>4</v>
      </c>
      <c r="B8" s="17" t="n">
        <f aca="false">A8/4</f>
        <v>1</v>
      </c>
      <c r="C8" s="19" t="n">
        <f aca="false">Xinf+(100-Xinf)*EXP(-Krel*B8)</f>
        <v>103.543742923375</v>
      </c>
      <c r="D8" s="17" t="n">
        <f aca="false">PerPt*C8</f>
        <v>641.971206124928</v>
      </c>
      <c r="E8" s="16" t="n">
        <f aca="false">(B8/Tpk)*EXP(1-B8/Tpk)</f>
        <v>0.824360635350064</v>
      </c>
      <c r="F8" s="16" t="n">
        <f aca="false">PerPt*E8</f>
        <v>5.1110359391704</v>
      </c>
      <c r="G8" s="17" t="n">
        <f aca="false">D8-Depth0*F8</f>
        <v>498.862199828157</v>
      </c>
      <c r="H8" s="20" t="n">
        <f aca="false">1-E8</f>
        <v>0.175639364649936</v>
      </c>
      <c r="I8" s="17" t="n">
        <f aca="false">SDW^2*(1-AE^(2*A8))/(1-AE^2)</f>
        <v>3840.64</v>
      </c>
      <c r="J8" s="21" t="n">
        <f aca="false">NORMSDIST((FloorL-G8)/SQRT(I8))</f>
        <v>0.00815166733302779</v>
      </c>
      <c r="K8" s="22" t="n">
        <v>0.00796</v>
      </c>
      <c r="L8" s="22" t="n">
        <v>0.00467</v>
      </c>
    </row>
    <row r="9" customFormat="false" ht="15" hidden="false" customHeight="false" outlineLevel="0" collapsed="false">
      <c r="A9" s="18" t="n">
        <v>5</v>
      </c>
      <c r="B9" s="17" t="n">
        <f aca="false">A9/4</f>
        <v>1.25</v>
      </c>
      <c r="C9" s="19" t="n">
        <f aca="false">Xinf+(100-Xinf)*EXP(-Krel*B9)</f>
        <v>104.252217682865</v>
      </c>
      <c r="D9" s="17" t="n">
        <f aca="false">PerPt*C9</f>
        <v>646.363749633765</v>
      </c>
      <c r="E9" s="16" t="n">
        <f aca="false">(B9/Tpk)*EXP(1-B9/Tpk)</f>
        <v>0.909369634136376</v>
      </c>
      <c r="F9" s="16" t="n">
        <f aca="false">PerPt*E9</f>
        <v>5.63809173164553</v>
      </c>
      <c r="G9" s="17" t="n">
        <f aca="false">D9-Depth0*F9</f>
        <v>488.49718114769</v>
      </c>
      <c r="H9" s="20" t="n">
        <f aca="false">1-E9</f>
        <v>0.0906303658636243</v>
      </c>
      <c r="I9" s="17" t="n">
        <f aca="false">SDW^2*(1-AE^(2*A9))/(1-AE^2)</f>
        <v>3882.6304</v>
      </c>
      <c r="J9" s="21" t="n">
        <f aca="false">NORMSDIST((FloorL-G9)/SQRT(I9))</f>
        <v>0.013118525708208</v>
      </c>
      <c r="K9" s="22" t="n">
        <v>0.013</v>
      </c>
      <c r="L9" s="22" t="n">
        <v>0.00745</v>
      </c>
    </row>
    <row r="10" customFormat="false" ht="15" hidden="false" customHeight="false" outlineLevel="0" collapsed="false">
      <c r="A10" s="18" t="n">
        <v>6</v>
      </c>
      <c r="B10" s="17" t="n">
        <f aca="false">A10/4</f>
        <v>1.5</v>
      </c>
      <c r="C10" s="19" t="n">
        <f aca="false">Xinf+(100-Xinf)*EXP(-Krel*B10)</f>
        <v>104.901335627598</v>
      </c>
      <c r="D10" s="17" t="n">
        <f aca="false">PerPt*C10</f>
        <v>650.388280891109</v>
      </c>
      <c r="E10" s="16" t="n">
        <f aca="false">(B10/Tpk)*EXP(1-B10/Tpk)</f>
        <v>0.963019062515806</v>
      </c>
      <c r="F10" s="16" t="n">
        <f aca="false">PerPt*E10</f>
        <v>5.970718187598</v>
      </c>
      <c r="G10" s="17" t="n">
        <f aca="false">D10-Depth0*F10</f>
        <v>483.208171638365</v>
      </c>
      <c r="H10" s="20" t="n">
        <f aca="false">1-E10</f>
        <v>0.036980937484194</v>
      </c>
      <c r="I10" s="17" t="n">
        <f aca="false">SDW^2*(1-AE^(2*A10))/(1-AE^2)</f>
        <v>3897.746944</v>
      </c>
      <c r="J10" s="21" t="n">
        <f aca="false">NORMSDIST((FloorL-G10)/SQRT(I10))</f>
        <v>0.0164355463474733</v>
      </c>
      <c r="K10" s="22" t="n">
        <v>0.01623</v>
      </c>
      <c r="L10" s="22" t="n">
        <v>0.00913</v>
      </c>
    </row>
    <row r="11" customFormat="false" ht="15" hidden="false" customHeight="false" outlineLevel="0" collapsed="false">
      <c r="A11" s="18" t="n">
        <v>7</v>
      </c>
      <c r="B11" s="17" t="n">
        <f aca="false">A11/4</f>
        <v>1.75</v>
      </c>
      <c r="C11" s="19" t="n">
        <f aca="false">Xinf+(100-Xinf)*EXP(-Krel*B11)</f>
        <v>105.49606973849</v>
      </c>
      <c r="D11" s="17" t="n">
        <f aca="false">PerPt*C11</f>
        <v>654.075632378636</v>
      </c>
      <c r="E11" s="16" t="n">
        <f aca="false">(B11/Tpk)*EXP(1-B11/Tpk)</f>
        <v>0.991504896433473</v>
      </c>
      <c r="F11" s="16" t="n">
        <f aca="false">PerPt*E11</f>
        <v>6.14733035788753</v>
      </c>
      <c r="G11" s="17" t="n">
        <f aca="false">D11-Depth0*F11</f>
        <v>481.950382357786</v>
      </c>
      <c r="H11" s="20" t="n">
        <f aca="false">1-E11</f>
        <v>0.00849510356652694</v>
      </c>
      <c r="I11" s="17" t="n">
        <f aca="false">SDW^2*(1-AE^(2*A11))/(1-AE^2)</f>
        <v>3903.18889984</v>
      </c>
      <c r="J11" s="21" t="n">
        <f aca="false">NORMSDIST((FloorL-G11)/SQRT(I11))</f>
        <v>0.0173417743507464</v>
      </c>
      <c r="K11" s="22" t="n">
        <v>0.01689</v>
      </c>
      <c r="L11" s="22" t="n">
        <v>0.00971</v>
      </c>
    </row>
    <row r="12" customFormat="false" ht="15" hidden="false" customHeight="false" outlineLevel="0" collapsed="false">
      <c r="A12" s="18" t="n">
        <v>8</v>
      </c>
      <c r="B12" s="17" t="n">
        <f aca="false">A12/4</f>
        <v>2</v>
      </c>
      <c r="C12" s="19" t="n">
        <f aca="false">Xinf+(100-Xinf)*EXP(-Krel*B12)</f>
        <v>106.040976354503</v>
      </c>
      <c r="D12" s="17" t="n">
        <f aca="false">PerPt*C12</f>
        <v>657.454053397919</v>
      </c>
      <c r="E12" s="16" t="n">
        <f aca="false">(B12/Tpk)*EXP(1-B12/Tpk)</f>
        <v>1</v>
      </c>
      <c r="F12" s="16" t="n">
        <f aca="false">PerPt*E12</f>
        <v>6.2</v>
      </c>
      <c r="G12" s="17" t="n">
        <f aca="false">D12-Depth0*F12</f>
        <v>483.854053397919</v>
      </c>
      <c r="H12" s="20" t="n">
        <f aca="false">1-E12</f>
        <v>0</v>
      </c>
      <c r="I12" s="17" t="n">
        <f aca="false">SDW^2*(1-AE^(2*A12))/(1-AE^2)</f>
        <v>3905.1480039424</v>
      </c>
      <c r="J12" s="21" t="n">
        <f aca="false">NORMSDIST((FloorL-G12)/SQRT(I12))</f>
        <v>0.0160980683357759</v>
      </c>
      <c r="K12" s="22" t="n">
        <v>0.01568</v>
      </c>
      <c r="L12" s="22" t="n">
        <v>0.00938</v>
      </c>
    </row>
    <row r="13" customFormat="false" ht="15" hidden="false" customHeight="false" outlineLevel="0" collapsed="false">
      <c r="A13" s="18" t="n">
        <v>9</v>
      </c>
      <c r="B13" s="17" t="n">
        <f aca="false">A13/4</f>
        <v>2.25</v>
      </c>
      <c r="C13" s="19" t="n">
        <f aca="false">Xinf+(100-Xinf)*EXP(-Krel*B13)</f>
        <v>106.540230079382</v>
      </c>
      <c r="D13" s="17" t="n">
        <f aca="false">PerPt*C13</f>
        <v>660.549426492168</v>
      </c>
      <c r="E13" s="16" t="n">
        <f aca="false">(B13/Tpk)*EXP(1-B13/Tpk)</f>
        <v>0.99280901540767</v>
      </c>
      <c r="F13" s="16" t="n">
        <f aca="false">PerPt*E13</f>
        <v>6.15541589552755</v>
      </c>
      <c r="G13" s="17" t="n">
        <f aca="false">D13-Depth0*F13</f>
        <v>488.197781417396</v>
      </c>
      <c r="H13" s="20" t="n">
        <f aca="false">1-E13</f>
        <v>0.00719098459233014</v>
      </c>
      <c r="I13" s="17" t="n">
        <f aca="false">SDW^2*(1-AE^(2*A13))/(1-AE^2)</f>
        <v>3905.85328141926</v>
      </c>
      <c r="J13" s="21" t="n">
        <f aca="false">NORMSDIST((FloorL-G13)/SQRT(I13))</f>
        <v>0.0135083376543505</v>
      </c>
      <c r="K13" s="22" t="n">
        <v>0.01371</v>
      </c>
      <c r="L13" s="22" t="n">
        <v>0.00848</v>
      </c>
    </row>
    <row r="14" customFormat="false" ht="15" hidden="false" customHeight="false" outlineLevel="0" collapsed="false">
      <c r="A14" s="18" t="n">
        <v>10</v>
      </c>
      <c r="B14" s="17" t="n">
        <f aca="false">A14/4</f>
        <v>2.5</v>
      </c>
      <c r="C14" s="19" t="n">
        <f aca="false">Xinf+(100-Xinf)*EXP(-Krel*B14)</f>
        <v>106.997655763858</v>
      </c>
      <c r="D14" s="17" t="n">
        <f aca="false">PerPt*C14</f>
        <v>663.385465735919</v>
      </c>
      <c r="E14" s="16" t="n">
        <f aca="false">(B14/Tpk)*EXP(1-B14/Tpk)</f>
        <v>0.973500978839256</v>
      </c>
      <c r="F14" s="16" t="n">
        <f aca="false">PerPt*E14</f>
        <v>6.03570606880339</v>
      </c>
      <c r="G14" s="17" t="n">
        <f aca="false">D14-Depth0*F14</f>
        <v>494.385695809424</v>
      </c>
      <c r="H14" s="20" t="n">
        <f aca="false">1-E14</f>
        <v>0.0264990211607439</v>
      </c>
      <c r="I14" s="17" t="n">
        <f aca="false">SDW^2*(1-AE^(2*A14))/(1-AE^2)</f>
        <v>3906.10718131094</v>
      </c>
      <c r="J14" s="21" t="n">
        <f aca="false">NORMSDIST((FloorL-G14)/SQRT(I14))</f>
        <v>0.0104381722157088</v>
      </c>
      <c r="K14" s="22" t="n">
        <v>0.01077</v>
      </c>
      <c r="L14" s="22" t="n">
        <v>0.0066</v>
      </c>
    </row>
    <row r="15" customFormat="false" ht="15" hidden="false" customHeight="false" outlineLevel="0" collapsed="false">
      <c r="A15" s="18" t="n">
        <v>11</v>
      </c>
      <c r="B15" s="17" t="n">
        <f aca="false">A15/4</f>
        <v>2.75</v>
      </c>
      <c r="C15" s="19" t="n">
        <f aca="false">Xinf+(100-Xinf)*EXP(-Krel*B15)</f>
        <v>107.416757808353</v>
      </c>
      <c r="D15" s="17" t="n">
        <f aca="false">PerPt*C15</f>
        <v>665.983898411786</v>
      </c>
      <c r="E15" s="16" t="n">
        <f aca="false">(B15/Tpk)*EXP(1-B15/Tpk)</f>
        <v>0.945022758337587</v>
      </c>
      <c r="F15" s="16" t="n">
        <f aca="false">PerPt*E15</f>
        <v>5.85914110169304</v>
      </c>
      <c r="G15" s="17" t="n">
        <f aca="false">D15-Depth0*F15</f>
        <v>501.927947564381</v>
      </c>
      <c r="H15" s="20" t="n">
        <f aca="false">1-E15</f>
        <v>0.0549772416624131</v>
      </c>
      <c r="I15" s="17" t="n">
        <f aca="false">SDW^2*(1-AE^(2*A15))/(1-AE^2)</f>
        <v>3906.19858527194</v>
      </c>
      <c r="J15" s="21" t="n">
        <f aca="false">NORMSDIST((FloorL-G15)/SQRT(I15))</f>
        <v>0.00753145115752303</v>
      </c>
      <c r="K15" s="22" t="n">
        <v>0.00788</v>
      </c>
      <c r="L15" s="22" t="n">
        <v>0.00516</v>
      </c>
    </row>
    <row r="16" customFormat="false" ht="15" hidden="false" customHeight="false" outlineLevel="0" collapsed="false">
      <c r="A16" s="18" t="n">
        <v>12</v>
      </c>
      <c r="B16" s="17" t="n">
        <f aca="false">A16/4</f>
        <v>3</v>
      </c>
      <c r="C16" s="19" t="n">
        <f aca="false">Xinf+(100-Xinf)*EXP(-Krel*B16)</f>
        <v>107.800747010666</v>
      </c>
      <c r="D16" s="17" t="n">
        <f aca="false">PerPt*C16</f>
        <v>668.36463146613</v>
      </c>
      <c r="E16" s="16" t="n">
        <f aca="false">(B16/Tpk)*EXP(1-B16/Tpk)</f>
        <v>0.90979598956895</v>
      </c>
      <c r="F16" s="16" t="n">
        <f aca="false">PerPt*E16</f>
        <v>5.64073513532749</v>
      </c>
      <c r="G16" s="17" t="n">
        <f aca="false">D16-Depth0*F16</f>
        <v>510.42404767696</v>
      </c>
      <c r="H16" s="20" t="n">
        <f aca="false">1-E16</f>
        <v>0.0902040104310499</v>
      </c>
      <c r="I16" s="17" t="n">
        <f aca="false">SDW^2*(1-AE^(2*A16))/(1-AE^2)</f>
        <v>3906.2314906979</v>
      </c>
      <c r="J16" s="21" t="n">
        <f aca="false">NORMSDIST((FloorL-G16)/SQRT(I16))</f>
        <v>0.00513222524226187</v>
      </c>
      <c r="K16" s="22" t="n">
        <v>0.00492</v>
      </c>
      <c r="L16" s="22" t="n">
        <v>0.00393</v>
      </c>
    </row>
    <row r="19" customFormat="false" ht="15" hidden="false" customHeight="false" outlineLevel="0" collapsed="false">
      <c r="A19" s="2" t="s">
        <v>94</v>
      </c>
      <c r="B19" s="17" t="n">
        <f aca="false">MIN(G5:G16)</f>
        <v>481.950382357786</v>
      </c>
      <c r="C19" s="10" t="s">
        <v>95</v>
      </c>
    </row>
    <row r="20" customFormat="false" ht="15" hidden="false" customHeight="false" outlineLevel="0" collapsed="false">
      <c r="A20" s="2" t="s">
        <v>96</v>
      </c>
      <c r="B20" s="18" t="n">
        <f aca="false">INDEX(A5:A16,MATCH(B19,G5:G16,0))</f>
        <v>7</v>
      </c>
      <c r="C20" s="10" t="s">
        <v>97</v>
      </c>
    </row>
    <row r="21" customFormat="false" ht="15" hidden="false" customHeight="false" outlineLevel="0" collapsed="false">
      <c r="A21" s="2" t="s">
        <v>98</v>
      </c>
      <c r="B21" s="11" t="n">
        <f aca="false">DPQ*MAX(F5:F16)</f>
        <v>24.8</v>
      </c>
      <c r="C21" s="10" t="s">
        <v>99</v>
      </c>
    </row>
    <row r="22" customFormat="false" ht="15" hidden="false" customHeight="false" outlineLevel="0" collapsed="false">
      <c r="A22" s="2" t="s">
        <v>100</v>
      </c>
      <c r="B22" s="21" t="n">
        <f aca="false">MAX(J5:J16)</f>
        <v>0.0173417743507464</v>
      </c>
      <c r="C22" s="10" t="s">
        <v>101</v>
      </c>
    </row>
    <row r="23" customFormat="false" ht="15" hidden="false" customHeight="false" outlineLevel="0" collapsed="false">
      <c r="A23" s="2" t="s">
        <v>102</v>
      </c>
      <c r="B23" s="21" t="n">
        <f aca="false">SUM(J5:J16)</f>
        <v>0.11165202039197</v>
      </c>
      <c r="C23" s="10" t="s">
        <v>103</v>
      </c>
    </row>
    <row r="24" customFormat="false" ht="15" hidden="false" customHeight="false" outlineLevel="0" collapsed="false">
      <c r="A24" s="2" t="s">
        <v>104</v>
      </c>
      <c r="B24" s="21" t="n">
        <f aca="false">MAX(K5:K16)</f>
        <v>0.01689</v>
      </c>
    </row>
    <row r="25" customFormat="false" ht="15" hidden="false" customHeight="false" outlineLevel="0" collapsed="false">
      <c r="A25" s="2" t="s">
        <v>105</v>
      </c>
      <c r="B25" s="22" t="n">
        <v>0.08403</v>
      </c>
      <c r="C25" s="10" t="s">
        <v>106</v>
      </c>
    </row>
    <row r="26" customFormat="false" ht="15" hidden="false" customHeight="false" outlineLevel="0" collapsed="false">
      <c r="A26" s="2" t="s">
        <v>107</v>
      </c>
      <c r="B26" s="15" t="n">
        <f aca="false">AND(B25&gt;=B24,B25&lt;=B23)</f>
        <v>1</v>
      </c>
      <c r="C26" s="10" t="s">
        <v>108</v>
      </c>
    </row>
    <row r="27" customFormat="false" ht="15" hidden="false" customHeight="false" outlineLevel="0" collapsed="false">
      <c r="A27" s="2" t="s">
        <v>109</v>
      </c>
      <c r="B27" s="22" t="n">
        <v>0.05</v>
      </c>
      <c r="C27" s="10" t="s">
        <v>110</v>
      </c>
    </row>
    <row r="28" customFormat="false" ht="15" hidden="false" customHeight="false" outlineLevel="0" collapsed="false">
      <c r="A28" s="2" t="s">
        <v>111</v>
      </c>
      <c r="B28" s="21" t="n">
        <f aca="false">MAX(L5:L16)</f>
        <v>0.00971</v>
      </c>
      <c r="C28" s="10" t="s">
        <v>112</v>
      </c>
    </row>
    <row r="29" customFormat="false" ht="15" hidden="false" customHeight="false" outlineLevel="0" collapsed="false">
      <c r="A29" s="2" t="s">
        <v>113</v>
      </c>
      <c r="B29" s="22" t="n">
        <v>0.24622</v>
      </c>
      <c r="C29" s="10" t="s">
        <v>114</v>
      </c>
    </row>
    <row r="30" customFormat="false" ht="15" hidden="false" customHeight="false" outlineLevel="0" collapsed="false">
      <c r="A30" s="2" t="s">
        <v>115</v>
      </c>
      <c r="B30" s="23" t="n">
        <v>459.941506840717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5" min="3" style="0" width="10"/>
    <col collapsed="false" customWidth="true" hidden="false" outlineLevel="0" max="6" min="6" style="0" width="50"/>
    <col collapsed="false" customWidth="true" hidden="false" outlineLevel="0" max="7" min="7" style="0" width="14"/>
    <col collapsed="false" customWidth="true" hidden="false" outlineLevel="0" max="8" min="8" style="0" width="62"/>
  </cols>
  <sheetData>
    <row r="1" customFormat="false" ht="15" hidden="false" customHeight="false" outlineLevel="0" collapsed="false">
      <c r="A1" s="1" t="s">
        <v>116</v>
      </c>
    </row>
    <row r="2" customFormat="false" ht="15" hidden="false" customHeight="false" outlineLevel="0" collapsed="false">
      <c r="A2" s="10" t="s">
        <v>117</v>
      </c>
    </row>
    <row r="4" customFormat="false" ht="23.85" hidden="false" customHeight="false" outlineLevel="0" collapsed="false">
      <c r="A4" s="8" t="s">
        <v>118</v>
      </c>
      <c r="B4" s="8" t="s">
        <v>119</v>
      </c>
      <c r="C4" s="8" t="s">
        <v>120</v>
      </c>
      <c r="D4" s="8" t="s">
        <v>121</v>
      </c>
      <c r="E4" s="8" t="s">
        <v>122</v>
      </c>
      <c r="F4" s="2" t="s">
        <v>123</v>
      </c>
      <c r="G4" s="18" t="n">
        <f aca="false">INDEX(A5:A25,MATCH(MIN(E5:E25),E5:E25,0))</f>
        <v>170</v>
      </c>
      <c r="H4" s="10" t="s">
        <v>124</v>
      </c>
    </row>
    <row r="5" customFormat="false" ht="15" hidden="false" customHeight="false" outlineLevel="0" collapsed="false">
      <c r="A5" s="9" t="n">
        <v>120</v>
      </c>
      <c r="B5" s="24" t="n">
        <v>1.00377171592019</v>
      </c>
      <c r="C5" s="17" t="n">
        <f aca="false">Fee*A5</f>
        <v>3.6</v>
      </c>
      <c r="D5" s="17" t="n">
        <f aca="false">VQ*B5</f>
        <v>8.03017372736148</v>
      </c>
      <c r="E5" s="16" t="n">
        <f aca="false">C5+D5</f>
        <v>11.6301737273615</v>
      </c>
      <c r="F5" s="2" t="s">
        <v>125</v>
      </c>
      <c r="G5" s="16" t="n">
        <f aca="false">INDEX(B5:B25,MATCH(G4,A5:A25,0))</f>
        <v>0.667576361426626</v>
      </c>
      <c r="H5" s="10" t="s">
        <v>126</v>
      </c>
    </row>
    <row r="6" customFormat="false" ht="15" hidden="false" customHeight="false" outlineLevel="0" collapsed="false">
      <c r="A6" s="9" t="n">
        <v>125</v>
      </c>
      <c r="B6" s="24" t="n">
        <v>0.950088550733666</v>
      </c>
      <c r="C6" s="17" t="n">
        <f aca="false">Fee*A6</f>
        <v>3.75</v>
      </c>
      <c r="D6" s="17" t="n">
        <f aca="false">VQ*B6</f>
        <v>7.60070840586933</v>
      </c>
      <c r="E6" s="16" t="n">
        <f aca="false">C6+D6</f>
        <v>11.3507084058693</v>
      </c>
      <c r="F6" s="2" t="s">
        <v>120</v>
      </c>
      <c r="G6" s="17" t="n">
        <f aca="false">Fee*G4</f>
        <v>5.1</v>
      </c>
      <c r="H6" s="10" t="s">
        <v>127</v>
      </c>
    </row>
    <row r="7" customFormat="false" ht="15" hidden="false" customHeight="false" outlineLevel="0" collapsed="false">
      <c r="A7" s="9" t="n">
        <v>130</v>
      </c>
      <c r="B7" s="24" t="n">
        <v>0.90665529399733</v>
      </c>
      <c r="C7" s="17" t="n">
        <f aca="false">Fee*A7</f>
        <v>3.9</v>
      </c>
      <c r="D7" s="17" t="n">
        <f aca="false">VQ*B7</f>
        <v>7.25324235197864</v>
      </c>
      <c r="E7" s="16" t="n">
        <f aca="false">C7+D7</f>
        <v>11.1532423519786</v>
      </c>
      <c r="F7" s="2" t="s">
        <v>121</v>
      </c>
      <c r="G7" s="17" t="n">
        <f aca="false">VQ*G5</f>
        <v>5.34061089141301</v>
      </c>
      <c r="H7" s="10" t="s">
        <v>128</v>
      </c>
    </row>
    <row r="8" customFormat="false" ht="15" hidden="false" customHeight="false" outlineLevel="0" collapsed="false">
      <c r="A8" s="9" t="n">
        <v>135</v>
      </c>
      <c r="B8" s="24" t="n">
        <v>0.871432157288034</v>
      </c>
      <c r="C8" s="17" t="n">
        <f aca="false">Fee*A8</f>
        <v>4.05</v>
      </c>
      <c r="D8" s="17" t="n">
        <f aca="false">VQ*B8</f>
        <v>6.97145725830427</v>
      </c>
      <c r="E8" s="16" t="n">
        <f aca="false">C8+D8</f>
        <v>11.0214572583043</v>
      </c>
      <c r="F8" s="2" t="s">
        <v>122</v>
      </c>
      <c r="G8" s="16" t="n">
        <f aca="false">G6+G7</f>
        <v>10.440610891413</v>
      </c>
      <c r="H8" s="10" t="s">
        <v>129</v>
      </c>
    </row>
    <row r="9" customFormat="false" ht="15" hidden="false" customHeight="false" outlineLevel="0" collapsed="false">
      <c r="A9" s="9" t="n">
        <v>140</v>
      </c>
      <c r="B9" s="24" t="n">
        <v>0.83115620000579</v>
      </c>
      <c r="C9" s="17" t="n">
        <f aca="false">Fee*A9</f>
        <v>4.2</v>
      </c>
      <c r="D9" s="17" t="n">
        <f aca="false">VQ*B9</f>
        <v>6.64924960004632</v>
      </c>
      <c r="E9" s="16" t="n">
        <f aca="false">C9+D9</f>
        <v>10.8492496000463</v>
      </c>
      <c r="F9" s="2" t="s">
        <v>130</v>
      </c>
      <c r="G9" s="25" t="n">
        <v>0.05</v>
      </c>
      <c r="H9" s="10" t="s">
        <v>131</v>
      </c>
    </row>
    <row r="10" customFormat="false" ht="15" hidden="false" customHeight="false" outlineLevel="0" collapsed="false">
      <c r="A10" s="9" t="n">
        <v>145</v>
      </c>
      <c r="B10" s="24" t="n">
        <v>0.793948655639245</v>
      </c>
      <c r="C10" s="17" t="n">
        <f aca="false">Fee*A10</f>
        <v>4.35</v>
      </c>
      <c r="D10" s="17" t="n">
        <f aca="false">VQ*B10</f>
        <v>6.35158924511396</v>
      </c>
      <c r="E10" s="16" t="n">
        <f aca="false">C10+D10</f>
        <v>10.701589245114</v>
      </c>
      <c r="F10" s="2" t="s">
        <v>132</v>
      </c>
      <c r="G10" s="25" t="n">
        <v>0.04907</v>
      </c>
      <c r="H10" s="10" t="s">
        <v>133</v>
      </c>
    </row>
    <row r="11" customFormat="false" ht="15" hidden="false" customHeight="false" outlineLevel="0" collapsed="false">
      <c r="A11" s="9" t="n">
        <v>150</v>
      </c>
      <c r="B11" s="24" t="n">
        <v>0.759606323785143</v>
      </c>
      <c r="C11" s="17" t="n">
        <f aca="false">Fee*A11</f>
        <v>4.5</v>
      </c>
      <c r="D11" s="17" t="n">
        <f aca="false">VQ*B11</f>
        <v>6.07685059028114</v>
      </c>
      <c r="E11" s="16" t="n">
        <f aca="false">C11+D11</f>
        <v>10.5768505902811</v>
      </c>
      <c r="F11" s="2" t="s">
        <v>134</v>
      </c>
      <c r="G11" s="26" t="n">
        <f aca="false">SQRT(Alpha*(1-Alpha)/NPaths)</f>
        <v>0.000689202437604511</v>
      </c>
      <c r="H11" s="10" t="s">
        <v>135</v>
      </c>
    </row>
    <row r="12" customFormat="false" ht="15" hidden="false" customHeight="false" outlineLevel="0" collapsed="false">
      <c r="A12" s="9" t="n">
        <v>155</v>
      </c>
      <c r="B12" s="24" t="n">
        <v>0.730429009669589</v>
      </c>
      <c r="C12" s="17" t="n">
        <f aca="false">Fee*A12</f>
        <v>4.65</v>
      </c>
      <c r="D12" s="17" t="n">
        <f aca="false">VQ*B12</f>
        <v>5.84343207735671</v>
      </c>
      <c r="E12" s="16" t="n">
        <f aca="false">C12+D12</f>
        <v>10.4934320773567</v>
      </c>
      <c r="F12" s="2" t="s">
        <v>136</v>
      </c>
      <c r="G12" s="17" t="n">
        <f aca="false">(Alpha-G10)/G11</f>
        <v>1.34938582520462</v>
      </c>
      <c r="H12" s="10" t="s">
        <v>137</v>
      </c>
    </row>
    <row r="13" customFormat="false" ht="15" hidden="false" customHeight="false" outlineLevel="0" collapsed="false">
      <c r="A13" s="9" t="n">
        <v>160</v>
      </c>
      <c r="B13" s="24" t="n">
        <v>0.706638539638679</v>
      </c>
      <c r="C13" s="17" t="n">
        <f aca="false">Fee*A13</f>
        <v>4.8</v>
      </c>
      <c r="D13" s="17" t="n">
        <f aca="false">VQ*B13</f>
        <v>5.65310831710944</v>
      </c>
      <c r="E13" s="16" t="n">
        <f aca="false">C13+D13</f>
        <v>10.4531083171094</v>
      </c>
    </row>
    <row r="14" customFormat="false" ht="15" hidden="false" customHeight="false" outlineLevel="0" collapsed="false">
      <c r="A14" s="9" t="n">
        <v>165</v>
      </c>
      <c r="B14" s="24" t="n">
        <v>0.686756276564841</v>
      </c>
      <c r="C14" s="17" t="n">
        <f aca="false">Fee*A14</f>
        <v>4.95</v>
      </c>
      <c r="D14" s="17" t="n">
        <f aca="false">VQ*B14</f>
        <v>5.49405021251873</v>
      </c>
      <c r="E14" s="16" t="n">
        <f aca="false">C14+D14</f>
        <v>10.4440502125187</v>
      </c>
      <c r="F14" s="2" t="s">
        <v>138</v>
      </c>
      <c r="G14" s="27" t="n">
        <v>165</v>
      </c>
      <c r="H14" s="10" t="s">
        <v>139</v>
      </c>
    </row>
    <row r="15" customFormat="false" ht="15" hidden="false" customHeight="false" outlineLevel="0" collapsed="false">
      <c r="A15" s="9" t="n">
        <v>170</v>
      </c>
      <c r="B15" s="24" t="n">
        <v>0.667576361426626</v>
      </c>
      <c r="C15" s="17" t="n">
        <f aca="false">Fee*A15</f>
        <v>5.1</v>
      </c>
      <c r="D15" s="17" t="n">
        <f aca="false">VQ*B15</f>
        <v>5.34061089141301</v>
      </c>
      <c r="E15" s="16" t="n">
        <f aca="false">C15+D15</f>
        <v>10.440610891413</v>
      </c>
      <c r="F15" s="2" t="s">
        <v>140</v>
      </c>
      <c r="G15" s="24" t="n">
        <v>0.665763999087985</v>
      </c>
      <c r="H15" s="10" t="s">
        <v>141</v>
      </c>
    </row>
    <row r="16" customFormat="false" ht="15" hidden="false" customHeight="false" outlineLevel="0" collapsed="false">
      <c r="A16" s="9" t="n">
        <v>175</v>
      </c>
      <c r="B16" s="24" t="n">
        <v>0.654815701362609</v>
      </c>
      <c r="C16" s="17" t="n">
        <f aca="false">Fee*A16</f>
        <v>5.25</v>
      </c>
      <c r="D16" s="17" t="n">
        <f aca="false">VQ*B16</f>
        <v>5.23852561090087</v>
      </c>
      <c r="E16" s="16" t="n">
        <f aca="false">C16+D16</f>
        <v>10.4885256109009</v>
      </c>
      <c r="F16" s="2" t="s">
        <v>142</v>
      </c>
      <c r="G16" s="17" t="n">
        <f aca="false">Fee*G14+VQ*G15</f>
        <v>10.2761119927039</v>
      </c>
      <c r="H16" s="10" t="s">
        <v>143</v>
      </c>
    </row>
    <row r="17" customFormat="false" ht="15" hidden="false" customHeight="false" outlineLevel="0" collapsed="false">
      <c r="A17" s="9" t="n">
        <v>180</v>
      </c>
      <c r="B17" s="24" t="n">
        <v>0.639338100988616</v>
      </c>
      <c r="C17" s="17" t="n">
        <f aca="false">Fee*A17</f>
        <v>5.4</v>
      </c>
      <c r="D17" s="17" t="n">
        <f aca="false">VQ*B17</f>
        <v>5.11470480790893</v>
      </c>
      <c r="E17" s="16" t="n">
        <f aca="false">C17+D17</f>
        <v>10.5147048079089</v>
      </c>
      <c r="F17" s="2" t="s">
        <v>144</v>
      </c>
      <c r="G17" s="17" t="n">
        <f aca="false">G8-G16</f>
        <v>0.164498898709128</v>
      </c>
      <c r="H17" s="10" t="s">
        <v>145</v>
      </c>
    </row>
    <row r="18" customFormat="false" ht="15" hidden="false" customHeight="false" outlineLevel="0" collapsed="false">
      <c r="A18" s="9" t="n">
        <v>185</v>
      </c>
      <c r="B18" s="24" t="n">
        <v>0.626771018008982</v>
      </c>
      <c r="C18" s="17" t="n">
        <f aca="false">Fee*A18</f>
        <v>5.55</v>
      </c>
      <c r="D18" s="17" t="n">
        <f aca="false">VQ*B18</f>
        <v>5.01416814407185</v>
      </c>
      <c r="E18" s="16" t="n">
        <f aca="false">C18+D18</f>
        <v>10.5641681440719</v>
      </c>
    </row>
    <row r="19" customFormat="false" ht="15" hidden="false" customHeight="false" outlineLevel="0" collapsed="false">
      <c r="A19" s="9" t="n">
        <v>190</v>
      </c>
      <c r="B19" s="24" t="n">
        <v>0.613333496186769</v>
      </c>
      <c r="C19" s="17" t="n">
        <f aca="false">Fee*A19</f>
        <v>5.7</v>
      </c>
      <c r="D19" s="17" t="n">
        <f aca="false">VQ*B19</f>
        <v>4.90666796949415</v>
      </c>
      <c r="E19" s="16" t="n">
        <f aca="false">C19+D19</f>
        <v>10.6066679694942</v>
      </c>
      <c r="F19" s="2" t="s">
        <v>146</v>
      </c>
      <c r="G19" s="27" t="n">
        <v>60</v>
      </c>
      <c r="H19" s="10" t="s">
        <v>147</v>
      </c>
    </row>
    <row r="20" customFormat="false" ht="15" hidden="false" customHeight="false" outlineLevel="0" collapsed="false">
      <c r="A20" s="9" t="n">
        <v>195</v>
      </c>
      <c r="B20" s="24" t="n">
        <v>0.603929683416053</v>
      </c>
      <c r="C20" s="17" t="n">
        <f aca="false">Fee*A20</f>
        <v>5.85</v>
      </c>
      <c r="D20" s="17" t="n">
        <f aca="false">VQ*B20</f>
        <v>4.83143746732842</v>
      </c>
      <c r="E20" s="16" t="n">
        <f aca="false">C20+D20</f>
        <v>10.6814374673284</v>
      </c>
      <c r="F20" s="2" t="s">
        <v>140</v>
      </c>
      <c r="G20" s="24" t="n">
        <v>0.0075646215133478</v>
      </c>
      <c r="H20" s="10" t="s">
        <v>148</v>
      </c>
    </row>
    <row r="21" customFormat="false" ht="15" hidden="false" customHeight="false" outlineLevel="0" collapsed="false">
      <c r="A21" s="9" t="n">
        <v>200</v>
      </c>
      <c r="B21" s="24" t="n">
        <v>0.599256117090067</v>
      </c>
      <c r="C21" s="17" t="n">
        <f aca="false">Fee*A21</f>
        <v>6</v>
      </c>
      <c r="D21" s="17" t="n">
        <f aca="false">VQ*B21</f>
        <v>4.79404893672054</v>
      </c>
      <c r="E21" s="16" t="n">
        <f aca="false">C21+D21</f>
        <v>10.7940489367205</v>
      </c>
      <c r="F21" s="2" t="s">
        <v>142</v>
      </c>
      <c r="G21" s="17" t="n">
        <f aca="false">Fee*G19+VQ*G20</f>
        <v>1.86051697210678</v>
      </c>
      <c r="H21" s="10" t="s">
        <v>149</v>
      </c>
    </row>
    <row r="22" customFormat="false" ht="15" hidden="false" customHeight="false" outlineLevel="0" collapsed="false">
      <c r="A22" s="9" t="n">
        <v>205</v>
      </c>
      <c r="B22" s="24" t="n">
        <v>0.593123734370423</v>
      </c>
      <c r="C22" s="17" t="n">
        <f aca="false">Fee*A22</f>
        <v>6.15</v>
      </c>
      <c r="D22" s="17" t="n">
        <f aca="false">VQ*B22</f>
        <v>4.74498987496339</v>
      </c>
      <c r="E22" s="16" t="n">
        <f aca="false">C22+D22</f>
        <v>10.8949898749634</v>
      </c>
      <c r="F22" s="2" t="s">
        <v>150</v>
      </c>
      <c r="G22" s="22" t="n">
        <v>0.1669</v>
      </c>
      <c r="H22" s="10" t="s">
        <v>151</v>
      </c>
    </row>
    <row r="23" customFormat="false" ht="15" hidden="false" customHeight="false" outlineLevel="0" collapsed="false">
      <c r="A23" s="9" t="n">
        <v>210</v>
      </c>
      <c r="B23" s="24" t="n">
        <v>0.588393235271282</v>
      </c>
      <c r="C23" s="17" t="n">
        <f aca="false">Fee*A23</f>
        <v>6.3</v>
      </c>
      <c r="D23" s="17" t="n">
        <f aca="false">VQ*B23</f>
        <v>4.70714588217025</v>
      </c>
      <c r="E23" s="16" t="n">
        <f aca="false">C23+D23</f>
        <v>11.0071458821703</v>
      </c>
    </row>
    <row r="24" customFormat="false" ht="15" hidden="false" customHeight="false" outlineLevel="0" collapsed="false">
      <c r="A24" s="9" t="n">
        <v>215</v>
      </c>
      <c r="B24" s="24" t="n">
        <v>0.581831108813628</v>
      </c>
      <c r="C24" s="17" t="n">
        <f aca="false">Fee*A24</f>
        <v>6.45</v>
      </c>
      <c r="D24" s="17" t="n">
        <f aca="false">VQ*B24</f>
        <v>4.65464887050902</v>
      </c>
      <c r="E24" s="16" t="n">
        <f aca="false">C24+D24</f>
        <v>11.104648870509</v>
      </c>
      <c r="F24" s="2" t="s">
        <v>152</v>
      </c>
      <c r="G24" s="27" t="n">
        <v>185</v>
      </c>
      <c r="H24" s="10" t="s">
        <v>153</v>
      </c>
    </row>
    <row r="25" customFormat="false" ht="15" hidden="false" customHeight="false" outlineLevel="0" collapsed="false">
      <c r="A25" s="9" t="n">
        <v>220</v>
      </c>
      <c r="B25" s="24" t="n">
        <v>0.578639708927049</v>
      </c>
      <c r="C25" s="17" t="n">
        <f aca="false">Fee*A25</f>
        <v>6.6</v>
      </c>
      <c r="D25" s="17" t="n">
        <f aca="false">VQ*B25</f>
        <v>4.6291176714164</v>
      </c>
      <c r="E25" s="16" t="n">
        <f aca="false">C25+D25</f>
        <v>11.2291176714164</v>
      </c>
      <c r="F25" s="2" t="s">
        <v>154</v>
      </c>
      <c r="G25" s="24" t="n">
        <v>1.59552648493718</v>
      </c>
      <c r="H25" s="10" t="s">
        <v>155</v>
      </c>
    </row>
    <row r="26" customFormat="false" ht="15" hidden="false" customHeight="false" outlineLevel="0" collapsed="false">
      <c r="F26" s="2" t="s">
        <v>142</v>
      </c>
      <c r="G26" s="17" t="n">
        <f aca="false">Fee*G24+VQ*G25</f>
        <v>18.3142118794975</v>
      </c>
      <c r="H26" s="10" t="s">
        <v>156</v>
      </c>
    </row>
    <row r="27" customFormat="false" ht="15" hidden="false" customHeight="false" outlineLevel="0" collapsed="false">
      <c r="F27" s="2" t="s">
        <v>157</v>
      </c>
      <c r="G27" s="22" t="n">
        <v>0.01885</v>
      </c>
      <c r="H27" s="10" t="s">
        <v>158</v>
      </c>
    </row>
    <row r="28" customFormat="false" ht="15" hidden="false" customHeight="false" outlineLevel="0" collapsed="false">
      <c r="F28" s="2" t="s">
        <v>159</v>
      </c>
      <c r="G28" s="17" t="n">
        <f aca="false">G26-G8</f>
        <v>7.87360098808445</v>
      </c>
      <c r="H28" s="10" t="s">
        <v>160</v>
      </c>
    </row>
    <row r="30" customFormat="false" ht="15" hidden="false" customHeight="false" outlineLevel="0" collapsed="false">
      <c r="F30" s="2" t="s">
        <v>161</v>
      </c>
      <c r="G30" s="12" t="n">
        <v>0.04</v>
      </c>
      <c r="H30" s="10" t="s">
        <v>162</v>
      </c>
    </row>
    <row r="31" customFormat="false" ht="15" hidden="false" customHeight="false" outlineLevel="0" collapsed="false">
      <c r="F31" s="2" t="s">
        <v>163</v>
      </c>
      <c r="G31" s="16" t="n">
        <f aca="false">1-(1-G30)^2</f>
        <v>0.0784</v>
      </c>
      <c r="H31" s="10" t="s">
        <v>164</v>
      </c>
    </row>
    <row r="32" customFormat="false" ht="15" hidden="false" customHeight="false" outlineLevel="0" collapsed="false">
      <c r="F32" s="2" t="s">
        <v>165</v>
      </c>
      <c r="G32" s="11" t="n">
        <f aca="false">IF(G30&gt;Alpha,1,0)</f>
        <v>0</v>
      </c>
      <c r="H32" s="10" t="s">
        <v>166</v>
      </c>
    </row>
    <row r="33" customFormat="false" ht="15" hidden="false" customHeight="false" outlineLevel="0" collapsed="false">
      <c r="F33" s="2" t="s">
        <v>167</v>
      </c>
      <c r="G33" s="11" t="n">
        <f aca="false">IF(G31&gt;Alpha,0.5,0)</f>
        <v>0.5</v>
      </c>
      <c r="H33" s="10" t="s">
        <v>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4"/>
    <col collapsed="false" customWidth="true" hidden="false" outlineLevel="0" max="5" min="4" style="0" width="16"/>
    <col collapsed="false" customWidth="true" hidden="false" outlineLevel="0" max="7" min="6" style="0" width="22"/>
    <col collapsed="false" customWidth="true" hidden="false" outlineLevel="0" max="8" min="8" style="0" width="18"/>
    <col collapsed="false" customWidth="true" hidden="false" outlineLevel="0" max="9" min="9" style="0" width="26"/>
  </cols>
  <sheetData>
    <row r="1" customFormat="false" ht="15" hidden="false" customHeight="false" outlineLevel="0" collapsed="false">
      <c r="A1" s="1" t="s">
        <v>169</v>
      </c>
    </row>
    <row r="2" customFormat="false" ht="15" hidden="false" customHeight="false" outlineLevel="0" collapsed="false">
      <c r="A2" s="10" t="s">
        <v>170</v>
      </c>
    </row>
    <row r="4" customFormat="false" ht="23.85" hidden="false" customHeight="false" outlineLevel="0" collapsed="false">
      <c r="A4" s="8" t="s">
        <v>171</v>
      </c>
      <c r="B4" s="8" t="s">
        <v>172</v>
      </c>
      <c r="C4" s="8" t="s">
        <v>173</v>
      </c>
      <c r="D4" s="8" t="s">
        <v>174</v>
      </c>
      <c r="E4" s="8" t="s">
        <v>175</v>
      </c>
      <c r="F4" s="8" t="s">
        <v>176</v>
      </c>
      <c r="G4" s="8" t="s">
        <v>177</v>
      </c>
      <c r="H4" s="8" t="s">
        <v>178</v>
      </c>
    </row>
    <row r="5" customFormat="false" ht="15" hidden="false" customHeight="false" outlineLevel="0" collapsed="false">
      <c r="A5" s="14" t="n">
        <v>100000</v>
      </c>
      <c r="B5" s="28" t="n">
        <v>0.0025</v>
      </c>
      <c r="C5" s="21" t="n">
        <f aca="false">Alpha-B5</f>
        <v>0.0475</v>
      </c>
      <c r="D5" s="29" t="n">
        <f aca="false">C5*LN(C5/Alpha)+(1-C5)*LN((1-C5)/(1-Alpha))</f>
        <v>6.685510856317E-005</v>
      </c>
      <c r="E5" s="16" t="n">
        <f aca="false">EXP(-A5*D5)</f>
        <v>0.00124887659430747</v>
      </c>
      <c r="F5" s="16" t="n">
        <f aca="false">EXP(-2*A5*B5^2)</f>
        <v>0.28650479686019</v>
      </c>
      <c r="G5" s="29" t="n">
        <f aca="false">2*B5^2</f>
        <v>1.25E-005</v>
      </c>
      <c r="H5" s="30" t="b">
        <f aca="false">D5&gt;=G5</f>
        <v>1</v>
      </c>
    </row>
    <row r="6" customFormat="false" ht="15" hidden="false" customHeight="false" outlineLevel="0" collapsed="false">
      <c r="A6" s="14" t="n">
        <v>10000</v>
      </c>
      <c r="B6" s="28" t="n">
        <v>0.0025</v>
      </c>
      <c r="C6" s="21" t="n">
        <f aca="false">Alpha-B6</f>
        <v>0.0475</v>
      </c>
      <c r="D6" s="29" t="n">
        <f aca="false">C6*LN(C6/Alpha)+(1-C6)*LN((1-C6)/(1-Alpha))</f>
        <v>6.685510856317E-005</v>
      </c>
      <c r="E6" s="16" t="n">
        <f aca="false">EXP(-A6*D6)</f>
        <v>0.512450537085221</v>
      </c>
      <c r="F6" s="16" t="n">
        <f aca="false">EXP(-2*A6*B6^2)</f>
        <v>0.882496902584596</v>
      </c>
      <c r="G6" s="29" t="n">
        <f aca="false">2*B6^2</f>
        <v>1.25E-005</v>
      </c>
      <c r="H6" s="30" t="b">
        <f aca="false">D6&gt;=G6</f>
        <v>1</v>
      </c>
    </row>
    <row r="7" customFormat="false" ht="15" hidden="false" customHeight="false" outlineLevel="0" collapsed="false">
      <c r="A7" s="14" t="n">
        <v>1000</v>
      </c>
      <c r="B7" s="28" t="n">
        <v>0.01</v>
      </c>
      <c r="C7" s="21" t="n">
        <f aca="false">Alpha-B7</f>
        <v>0.04</v>
      </c>
      <c r="D7" s="29" t="n">
        <f aca="false">C7*LN(C7/Alpha)+(1-C7)*LN((1-C7)/(1-Alpha))</f>
        <v>0.00112670582003522</v>
      </c>
      <c r="E7" s="16" t="n">
        <f aca="false">EXP(-A7*D7)</f>
        <v>0.324099140747028</v>
      </c>
      <c r="F7" s="16" t="n">
        <f aca="false">EXP(-2*A7*B7^2)</f>
        <v>0.818730753077982</v>
      </c>
      <c r="G7" s="29" t="n">
        <f aca="false">2*B7^2</f>
        <v>0.0002</v>
      </c>
      <c r="H7" s="30" t="b">
        <f aca="false">D7&gt;=G7</f>
        <v>1</v>
      </c>
    </row>
    <row r="8" customFormat="false" ht="15" hidden="false" customHeight="false" outlineLevel="0" collapsed="false">
      <c r="A8" s="14" t="n">
        <v>1000</v>
      </c>
      <c r="B8" s="28" t="n">
        <v>0.02</v>
      </c>
      <c r="C8" s="21" t="n">
        <f aca="false">Alpha-B8</f>
        <v>0.03</v>
      </c>
      <c r="D8" s="29" t="n">
        <f aca="false">C8*LN(C8/Alpha)+(1-C8)*LN((1-C8)/(1-Alpha))</f>
        <v>0.00488429558277707</v>
      </c>
      <c r="E8" s="16" t="n">
        <f aca="false">EXP(-A8*D8)</f>
        <v>0.00756445041488255</v>
      </c>
      <c r="F8" s="16" t="n">
        <f aca="false">EXP(-2*A8*B8^2)</f>
        <v>0.449328964117222</v>
      </c>
      <c r="G8" s="29" t="n">
        <f aca="false">2*B8^2</f>
        <v>0.0008</v>
      </c>
      <c r="H8" s="30" t="b">
        <f aca="false">D8&gt;=G8</f>
        <v>1</v>
      </c>
    </row>
    <row r="11" customFormat="false" ht="15" hidden="false" customHeight="false" outlineLevel="0" collapsed="false">
      <c r="A11" s="4" t="s">
        <v>179</v>
      </c>
    </row>
    <row r="12" customFormat="false" ht="23.85" hidden="false" customHeight="false" outlineLevel="0" collapsed="false">
      <c r="A12" s="8" t="s">
        <v>171</v>
      </c>
      <c r="B12" s="8" t="s">
        <v>180</v>
      </c>
    </row>
    <row r="13" customFormat="false" ht="15" hidden="false" customHeight="false" outlineLevel="0" collapsed="false">
      <c r="A13" s="14" t="n">
        <v>1000</v>
      </c>
      <c r="B13" s="19" t="n">
        <f aca="false">100*SQRT(Alpha*(1-Alpha)/A13)</f>
        <v>0.689202437604511</v>
      </c>
    </row>
    <row r="14" customFormat="false" ht="15" hidden="false" customHeight="false" outlineLevel="0" collapsed="false">
      <c r="A14" s="14" t="n">
        <v>10000</v>
      </c>
      <c r="B14" s="19" t="n">
        <f aca="false">100*SQRT(Alpha*(1-Alpha)/A14)</f>
        <v>0.217944947177034</v>
      </c>
    </row>
    <row r="15" customFormat="false" ht="15" hidden="false" customHeight="false" outlineLevel="0" collapsed="false">
      <c r="A15" s="14" t="n">
        <v>100000</v>
      </c>
      <c r="B15" s="19" t="n">
        <f aca="false">100*SQRT(Alpha*(1-Alpha)/A15)</f>
        <v>0.0689202437604511</v>
      </c>
    </row>
    <row r="18" customFormat="false" ht="15" hidden="false" customHeight="false" outlineLevel="0" collapsed="false">
      <c r="A18" s="4" t="s">
        <v>181</v>
      </c>
    </row>
    <row r="19" customFormat="false" ht="23.85" hidden="false" customHeight="false" outlineLevel="0" collapsed="false">
      <c r="A19" s="8" t="s">
        <v>182</v>
      </c>
      <c r="B19" s="8" t="s">
        <v>183</v>
      </c>
      <c r="C19" s="8" t="s">
        <v>184</v>
      </c>
      <c r="D19" s="8" t="s">
        <v>185</v>
      </c>
      <c r="E19" s="8" t="s">
        <v>186</v>
      </c>
      <c r="F19" s="8" t="s">
        <v>187</v>
      </c>
      <c r="G19" s="8" t="s">
        <v>188</v>
      </c>
      <c r="H19" s="8" t="s">
        <v>189</v>
      </c>
      <c r="I19" s="8" t="s">
        <v>190</v>
      </c>
    </row>
    <row r="20" customFormat="false" ht="15" hidden="false" customHeight="false" outlineLevel="0" collapsed="false">
      <c r="A20" s="14" t="n">
        <v>1000</v>
      </c>
      <c r="B20" s="28" t="n">
        <v>0</v>
      </c>
      <c r="C20" s="21" t="n">
        <f aca="false">Alpha-B20</f>
        <v>0.05</v>
      </c>
      <c r="D20" s="27" t="n">
        <v>200</v>
      </c>
      <c r="E20" s="31" t="n">
        <v>0.385</v>
      </c>
      <c r="F20" s="22" t="n">
        <v>0.0520926</v>
      </c>
      <c r="G20" s="22" t="n">
        <v>0.062296</v>
      </c>
      <c r="H20" s="32" t="n">
        <v>10.1850446334743</v>
      </c>
      <c r="I20" s="33" t="n">
        <f aca="false">H20-Packages!$G$8</f>
        <v>-0.255566257938717</v>
      </c>
    </row>
    <row r="21" customFormat="false" ht="15" hidden="false" customHeight="false" outlineLevel="0" collapsed="false">
      <c r="A21" s="14" t="n">
        <v>1000</v>
      </c>
      <c r="B21" s="28" t="n">
        <v>0.01</v>
      </c>
      <c r="C21" s="21" t="n">
        <f aca="false">Alpha-B21</f>
        <v>0.04</v>
      </c>
      <c r="D21" s="27" t="n">
        <v>200</v>
      </c>
      <c r="E21" s="31" t="n">
        <v>0.87</v>
      </c>
      <c r="F21" s="22" t="n">
        <v>0.04210155</v>
      </c>
      <c r="G21" s="22" t="n">
        <v>0.050855</v>
      </c>
      <c r="H21" s="32" t="n">
        <v>12.0863631176448</v>
      </c>
      <c r="I21" s="33" t="n">
        <f aca="false">H21-Packages!$G$8</f>
        <v>1.64575222623183</v>
      </c>
    </row>
    <row r="22" customFormat="false" ht="15" hidden="false" customHeight="false" outlineLevel="0" collapsed="false">
      <c r="A22" s="14" t="n">
        <v>1000</v>
      </c>
      <c r="B22" s="28" t="n">
        <v>0.02</v>
      </c>
      <c r="C22" s="21" t="n">
        <f aca="false">Alpha-B22</f>
        <v>0.03</v>
      </c>
      <c r="D22" s="27" t="n">
        <v>200</v>
      </c>
      <c r="E22" s="31" t="n">
        <v>1</v>
      </c>
      <c r="F22" s="22" t="n">
        <v>0.0322493</v>
      </c>
      <c r="G22" s="22" t="n">
        <v>0.038511</v>
      </c>
      <c r="H22" s="32" t="n">
        <v>14.3275798898468</v>
      </c>
      <c r="I22" s="33" t="n">
        <f aca="false">H22-Packages!$G$8</f>
        <v>3.88696899843375</v>
      </c>
    </row>
    <row r="23" customFormat="false" ht="15" hidden="false" customHeight="false" outlineLevel="0" collapsed="false">
      <c r="A23" s="14" t="n">
        <v>10000</v>
      </c>
      <c r="B23" s="28" t="n">
        <v>0</v>
      </c>
      <c r="C23" s="21" t="n">
        <f aca="false">Alpha-B23</f>
        <v>0.05</v>
      </c>
      <c r="D23" s="27" t="n">
        <v>100</v>
      </c>
      <c r="E23" s="31" t="n">
        <v>0.69</v>
      </c>
      <c r="F23" s="22" t="n">
        <v>0.0488074</v>
      </c>
      <c r="G23" s="22" t="n">
        <v>0.051513</v>
      </c>
      <c r="H23" s="32" t="n">
        <v>10.5259195453215</v>
      </c>
      <c r="I23" s="33" t="n">
        <f aca="false">H23-Packages!$G$8</f>
        <v>0.0853086539084629</v>
      </c>
    </row>
    <row r="24" customFormat="false" ht="15" hidden="false" customHeight="false" outlineLevel="0" collapsed="false">
      <c r="A24" s="14" t="n">
        <v>10000</v>
      </c>
      <c r="B24" s="28" t="n">
        <v>0.0025</v>
      </c>
      <c r="C24" s="21" t="n">
        <f aca="false">Alpha-B24</f>
        <v>0.0475</v>
      </c>
      <c r="D24" s="27" t="n">
        <v>100</v>
      </c>
      <c r="E24" s="31" t="n">
        <v>0.97</v>
      </c>
      <c r="F24" s="22" t="n">
        <v>0.0463912</v>
      </c>
      <c r="G24" s="22" t="n">
        <v>0.048912</v>
      </c>
      <c r="H24" s="32" t="n">
        <v>10.9724122385776</v>
      </c>
      <c r="I24" s="33" t="n">
        <f aca="false">H24-Packages!$G$8</f>
        <v>0.531801347164624</v>
      </c>
    </row>
    <row r="26" customFormat="false" ht="15" hidden="false" customHeight="false" outlineLevel="0" collapsed="false">
      <c r="A26" s="10" t="s">
        <v>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3" min="3" style="0" width="14"/>
    <col collapsed="false" customWidth="true" hidden="false" outlineLevel="0" max="4" min="4" style="0" width="10"/>
    <col collapsed="false" customWidth="true" hidden="false" outlineLevel="0" max="5" min="5" style="0" width="14"/>
    <col collapsed="false" customWidth="true" hidden="false" outlineLevel="0" max="7" min="6" style="0" width="12"/>
    <col collapsed="false" customWidth="true" hidden="false" outlineLevel="0" max="8" min="8" style="0" width="16"/>
    <col collapsed="false" customWidth="true" hidden="false" outlineLevel="0" max="9" min="9" style="0" width="11"/>
    <col collapsed="false" customWidth="true" hidden="false" outlineLevel="0" max="10" min="10" style="0" width="10"/>
    <col collapsed="false" customWidth="true" hidden="false" outlineLevel="0" max="12" min="11" style="0" width="14"/>
    <col collapsed="false" customWidth="true" hidden="false" outlineLevel="0" max="13" min="13" style="0" width="10"/>
    <col collapsed="false" customWidth="true" hidden="false" outlineLevel="0" max="14" min="14" style="0" width="14"/>
  </cols>
  <sheetData>
    <row r="1" customFormat="false" ht="15" hidden="false" customHeight="false" outlineLevel="0" collapsed="false">
      <c r="A1" s="1" t="s">
        <v>192</v>
      </c>
    </row>
    <row r="2" customFormat="false" ht="15" hidden="false" customHeight="false" outlineLevel="0" collapsed="false">
      <c r="A2" s="10" t="s">
        <v>193</v>
      </c>
    </row>
    <row r="4" customFormat="false" ht="35.05" hidden="false" customHeight="false" outlineLevel="0" collapsed="false">
      <c r="A4" s="8" t="s">
        <v>194</v>
      </c>
      <c r="B4" s="8" t="s">
        <v>195</v>
      </c>
      <c r="C4" s="8" t="s">
        <v>196</v>
      </c>
      <c r="D4" s="8" t="s">
        <v>197</v>
      </c>
      <c r="E4" s="8" t="s">
        <v>198</v>
      </c>
      <c r="F4" s="8" t="s">
        <v>199</v>
      </c>
      <c r="G4" s="8" t="s">
        <v>122</v>
      </c>
      <c r="H4" s="8" t="s">
        <v>200</v>
      </c>
      <c r="I4" s="8" t="s">
        <v>201</v>
      </c>
      <c r="J4" s="8" t="s">
        <v>197</v>
      </c>
      <c r="K4" s="8" t="s">
        <v>198</v>
      </c>
      <c r="L4" s="8" t="s">
        <v>199</v>
      </c>
      <c r="M4" s="8" t="s">
        <v>122</v>
      </c>
      <c r="N4" s="8" t="s">
        <v>202</v>
      </c>
    </row>
    <row r="5" customFormat="false" ht="15" hidden="false" customHeight="false" outlineLevel="0" collapsed="false">
      <c r="A5" s="18" t="n">
        <v>1</v>
      </c>
      <c r="B5" s="34" t="n">
        <f aca="false">Plan!H5</f>
        <v>0.700140588254113</v>
      </c>
      <c r="C5" s="27" t="n">
        <v>170</v>
      </c>
      <c r="D5" s="32" t="n">
        <v>1</v>
      </c>
      <c r="E5" s="27" t="n">
        <v>683.450193746041</v>
      </c>
      <c r="F5" s="31" t="n">
        <v>0.98516</v>
      </c>
      <c r="G5" s="16" t="n">
        <f aca="false">Fee*C5+VQ*D5*B5*F5</f>
        <v>10.6180040153954</v>
      </c>
      <c r="H5" s="27" t="n">
        <v>165</v>
      </c>
      <c r="I5" s="32" t="n">
        <v>0.6</v>
      </c>
      <c r="J5" s="32" t="n">
        <v>0.25</v>
      </c>
      <c r="K5" s="27" t="n">
        <v>572.128185730941</v>
      </c>
      <c r="L5" s="31" t="n">
        <v>0.44904</v>
      </c>
      <c r="M5" s="16" t="n">
        <f aca="false">Fee*H5+VQ*I5+VQ*J5*B5*L5</f>
        <v>10.3787822594993</v>
      </c>
      <c r="N5" s="16" t="n">
        <f aca="false">Packages!$G$8-M5</f>
        <v>0.0618286319137535</v>
      </c>
    </row>
    <row r="6" customFormat="false" ht="15" hidden="false" customHeight="false" outlineLevel="0" collapsed="false">
      <c r="A6" s="18" t="n">
        <v>2</v>
      </c>
      <c r="B6" s="34" t="n">
        <f aca="false">Plan!H6</f>
        <v>0.470749995846831</v>
      </c>
      <c r="C6" s="27" t="n">
        <v>165</v>
      </c>
      <c r="D6" s="32" t="n">
        <v>1.75</v>
      </c>
      <c r="E6" s="27" t="n">
        <v>615.034365110355</v>
      </c>
      <c r="F6" s="31" t="n">
        <v>0.90121</v>
      </c>
      <c r="G6" s="16" t="n">
        <f aca="false">Fee*C6+VQ*D6*B6*F6</f>
        <v>10.8894244525997</v>
      </c>
      <c r="H6" s="27" t="n">
        <v>165</v>
      </c>
      <c r="I6" s="32" t="n">
        <v>0.6</v>
      </c>
      <c r="J6" s="32" t="n">
        <v>1.25</v>
      </c>
      <c r="K6" s="27" t="n">
        <v>478.169223254476</v>
      </c>
      <c r="L6" s="31" t="n">
        <v>0.11639</v>
      </c>
      <c r="M6" s="16" t="n">
        <f aca="false">Fee*H6+VQ*I6+VQ*J6*B6*L6</f>
        <v>10.2979059201661</v>
      </c>
      <c r="N6" s="16" t="n">
        <f aca="false">Packages!$G$8-M6</f>
        <v>0.14270497124688</v>
      </c>
    </row>
    <row r="7" customFormat="false" ht="15" hidden="false" customHeight="false" outlineLevel="0" collapsed="false">
      <c r="A7" s="18" t="n">
        <v>3</v>
      </c>
      <c r="B7" s="34" t="n">
        <f aca="false">Plan!H7</f>
        <v>0.299407765962917</v>
      </c>
      <c r="C7" s="27" t="n">
        <v>175</v>
      </c>
      <c r="D7" s="32" t="n">
        <v>4</v>
      </c>
      <c r="E7" s="27" t="n">
        <v>537.90721088291</v>
      </c>
      <c r="F7" s="31" t="n">
        <v>0.64256</v>
      </c>
      <c r="G7" s="16" t="n">
        <f aca="false">Fee*C7+VQ*D7*B7*F7</f>
        <v>11.4063985311082</v>
      </c>
      <c r="H7" s="27" t="n">
        <v>165</v>
      </c>
      <c r="I7" s="32" t="n">
        <v>0.55</v>
      </c>
      <c r="J7" s="32" t="n">
        <v>2.5</v>
      </c>
      <c r="K7" s="27" t="n">
        <v>460.774767376245</v>
      </c>
      <c r="L7" s="31" t="n">
        <v>0.14753</v>
      </c>
      <c r="M7" s="16" t="n">
        <f aca="false">Fee*H7+VQ*I7+VQ*J7*B7*L7</f>
        <v>10.2334325542502</v>
      </c>
      <c r="N7" s="16" t="n">
        <f aca="false">Packages!$G$8-M7</f>
        <v>0.207178337162825</v>
      </c>
    </row>
    <row r="8" customFormat="false" ht="15" hidden="false" customHeight="false" outlineLevel="0" collapsed="false">
      <c r="A8" s="18" t="n">
        <v>4</v>
      </c>
      <c r="B8" s="34" t="n">
        <f aca="false">Plan!H8</f>
        <v>0.175639364649936</v>
      </c>
      <c r="C8" s="27" t="n">
        <v>180</v>
      </c>
      <c r="D8" s="32" t="n">
        <v>6.5</v>
      </c>
      <c r="E8" s="27" t="n">
        <v>541.888170644425</v>
      </c>
      <c r="F8" s="31" t="n">
        <v>0.75611</v>
      </c>
      <c r="G8" s="16" t="n">
        <f aca="false">Fee*C8+VQ*D8*B8*F8</f>
        <v>12.3057393602841</v>
      </c>
      <c r="H8" s="27" t="n">
        <v>165</v>
      </c>
      <c r="I8" s="32" t="n">
        <v>0.6</v>
      </c>
      <c r="J8" s="32" t="n">
        <v>4</v>
      </c>
      <c r="K8" s="27" t="n">
        <v>430.06803486544</v>
      </c>
      <c r="L8" s="31" t="n">
        <v>0.09881</v>
      </c>
      <c r="M8" s="16" t="n">
        <f aca="false">Fee*H8+VQ*I8+VQ*J8*B8*L8</f>
        <v>10.3053576198739</v>
      </c>
      <c r="N8" s="16" t="n">
        <f aca="false">Packages!$G$8-M8</f>
        <v>0.135253271539082</v>
      </c>
    </row>
    <row r="9" customFormat="false" ht="15" hidden="false" customHeight="false" outlineLevel="0" collapsed="false">
      <c r="A9" s="18" t="n">
        <v>5</v>
      </c>
      <c r="B9" s="34" t="n">
        <f aca="false">Plan!H9</f>
        <v>0.0906303658636243</v>
      </c>
      <c r="C9" s="2" t="s">
        <v>203</v>
      </c>
      <c r="D9" s="2" t="s">
        <v>203</v>
      </c>
      <c r="E9" s="2" t="s">
        <v>203</v>
      </c>
      <c r="F9" s="2" t="s">
        <v>203</v>
      </c>
      <c r="G9" s="2" t="s">
        <v>203</v>
      </c>
      <c r="H9" s="27" t="n">
        <v>160</v>
      </c>
      <c r="I9" s="32" t="n">
        <v>0.65</v>
      </c>
      <c r="J9" s="32" t="n">
        <v>7</v>
      </c>
      <c r="K9" s="27" t="n">
        <v>409.254808962277</v>
      </c>
      <c r="L9" s="31" t="n">
        <v>0.06871</v>
      </c>
      <c r="M9" s="16" t="n">
        <f aca="false">Fee*H9+VQ*I9+VQ*J9*B9*L9</f>
        <v>10.3487238965554</v>
      </c>
      <c r="N9" s="16" t="n">
        <f aca="false">Packages!$G$8-M9</f>
        <v>0.0918869948575871</v>
      </c>
    </row>
    <row r="10" customFormat="false" ht="15" hidden="false" customHeight="false" outlineLevel="0" collapsed="false">
      <c r="A10" s="18" t="n">
        <v>6</v>
      </c>
      <c r="B10" s="34" t="n">
        <f aca="false">Plan!H10</f>
        <v>0.036980937484194</v>
      </c>
      <c r="C10" s="2" t="s">
        <v>203</v>
      </c>
      <c r="D10" s="2" t="s">
        <v>203</v>
      </c>
      <c r="E10" s="2" t="s">
        <v>203</v>
      </c>
      <c r="F10" s="2" t="s">
        <v>203</v>
      </c>
      <c r="G10" s="2" t="s">
        <v>203</v>
      </c>
      <c r="H10" s="27" t="n">
        <v>170</v>
      </c>
      <c r="I10" s="32" t="n">
        <v>0.65</v>
      </c>
      <c r="J10" s="32" t="n">
        <v>5.75</v>
      </c>
      <c r="K10" s="27" t="n">
        <v>407.864999773317</v>
      </c>
      <c r="L10" s="31" t="n">
        <v>0.07575</v>
      </c>
      <c r="M10" s="16" t="n">
        <f aca="false">Fee*H10+VQ*I10+VQ*J10*B10*L10</f>
        <v>10.4288600766637</v>
      </c>
      <c r="N10" s="16" t="n">
        <f aca="false">Packages!$G$8-M10</f>
        <v>0.0117508147493322</v>
      </c>
    </row>
    <row r="12" customFormat="false" ht="15" hidden="false" customHeight="false" outlineLevel="0" collapsed="false">
      <c r="A12" s="2" t="s">
        <v>204</v>
      </c>
      <c r="B12" s="18" t="n">
        <f aca="false">INDEX(A5:A10,MATCH(MIN(M5:M10),M5:M10,0))</f>
        <v>3</v>
      </c>
      <c r="C12" s="10" t="s">
        <v>205</v>
      </c>
    </row>
    <row r="13" customFormat="false" ht="15" hidden="false" customHeight="false" outlineLevel="0" collapsed="false">
      <c r="A13" s="2" t="s">
        <v>206</v>
      </c>
      <c r="B13" s="16" t="n">
        <f aca="false">MIN(M5:M10)</f>
        <v>10.2334325542502</v>
      </c>
      <c r="C13" s="10" t="s">
        <v>207</v>
      </c>
    </row>
    <row r="14" customFormat="false" ht="15" hidden="false" customHeight="false" outlineLevel="0" collapsed="false">
      <c r="A14" s="2" t="s">
        <v>208</v>
      </c>
      <c r="B14" s="17" t="n">
        <f aca="false">Packages!G8-B13</f>
        <v>0.207178337162825</v>
      </c>
      <c r="C14" s="10" t="s">
        <v>209</v>
      </c>
    </row>
    <row r="16" customFormat="false" ht="15" hidden="false" customHeight="false" outlineLevel="0" collapsed="false">
      <c r="A16" s="4" t="s">
        <v>210</v>
      </c>
    </row>
    <row r="17" customFormat="false" ht="35.05" hidden="false" customHeight="false" outlineLevel="0" collapsed="false">
      <c r="A17" s="8" t="s">
        <v>211</v>
      </c>
      <c r="B17" s="8" t="s">
        <v>212</v>
      </c>
      <c r="C17" s="8" t="s">
        <v>195</v>
      </c>
      <c r="D17" s="8" t="s">
        <v>213</v>
      </c>
    </row>
    <row r="18" customFormat="false" ht="15" hidden="false" customHeight="false" outlineLevel="0" collapsed="false">
      <c r="A18" s="18" t="n">
        <v>1</v>
      </c>
      <c r="B18" s="22" t="n">
        <v>0.07348</v>
      </c>
      <c r="C18" s="34" t="n">
        <f aca="false">Plan!H5</f>
        <v>0.700140588254113</v>
      </c>
      <c r="D18" s="16" t="n">
        <f aca="false">B18*C18</f>
        <v>0.0514463304249122</v>
      </c>
    </row>
    <row r="19" customFormat="false" ht="15" hidden="false" customHeight="false" outlineLevel="0" collapsed="false">
      <c r="A19" s="18" t="n">
        <v>2</v>
      </c>
      <c r="B19" s="22" t="n">
        <v>0.07879</v>
      </c>
      <c r="C19" s="34" t="n">
        <f aca="false">Plan!H6</f>
        <v>0.470749995846831</v>
      </c>
      <c r="D19" s="16" t="n">
        <f aca="false">B19*C19</f>
        <v>0.0370903921727718</v>
      </c>
    </row>
    <row r="20" customFormat="false" ht="15" hidden="false" customHeight="false" outlineLevel="0" collapsed="false">
      <c r="A20" s="18" t="n">
        <v>3</v>
      </c>
      <c r="B20" s="22" t="n">
        <v>0.06821</v>
      </c>
      <c r="C20" s="34" t="n">
        <f aca="false">Plan!H7</f>
        <v>0.299407765962917</v>
      </c>
      <c r="D20" s="16" t="n">
        <f aca="false">B20*C20</f>
        <v>0.0204226037163305</v>
      </c>
    </row>
    <row r="21" customFormat="false" ht="15" hidden="false" customHeight="false" outlineLevel="0" collapsed="false">
      <c r="A21" s="18" t="n">
        <v>4</v>
      </c>
      <c r="B21" s="22" t="n">
        <v>0.0611</v>
      </c>
      <c r="C21" s="34" t="n">
        <f aca="false">Plan!H8</f>
        <v>0.175639364649936</v>
      </c>
      <c r="D21" s="16" t="n">
        <f aca="false">B21*C21</f>
        <v>0.0107315651801111</v>
      </c>
    </row>
    <row r="22" customFormat="false" ht="15" hidden="false" customHeight="false" outlineLevel="0" collapsed="false">
      <c r="A22" s="18" t="n">
        <v>5</v>
      </c>
      <c r="B22" s="22" t="n">
        <v>0.05325</v>
      </c>
      <c r="C22" s="34" t="n">
        <f aca="false">Plan!H9</f>
        <v>0.0906303658636243</v>
      </c>
      <c r="D22" s="16" t="n">
        <f aca="false">B22*C22</f>
        <v>0.00482606698223799</v>
      </c>
    </row>
    <row r="24" customFormat="false" ht="15" hidden="false" customHeight="false" outlineLevel="0" collapsed="false">
      <c r="A24" s="2" t="s">
        <v>214</v>
      </c>
      <c r="B24" s="27" t="n">
        <v>165</v>
      </c>
      <c r="C24" s="10" t="s">
        <v>139</v>
      </c>
    </row>
    <row r="25" customFormat="false" ht="15" hidden="false" customHeight="false" outlineLevel="0" collapsed="false">
      <c r="A25" s="2" t="s">
        <v>215</v>
      </c>
      <c r="B25" s="32" t="n">
        <v>0.5</v>
      </c>
      <c r="C25" s="10" t="s">
        <v>216</v>
      </c>
    </row>
    <row r="26" customFormat="false" ht="15" hidden="false" customHeight="false" outlineLevel="0" collapsed="false">
      <c r="A26" s="2" t="s">
        <v>217</v>
      </c>
      <c r="B26" s="32" t="n">
        <v>1.25</v>
      </c>
      <c r="C26" s="10" t="s">
        <v>218</v>
      </c>
    </row>
    <row r="27" customFormat="false" ht="15" hidden="false" customHeight="false" outlineLevel="0" collapsed="false">
      <c r="A27" s="2" t="s">
        <v>219</v>
      </c>
      <c r="B27" s="23" t="n">
        <v>72.6308731504588</v>
      </c>
      <c r="C27" s="10" t="s">
        <v>220</v>
      </c>
    </row>
    <row r="28" customFormat="false" ht="15" hidden="false" customHeight="false" outlineLevel="0" collapsed="false">
      <c r="A28" s="2" t="s">
        <v>221</v>
      </c>
      <c r="B28" s="20" t="n">
        <f aca="false">SUM(B18:B22)</f>
        <v>0.33483</v>
      </c>
      <c r="C28" s="10" t="s">
        <v>222</v>
      </c>
    </row>
    <row r="29" customFormat="false" ht="15" hidden="false" customHeight="false" outlineLevel="0" collapsed="false">
      <c r="A29" s="2" t="s">
        <v>223</v>
      </c>
      <c r="B29" s="16" t="n">
        <f aca="false">B26*SUM(D18:D22)</f>
        <v>0.155646198095455</v>
      </c>
      <c r="C29" s="10" t="s">
        <v>224</v>
      </c>
    </row>
    <row r="30" customFormat="false" ht="15" hidden="false" customHeight="false" outlineLevel="0" collapsed="false">
      <c r="A30" s="2" t="s">
        <v>122</v>
      </c>
      <c r="B30" s="16" t="n">
        <f aca="false">Fee*B24+VQ*B25+VQ*B29</f>
        <v>10.1951695847636</v>
      </c>
      <c r="C30" s="10" t="s">
        <v>225</v>
      </c>
    </row>
    <row r="31" customFormat="false" ht="15" hidden="false" customHeight="false" outlineLevel="0" collapsed="false">
      <c r="A31" s="2" t="s">
        <v>226</v>
      </c>
      <c r="B31" s="16" t="n">
        <f aca="false">Packages!G8-B30</f>
        <v>0.24544130664937</v>
      </c>
      <c r="C31" s="10" t="s">
        <v>227</v>
      </c>
    </row>
    <row r="32" customFormat="false" ht="15" hidden="false" customHeight="false" outlineLevel="0" collapsed="false">
      <c r="A32" s="2" t="s">
        <v>228</v>
      </c>
      <c r="B32" s="20" t="n">
        <f aca="false">B31/Packages!G8</f>
        <v>0.0235083281239066</v>
      </c>
      <c r="C32" s="10" t="s">
        <v>229</v>
      </c>
    </row>
    <row r="33" customFormat="false" ht="15" hidden="false" customHeight="false" outlineLevel="0" collapsed="false">
      <c r="A33" s="2" t="s">
        <v>230</v>
      </c>
      <c r="B33" s="22" t="n">
        <v>0.04948</v>
      </c>
      <c r="C33" s="10" t="s">
        <v>231</v>
      </c>
    </row>
    <row r="34" customFormat="false" ht="15" hidden="false" customHeight="false" outlineLevel="0" collapsed="false">
      <c r="A34" s="2" t="s">
        <v>232</v>
      </c>
      <c r="B34" s="32" t="n">
        <v>10.2133524788575</v>
      </c>
      <c r="C34" s="10" t="s">
        <v>233</v>
      </c>
    </row>
    <row r="36" customFormat="false" ht="15" hidden="false" customHeight="false" outlineLevel="0" collapsed="false">
      <c r="A36" s="4" t="s">
        <v>234</v>
      </c>
    </row>
    <row r="37" customFormat="false" ht="35.05" hidden="false" customHeight="false" outlineLevel="0" collapsed="false">
      <c r="A37" s="8" t="s">
        <v>235</v>
      </c>
      <c r="B37" s="8" t="s">
        <v>118</v>
      </c>
      <c r="C37" s="8" t="s">
        <v>236</v>
      </c>
      <c r="D37" s="8" t="s">
        <v>197</v>
      </c>
      <c r="E37" s="8" t="s">
        <v>237</v>
      </c>
      <c r="F37" s="8" t="s">
        <v>122</v>
      </c>
      <c r="G37" s="8" t="s">
        <v>238</v>
      </c>
      <c r="H37" s="8" t="s">
        <v>239</v>
      </c>
    </row>
    <row r="38" customFormat="false" ht="15" hidden="false" customHeight="false" outlineLevel="0" collapsed="false">
      <c r="A38" s="4" t="s">
        <v>240</v>
      </c>
      <c r="B38" s="18" t="n">
        <f aca="false">Packages!G4</f>
        <v>170</v>
      </c>
      <c r="C38" s="17" t="n">
        <f aca="false">Packages!G5</f>
        <v>0.667576361426626</v>
      </c>
      <c r="D38" s="17" t="s">
        <v>241</v>
      </c>
      <c r="E38" s="35" t="s">
        <v>241</v>
      </c>
      <c r="F38" s="17" t="n">
        <f aca="false">Packages!G8</f>
        <v>10.440610891413</v>
      </c>
      <c r="G38" s="22" t="n">
        <v>0.04907</v>
      </c>
      <c r="H38" s="17" t="n">
        <f aca="false">Packages!G8</f>
        <v>10.440610891413</v>
      </c>
    </row>
    <row r="39" customFormat="false" ht="15" hidden="false" customHeight="false" outlineLevel="0" collapsed="false">
      <c r="A39" s="4" t="s">
        <v>242</v>
      </c>
      <c r="B39" s="18" t="n">
        <f aca="false">C5</f>
        <v>170</v>
      </c>
      <c r="C39" s="17" t="n">
        <v>0</v>
      </c>
      <c r="D39" s="17" t="n">
        <f aca="false">D5</f>
        <v>1</v>
      </c>
      <c r="E39" s="35" t="n">
        <f aca="false">F5</f>
        <v>0.98516</v>
      </c>
      <c r="F39" s="17" t="n">
        <f aca="false">G5</f>
        <v>10.6180040153954</v>
      </c>
      <c r="G39" s="22" t="n">
        <v>0.04899</v>
      </c>
      <c r="H39" s="32" t="n">
        <v>10.6200764315366</v>
      </c>
    </row>
    <row r="40" customFormat="false" ht="15" hidden="false" customHeight="false" outlineLevel="0" collapsed="false">
      <c r="A40" s="4" t="s">
        <v>243</v>
      </c>
      <c r="B40" s="18" t="n">
        <f aca="false">C7</f>
        <v>175</v>
      </c>
      <c r="C40" s="17" t="n">
        <v>0</v>
      </c>
      <c r="D40" s="17" t="n">
        <f aca="false">D7</f>
        <v>4</v>
      </c>
      <c r="E40" s="35" t="n">
        <f aca="false">F7</f>
        <v>0.64256</v>
      </c>
      <c r="F40" s="17" t="n">
        <f aca="false">G7</f>
        <v>11.4063985311082</v>
      </c>
      <c r="G40" s="22" t="n">
        <v>0.04954</v>
      </c>
      <c r="H40" s="32" t="n">
        <v>11.4109016239083</v>
      </c>
    </row>
    <row r="41" customFormat="false" ht="15" hidden="false" customHeight="false" outlineLevel="0" collapsed="false">
      <c r="A41" s="4" t="s">
        <v>244</v>
      </c>
      <c r="B41" s="18" t="n">
        <f aca="false">H7</f>
        <v>165</v>
      </c>
      <c r="C41" s="17" t="n">
        <f aca="false">I7</f>
        <v>0.55</v>
      </c>
      <c r="D41" s="17" t="n">
        <f aca="false">J7</f>
        <v>2.5</v>
      </c>
      <c r="E41" s="35" t="n">
        <f aca="false">L7</f>
        <v>0.14753</v>
      </c>
      <c r="F41" s="17" t="n">
        <f aca="false">M7</f>
        <v>10.2334325542502</v>
      </c>
      <c r="G41" s="22" t="n">
        <v>0.04961</v>
      </c>
      <c r="H41" s="32" t="n">
        <v>10.2403788144205</v>
      </c>
    </row>
    <row r="42" customFormat="false" ht="15" hidden="false" customHeight="false" outlineLevel="0" collapsed="false">
      <c r="A42" s="4" t="s">
        <v>245</v>
      </c>
      <c r="B42" s="18" t="n">
        <f aca="false">B24</f>
        <v>165</v>
      </c>
      <c r="C42" s="17" t="n">
        <f aca="false">B25</f>
        <v>0.5</v>
      </c>
      <c r="D42" s="17" t="n">
        <f aca="false">B26</f>
        <v>1.25</v>
      </c>
      <c r="E42" s="35" t="n">
        <f aca="false">B28</f>
        <v>0.33483</v>
      </c>
      <c r="F42" s="17" t="n">
        <f aca="false">B30</f>
        <v>10.1951695847636</v>
      </c>
      <c r="G42" s="22" t="n">
        <v>0.04948</v>
      </c>
      <c r="H42" s="32" t="n">
        <v>10.2133524788575</v>
      </c>
    </row>
    <row r="43" customFormat="false" ht="15" hidden="false" customHeight="false" outlineLevel="0" collapsed="false">
      <c r="A43" s="4" t="s">
        <v>246</v>
      </c>
      <c r="B43" s="18" t="s">
        <v>247</v>
      </c>
      <c r="C43" s="17" t="s">
        <v>248</v>
      </c>
      <c r="D43" s="17" t="s">
        <v>241</v>
      </c>
      <c r="E43" s="35" t="s">
        <v>241</v>
      </c>
      <c r="F43" s="17" t="n">
        <f aca="false">Information!B21</f>
        <v>6.32262909672778</v>
      </c>
    </row>
    <row r="44" customFormat="false" ht="15" hidden="false" customHeight="false" outlineLevel="0" collapsed="false">
      <c r="A44" s="4" t="s">
        <v>249</v>
      </c>
      <c r="F44" s="17" t="n">
        <f aca="false">Information!B5</f>
        <v>0.436698403572877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4"/>
    <col collapsed="false" customWidth="true" hidden="false" outlineLevel="0" max="3" min="3" style="0" width="72"/>
  </cols>
  <sheetData>
    <row r="1" customFormat="false" ht="15" hidden="false" customHeight="false" outlineLevel="0" collapsed="false">
      <c r="A1" s="1" t="s">
        <v>250</v>
      </c>
    </row>
    <row r="3" customFormat="false" ht="15" hidden="false" customHeight="false" outlineLevel="0" collapsed="false">
      <c r="A3" s="8" t="s">
        <v>18</v>
      </c>
      <c r="B3" s="8" t="s">
        <v>19</v>
      </c>
      <c r="C3" s="8" t="s">
        <v>251</v>
      </c>
    </row>
    <row r="4" customFormat="false" ht="15" hidden="false" customHeight="false" outlineLevel="0" collapsed="false">
      <c r="A4" s="2" t="s">
        <v>240</v>
      </c>
      <c r="B4" s="36" t="n">
        <f aca="false">Packages!G8</f>
        <v>10.440610891413</v>
      </c>
      <c r="C4" s="10" t="s">
        <v>252</v>
      </c>
    </row>
    <row r="5" customFormat="false" ht="15" hidden="false" customHeight="false" outlineLevel="0" collapsed="false">
      <c r="A5" s="2" t="s">
        <v>253</v>
      </c>
      <c r="B5" s="37" t="n">
        <v>0.436698403572877</v>
      </c>
      <c r="C5" s="10" t="s">
        <v>254</v>
      </c>
    </row>
    <row r="6" customFormat="false" ht="15" hidden="false" customHeight="false" outlineLevel="0" collapsed="false">
      <c r="A6" s="2" t="s">
        <v>255</v>
      </c>
      <c r="B6" s="17" t="n">
        <f aca="false">B4-B5</f>
        <v>10.0039124878401</v>
      </c>
      <c r="C6" s="10" t="s">
        <v>256</v>
      </c>
    </row>
    <row r="7" customFormat="false" ht="15" hidden="false" customHeight="false" outlineLevel="0" collapsed="false">
      <c r="A7" s="2" t="s">
        <v>257</v>
      </c>
      <c r="B7" s="31" t="n">
        <v>0.19622</v>
      </c>
      <c r="C7" s="10" t="s">
        <v>258</v>
      </c>
    </row>
    <row r="8" customFormat="false" ht="15" hidden="false" customHeight="false" outlineLevel="0" collapsed="false">
      <c r="A8" s="2" t="s">
        <v>259</v>
      </c>
      <c r="B8" s="20" t="n">
        <f aca="false">1-B7</f>
        <v>0.80378</v>
      </c>
      <c r="C8" s="10" t="s">
        <v>260</v>
      </c>
    </row>
    <row r="9" customFormat="false" ht="15" hidden="false" customHeight="false" outlineLevel="0" collapsed="false">
      <c r="A9" s="2" t="s">
        <v>261</v>
      </c>
      <c r="B9" s="31" t="n">
        <v>0.16287</v>
      </c>
      <c r="C9" s="10" t="s">
        <v>262</v>
      </c>
    </row>
    <row r="11" customFormat="false" ht="15" hidden="false" customHeight="false" outlineLevel="0" collapsed="false">
      <c r="A11" s="2" t="s">
        <v>263</v>
      </c>
      <c r="B11" s="31" t="n">
        <v>0.25912</v>
      </c>
      <c r="C11" s="10" t="s">
        <v>264</v>
      </c>
    </row>
    <row r="12" customFormat="false" ht="15" hidden="false" customHeight="false" outlineLevel="0" collapsed="false">
      <c r="A12" s="2" t="s">
        <v>265</v>
      </c>
      <c r="B12" s="20" t="n">
        <f aca="false">1-B11</f>
        <v>0.74088</v>
      </c>
    </row>
    <row r="13" customFormat="false" ht="15" hidden="false" customHeight="false" outlineLevel="0" collapsed="false">
      <c r="A13" s="2" t="s">
        <v>266</v>
      </c>
      <c r="B13" s="27" t="n">
        <v>0</v>
      </c>
      <c r="C13" s="10" t="s">
        <v>267</v>
      </c>
    </row>
    <row r="14" customFormat="false" ht="15" hidden="false" customHeight="false" outlineLevel="0" collapsed="false">
      <c r="A14" s="2" t="s">
        <v>140</v>
      </c>
      <c r="B14" s="24" t="n">
        <v>0.608354275291688</v>
      </c>
      <c r="C14" s="10" t="s">
        <v>268</v>
      </c>
    </row>
    <row r="15" customFormat="false" ht="15" hidden="false" customHeight="false" outlineLevel="0" collapsed="false">
      <c r="A15" s="2" t="s">
        <v>269</v>
      </c>
      <c r="B15" s="22" t="n">
        <v>0.0475</v>
      </c>
      <c r="C15" s="10" t="s">
        <v>270</v>
      </c>
    </row>
    <row r="16" customFormat="false" ht="15" hidden="false" customHeight="false" outlineLevel="0" collapsed="false">
      <c r="A16" s="2" t="s">
        <v>142</v>
      </c>
      <c r="B16" s="16" t="n">
        <f aca="false">Fee*B13+VQ*B14</f>
        <v>4.8668342023335</v>
      </c>
      <c r="C16" s="10" t="s">
        <v>271</v>
      </c>
    </row>
    <row r="17" customFormat="false" ht="15" hidden="false" customHeight="false" outlineLevel="0" collapsed="false">
      <c r="A17" s="2" t="s">
        <v>272</v>
      </c>
      <c r="B17" s="27" t="n">
        <v>215</v>
      </c>
      <c r="C17" s="10" t="s">
        <v>273</v>
      </c>
    </row>
    <row r="18" customFormat="false" ht="15" hidden="false" customHeight="false" outlineLevel="0" collapsed="false">
      <c r="A18" s="2" t="s">
        <v>140</v>
      </c>
      <c r="B18" s="24" t="n">
        <v>0.504382608879544</v>
      </c>
      <c r="C18" s="10" t="s">
        <v>216</v>
      </c>
    </row>
    <row r="19" customFormat="false" ht="15" hidden="false" customHeight="false" outlineLevel="0" collapsed="false">
      <c r="A19" s="2" t="s">
        <v>274</v>
      </c>
      <c r="B19" s="21" t="n">
        <f aca="false">(Alpha-B12*B15)/B11</f>
        <v>0.0571480395183699</v>
      </c>
      <c r="C19" s="10" t="s">
        <v>275</v>
      </c>
    </row>
    <row r="20" customFormat="false" ht="15" hidden="false" customHeight="false" outlineLevel="0" collapsed="false">
      <c r="A20" s="2" t="s">
        <v>142</v>
      </c>
      <c r="B20" s="16" t="n">
        <f aca="false">Fee*B17+VQ*B18</f>
        <v>10.4850608710364</v>
      </c>
      <c r="C20" s="10" t="s">
        <v>276</v>
      </c>
    </row>
    <row r="21" customFormat="false" ht="15" hidden="false" customHeight="false" outlineLevel="0" collapsed="false">
      <c r="A21" s="2" t="s">
        <v>277</v>
      </c>
      <c r="B21" s="16" t="n">
        <f aca="false">B12*B16+B11*B20</f>
        <v>6.32262909672778</v>
      </c>
      <c r="C21" s="10" t="s">
        <v>278</v>
      </c>
    </row>
    <row r="22" customFormat="false" ht="15" hidden="false" customHeight="false" outlineLevel="0" collapsed="false">
      <c r="A22" s="2" t="s">
        <v>279</v>
      </c>
      <c r="B22" s="17" t="n">
        <f aca="false">B4-B21</f>
        <v>4.11798179468523</v>
      </c>
      <c r="C22" s="10" t="s">
        <v>280</v>
      </c>
    </row>
    <row r="23" customFormat="false" ht="15" hidden="false" customHeight="false" outlineLevel="0" collapsed="false">
      <c r="A23" s="2" t="s">
        <v>281</v>
      </c>
      <c r="B23" s="36" t="n">
        <f aca="false">Rules!B31</f>
        <v>0.24544130664937</v>
      </c>
      <c r="C23" s="10" t="s">
        <v>227</v>
      </c>
    </row>
    <row r="25" customFormat="false" ht="15" hidden="false" customHeight="false" outlineLevel="0" collapsed="false">
      <c r="A25" s="2" t="s">
        <v>282</v>
      </c>
      <c r="B25" s="31" t="n">
        <v>0.21009</v>
      </c>
      <c r="C25" s="10" t="s">
        <v>283</v>
      </c>
    </row>
    <row r="26" customFormat="false" ht="15" hidden="false" customHeight="false" outlineLevel="0" collapsed="false">
      <c r="A26" s="2" t="s">
        <v>284</v>
      </c>
      <c r="B26" s="27" t="n">
        <v>165</v>
      </c>
      <c r="C26" s="10" t="s">
        <v>139</v>
      </c>
    </row>
    <row r="27" customFormat="false" ht="15" hidden="false" customHeight="false" outlineLevel="0" collapsed="false">
      <c r="A27" s="2" t="s">
        <v>285</v>
      </c>
      <c r="B27" s="37" t="n">
        <v>2.90330370524535</v>
      </c>
      <c r="C27" s="10" t="s">
        <v>286</v>
      </c>
    </row>
    <row r="28" customFormat="false" ht="15" hidden="false" customHeight="false" outlineLevel="0" collapsed="false">
      <c r="A28" s="2" t="s">
        <v>142</v>
      </c>
      <c r="B28" s="17" t="n">
        <f aca="false">Fee*B26+VQ*B27</f>
        <v>28.1764296419628</v>
      </c>
      <c r="C28" s="10" t="s">
        <v>287</v>
      </c>
    </row>
    <row r="29" customFormat="false" ht="15" hidden="false" customHeight="false" outlineLevel="0" collapsed="false">
      <c r="A29" s="2" t="s">
        <v>288</v>
      </c>
      <c r="B29" s="32" t="n">
        <v>25.8814965112267</v>
      </c>
      <c r="C29" s="10" t="s">
        <v>289</v>
      </c>
    </row>
    <row r="30" customFormat="false" ht="15" hidden="false" customHeight="false" outlineLevel="0" collapsed="false">
      <c r="A30" s="2" t="s">
        <v>290</v>
      </c>
      <c r="B30" s="17" t="n">
        <f aca="false">B28-B29</f>
        <v>2.29493313073604</v>
      </c>
      <c r="C30" s="10" t="s">
        <v>291</v>
      </c>
    </row>
    <row r="31" customFormat="false" ht="15" hidden="false" customHeight="false" outlineLevel="0" collapsed="false">
      <c r="A31" s="2" t="s">
        <v>292</v>
      </c>
      <c r="B31" s="20" t="n">
        <f aca="false">B30/B28</f>
        <v>0.0814486845884204</v>
      </c>
      <c r="C31" s="10" t="s">
        <v>293</v>
      </c>
    </row>
    <row r="33" customFormat="false" ht="15" hidden="false" customHeight="false" outlineLevel="0" collapsed="false">
      <c r="A33" s="4" t="s">
        <v>294</v>
      </c>
    </row>
    <row r="34" customFormat="false" ht="15" hidden="false" customHeight="false" outlineLevel="0" collapsed="false">
      <c r="A34" s="8" t="s">
        <v>295</v>
      </c>
      <c r="B34" s="8" t="s">
        <v>296</v>
      </c>
    </row>
    <row r="35" customFormat="false" ht="15" hidden="false" customHeight="false" outlineLevel="0" collapsed="false">
      <c r="A35" s="2" t="s">
        <v>297</v>
      </c>
      <c r="B35" s="17" t="n">
        <f aca="false">B4</f>
        <v>10.440610891413</v>
      </c>
    </row>
    <row r="36" customFormat="false" ht="15" hidden="false" customHeight="false" outlineLevel="0" collapsed="false">
      <c r="A36" s="2" t="s">
        <v>298</v>
      </c>
      <c r="B36" s="17" t="n">
        <f aca="false">Rules!B30</f>
        <v>10.1951695847636</v>
      </c>
    </row>
    <row r="37" customFormat="false" ht="15" hidden="false" customHeight="false" outlineLevel="0" collapsed="false">
      <c r="A37" s="2" t="s">
        <v>299</v>
      </c>
      <c r="B37" s="17" t="n">
        <f aca="false">B21</f>
        <v>6.32262909672778</v>
      </c>
    </row>
    <row r="38" customFormat="false" ht="15" hidden="false" customHeight="false" outlineLevel="0" collapsed="false">
      <c r="A38" s="2" t="s">
        <v>249</v>
      </c>
      <c r="B38" s="17" t="n">
        <f aca="false">B5</f>
        <v>0.436698403572877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3" min="2" style="0" width="18"/>
    <col collapsed="false" customWidth="true" hidden="false" outlineLevel="0" max="4" min="4" style="0" width="16"/>
    <col collapsed="false" customWidth="true" hidden="false" outlineLevel="0" max="5" min="5" style="0" width="18"/>
    <col collapsed="false" customWidth="true" hidden="false" outlineLevel="0" max="6" min="6" style="0" width="16"/>
    <col collapsed="false" customWidth="true" hidden="false" outlineLevel="0" max="7" min="7" style="0" width="26"/>
    <col collapsed="false" customWidth="true" hidden="false" outlineLevel="0" max="8" min="8" style="0" width="30"/>
    <col collapsed="false" customWidth="true" hidden="false" outlineLevel="0" max="9" min="9" style="0" width="26"/>
  </cols>
  <sheetData>
    <row r="1" customFormat="false" ht="15" hidden="false" customHeight="false" outlineLevel="0" collapsed="false">
      <c r="A1" s="1" t="s">
        <v>300</v>
      </c>
    </row>
    <row r="2" customFormat="false" ht="15" hidden="false" customHeight="false" outlineLevel="0" collapsed="false">
      <c r="A2" s="10" t="s">
        <v>301</v>
      </c>
    </row>
    <row r="4" customFormat="false" ht="15" hidden="false" customHeight="false" outlineLevel="0" collapsed="false">
      <c r="A4" s="8" t="s">
        <v>18</v>
      </c>
      <c r="B4" s="8" t="s">
        <v>19</v>
      </c>
      <c r="C4" s="8" t="s">
        <v>251</v>
      </c>
    </row>
    <row r="5" customFormat="false" ht="15" hidden="false" customHeight="false" outlineLevel="0" collapsed="false">
      <c r="A5" s="2" t="s">
        <v>302</v>
      </c>
      <c r="B5" s="38" t="n">
        <f aca="false">(-(Beta)+SQRT((Beta)^2+4*(Bh^2/Rh)*(Qh)))/(2*(Bh^2/Rh))</f>
        <v>0.000903721742949847</v>
      </c>
      <c r="C5" s="10" t="s">
        <v>303</v>
      </c>
    </row>
    <row r="6" customFormat="false" ht="15" hidden="false" customHeight="false" outlineLevel="0" collapsed="false">
      <c r="A6" s="2" t="s">
        <v>304</v>
      </c>
      <c r="B6" s="16" t="n">
        <f aca="false">Bh*B5/Rh</f>
        <v>4.33786436615926</v>
      </c>
      <c r="C6" s="10" t="s">
        <v>305</v>
      </c>
    </row>
    <row r="7" customFormat="false" ht="15" hidden="false" customHeight="false" outlineLevel="0" collapsed="false">
      <c r="A7" s="2" t="s">
        <v>306</v>
      </c>
      <c r="B7" s="16" t="n">
        <f aca="false">Sig^2*B5</f>
        <v>0.203337392163716</v>
      </c>
      <c r="C7" s="10" t="s">
        <v>307</v>
      </c>
    </row>
    <row r="8" customFormat="false" ht="15" hidden="false" customHeight="false" outlineLevel="0" collapsed="false">
      <c r="A8" s="2" t="s">
        <v>308</v>
      </c>
      <c r="B8" s="19" t="n">
        <f aca="false">B7/Rho</f>
        <v>2.13342785189551</v>
      </c>
      <c r="C8" s="10" t="s">
        <v>309</v>
      </c>
    </row>
    <row r="9" customFormat="false" ht="15" hidden="false" customHeight="false" outlineLevel="0" collapsed="false">
      <c r="A9" s="2" t="s">
        <v>310</v>
      </c>
      <c r="B9" s="19" t="n">
        <f aca="false">B5*D0h^2+B8</f>
        <v>11.170645281394</v>
      </c>
      <c r="C9" s="10" t="s">
        <v>311</v>
      </c>
    </row>
    <row r="11" customFormat="false" ht="15" hidden="false" customHeight="false" outlineLevel="0" collapsed="false">
      <c r="A11" s="4" t="s">
        <v>312</v>
      </c>
    </row>
    <row r="12" customFormat="false" ht="23.85" hidden="false" customHeight="false" outlineLevel="0" collapsed="false">
      <c r="A12" s="8" t="s">
        <v>313</v>
      </c>
      <c r="B12" s="8" t="s">
        <v>314</v>
      </c>
      <c r="C12" s="8" t="s">
        <v>315</v>
      </c>
      <c r="D12" s="8" t="s">
        <v>316</v>
      </c>
      <c r="E12" s="8" t="s">
        <v>317</v>
      </c>
      <c r="F12" s="8" t="s">
        <v>318</v>
      </c>
      <c r="G12" s="8" t="s">
        <v>319</v>
      </c>
      <c r="H12" s="8" t="s">
        <v>320</v>
      </c>
      <c r="I12" s="8" t="s">
        <v>321</v>
      </c>
    </row>
    <row r="13" customFormat="false" ht="15" hidden="false" customHeight="false" outlineLevel="0" collapsed="false">
      <c r="A13" s="17" t="n">
        <f aca="false">Sy</f>
        <v>0.1</v>
      </c>
      <c r="B13" s="39" t="n">
        <f aca="false">Rh*Bh</f>
        <v>7.5E-005</v>
      </c>
      <c r="C13" s="39" t="n">
        <f aca="false">Rh*Beta+Qh*A13^2</f>
        <v>0.000149274288133367</v>
      </c>
      <c r="D13" s="39" t="n">
        <f aca="false">Qh*Bh</f>
        <v>0.00192</v>
      </c>
      <c r="E13" s="16" t="n">
        <f aca="false">(-C13+SQRT(C13^2+4*B13*D13))/(2*B13)</f>
        <v>4.16142098339816</v>
      </c>
      <c r="F13" s="38" t="n">
        <f aca="false">Qh/(Bh*E13+Beta)</f>
        <v>0.000931573890463994</v>
      </c>
      <c r="G13" s="19" t="n">
        <f aca="false">F13*(D0h^2+Sig^2/Rho)</f>
        <v>11.5149176889495</v>
      </c>
      <c r="H13" s="19" t="n">
        <f aca="false">(Qh+Rh*$B$6^2)*(D0h^2+Sig^2/Rho)/(2*(Ah+Bh*$B$6)+Rho-A13^2*$B$6^2)</f>
        <v>11.5235966114608</v>
      </c>
      <c r="I13" s="19" t="n">
        <f aca="false">H13-G13</f>
        <v>0.00867892251129554</v>
      </c>
    </row>
    <row r="14" customFormat="false" ht="15" hidden="false" customHeight="false" outlineLevel="0" collapsed="false">
      <c r="A14" s="17" t="n">
        <f aca="false">2*Sy</f>
        <v>0.2</v>
      </c>
      <c r="B14" s="39" t="n">
        <f aca="false">Rh*Bh</f>
        <v>7.5E-005</v>
      </c>
      <c r="C14" s="39" t="n">
        <f aca="false">Rh*Beta+Qh*A14^2</f>
        <v>0.000245274288133367</v>
      </c>
      <c r="D14" s="39" t="n">
        <f aca="false">Qh*Bh</f>
        <v>0.00192</v>
      </c>
      <c r="E14" s="16" t="n">
        <f aca="false">(-C14+SQRT(C14^2+4*B14*D14))/(2*B14)</f>
        <v>3.68214515201215</v>
      </c>
      <c r="F14" s="38" t="n">
        <f aca="false">Qh/(Bh*E14+Beta)</f>
        <v>0.00101668591394629</v>
      </c>
      <c r="G14" s="19" t="n">
        <f aca="false">F14*(D0h^2+Sig^2/Rho)</f>
        <v>12.5669630014801</v>
      </c>
      <c r="H14" s="19" t="n">
        <f aca="false">(Qh+Rh*$B$6^2)*(D0h^2+Sig^2/Rho)/(2*(Ah+Bh*$B$6)+Rho-A14^2*$B$6^2)</f>
        <v>12.7302874837429</v>
      </c>
      <c r="I14" s="19" t="n">
        <f aca="false">H14-G14</f>
        <v>0.163324482262787</v>
      </c>
    </row>
    <row r="17" customFormat="false" ht="15" hidden="false" customHeight="false" outlineLevel="0" collapsed="false">
      <c r="A17" s="2" t="s">
        <v>322</v>
      </c>
      <c r="B17" s="38" t="n">
        <f aca="false">(-(Beta-Cv^2)+SQRT((Beta-Cv^2)^2+4*(Bh^2/Rh)*(Qh)))/(2*(Bh^2/Rh))</f>
        <v>0.00094136400922624</v>
      </c>
      <c r="C17" s="10" t="s">
        <v>323</v>
      </c>
    </row>
    <row r="18" customFormat="false" ht="15" hidden="false" customHeight="false" outlineLevel="0" collapsed="false">
      <c r="A18" s="2" t="s">
        <v>324</v>
      </c>
      <c r="B18" s="16" t="n">
        <f aca="false">Bh*B17/Rh</f>
        <v>4.51854724428595</v>
      </c>
      <c r="C18" s="10" t="s">
        <v>325</v>
      </c>
    </row>
    <row r="20" customFormat="false" ht="15" hidden="false" customHeight="false" outlineLevel="0" collapsed="false">
      <c r="A20" s="4" t="s">
        <v>326</v>
      </c>
    </row>
    <row r="21" customFormat="false" ht="23.85" hidden="false" customHeight="false" outlineLevel="0" collapsed="false">
      <c r="A21" s="8" t="s">
        <v>327</v>
      </c>
      <c r="B21" s="8" t="s">
        <v>328</v>
      </c>
      <c r="C21" s="8" t="s">
        <v>329</v>
      </c>
      <c r="D21" s="8" t="s">
        <v>330</v>
      </c>
      <c r="E21" s="8" t="s">
        <v>331</v>
      </c>
      <c r="F21" s="8" t="s">
        <v>317</v>
      </c>
    </row>
    <row r="22" customFormat="false" ht="15" hidden="false" customHeight="false" outlineLevel="0" collapsed="false">
      <c r="A22" s="13" t="n">
        <v>0</v>
      </c>
      <c r="B22" s="11" t="n">
        <f aca="false">Bh^2/Rh-2*A22*Sig^2</f>
        <v>2880</v>
      </c>
      <c r="C22" s="15" t="n">
        <f aca="false">Beta^2+4*B22*Qh</f>
        <v>37.74420855406</v>
      </c>
      <c r="D22" s="38" t="n">
        <f aca="false">2*Qh/(Beta+SQRT(C22))</f>
        <v>0.000903721742949847</v>
      </c>
      <c r="E22" s="19" t="n">
        <f aca="false">10000*D22</f>
        <v>9.03721742949847</v>
      </c>
      <c r="F22" s="19" t="n">
        <f aca="false">Bh*D22/Rh</f>
        <v>4.33786436615926</v>
      </c>
    </row>
    <row r="23" customFormat="false" ht="15" hidden="false" customHeight="false" outlineLevel="0" collapsed="false">
      <c r="A23" s="13" t="n">
        <v>1</v>
      </c>
      <c r="B23" s="11" t="n">
        <f aca="false">Bh^2/Rh-2*A23*Sig^2</f>
        <v>2430</v>
      </c>
      <c r="C23" s="15" t="n">
        <f aca="false">Beta^2+4*B23*Qh</f>
        <v>31.98420855406</v>
      </c>
      <c r="D23" s="38" t="n">
        <f aca="false">2*Qh/(Beta+SQRT(C23))</f>
        <v>0.000970630451105152</v>
      </c>
      <c r="E23" s="19" t="n">
        <f aca="false">10000*D23</f>
        <v>9.70630451105152</v>
      </c>
      <c r="F23" s="19" t="n">
        <f aca="false">Bh*D23/Rh</f>
        <v>4.65902616530473</v>
      </c>
    </row>
    <row r="24" customFormat="false" ht="15" hidden="false" customHeight="false" outlineLevel="0" collapsed="false">
      <c r="A24" s="13" t="n">
        <v>2</v>
      </c>
      <c r="B24" s="11" t="n">
        <f aca="false">Bh^2/Rh-2*A24*Sig^2</f>
        <v>1980</v>
      </c>
      <c r="C24" s="15" t="n">
        <f aca="false">Beta^2+4*B24*Qh</f>
        <v>26.22420855406</v>
      </c>
      <c r="D24" s="38" t="n">
        <f aca="false">2*Qh/(Beta+SQRT(C24))</f>
        <v>0.0010562534020093</v>
      </c>
      <c r="E24" s="19" t="n">
        <f aca="false">10000*D24</f>
        <v>10.562534020093</v>
      </c>
      <c r="F24" s="19" t="n">
        <f aca="false">Bh*D24/Rh</f>
        <v>5.07001632964462</v>
      </c>
    </row>
    <row r="25" customFormat="false" ht="15" hidden="false" customHeight="false" outlineLevel="0" collapsed="false">
      <c r="A25" s="13" t="n">
        <v>3</v>
      </c>
      <c r="B25" s="11" t="n">
        <f aca="false">Bh^2/Rh-2*A25*Sig^2</f>
        <v>1530</v>
      </c>
      <c r="C25" s="15" t="n">
        <f aca="false">Beta^2+4*B25*Qh</f>
        <v>20.46420855406</v>
      </c>
      <c r="D25" s="38" t="n">
        <f aca="false">2*Qh/(Beta+SQRT(C25))</f>
        <v>0.00117174641611289</v>
      </c>
      <c r="E25" s="19" t="n">
        <f aca="false">10000*D25</f>
        <v>11.7174641611289</v>
      </c>
      <c r="F25" s="19" t="n">
        <f aca="false">Bh*D25/Rh</f>
        <v>5.62438279734186</v>
      </c>
    </row>
    <row r="26" customFormat="false" ht="15" hidden="false" customHeight="false" outlineLevel="0" collapsed="false">
      <c r="A26" s="13" t="n">
        <v>6</v>
      </c>
      <c r="B26" s="11" t="n">
        <f aca="false">Bh^2/Rh-2*A26*Sig^2</f>
        <v>180</v>
      </c>
      <c r="C26" s="15" t="n">
        <f aca="false">Beta^2+4*B26*Qh</f>
        <v>3.18420855406003</v>
      </c>
      <c r="D26" s="38" t="n">
        <f aca="false">2*Qh/(Beta+SQRT(C26))</f>
        <v>0.00235066881873347</v>
      </c>
      <c r="E26" s="19" t="n">
        <f aca="false">10000*D26</f>
        <v>23.5066881873347</v>
      </c>
      <c r="F26" s="19" t="n">
        <f aca="false">Bh*D26/Rh</f>
        <v>11.2832103299206</v>
      </c>
    </row>
    <row r="27" customFormat="false" ht="15" hidden="false" customHeight="false" outlineLevel="0" collapsed="false">
      <c r="A27" s="13" t="n">
        <v>6.5</v>
      </c>
      <c r="B27" s="11" t="n">
        <f aca="false">Bh^2/Rh-2*A27*Sig^2</f>
        <v>-45</v>
      </c>
      <c r="C27" s="15" t="n">
        <f aca="false">Beta^2+4*B27*Qh</f>
        <v>0.304208554060029</v>
      </c>
      <c r="D27" s="38" t="n">
        <f aca="false">2*Qh/(Beta+SQRT(C27))</f>
        <v>0.00429603623485729</v>
      </c>
      <c r="E27" s="19" t="n">
        <f aca="false">10000*D27</f>
        <v>42.9603623485729</v>
      </c>
      <c r="F27" s="19" t="n">
        <f aca="false">Bh*D27/Rh</f>
        <v>20.620973927315</v>
      </c>
    </row>
    <row r="29" customFormat="false" ht="15" hidden="false" customHeight="false" outlineLevel="0" collapsed="false">
      <c r="A29" s="2" t="s">
        <v>332</v>
      </c>
      <c r="B29" s="19" t="n">
        <f aca="false">Bh^2/(2*Rh*Sig^2)</f>
        <v>6.4</v>
      </c>
      <c r="C29" s="10" t="s">
        <v>333</v>
      </c>
    </row>
    <row r="30" customFormat="false" ht="15" hidden="false" customHeight="false" outlineLevel="0" collapsed="false">
      <c r="A30" s="2" t="s">
        <v>334</v>
      </c>
      <c r="B30" s="16" t="n">
        <f aca="false">(Bh^2/Rh+Beta^2/(4*Qh))/(2*Sig^2)</f>
        <v>6.55281398507987</v>
      </c>
      <c r="C30" s="10" t="s">
        <v>335</v>
      </c>
    </row>
    <row r="31" customFormat="false" ht="15" hidden="false" customHeight="false" outlineLevel="0" collapsed="false">
      <c r="A31" s="2" t="s">
        <v>336</v>
      </c>
      <c r="B31" s="15" t="n">
        <f aca="false">2*Qh/Beta</f>
        <v>0.00682161463295537</v>
      </c>
      <c r="C31" s="10" t="s">
        <v>337</v>
      </c>
    </row>
    <row r="32" customFormat="false" ht="15" hidden="false" customHeight="false" outlineLevel="0" collapsed="false">
      <c r="A32" s="2" t="s">
        <v>338</v>
      </c>
      <c r="B32" s="11" t="n">
        <f aca="false">Bh*B31/Rh</f>
        <v>32.7437502381858</v>
      </c>
      <c r="C32" s="10" t="s">
        <v>339</v>
      </c>
    </row>
    <row r="34" customFormat="false" ht="15" hidden="false" customHeight="false" outlineLevel="0" collapsed="false">
      <c r="A34" s="4" t="s">
        <v>340</v>
      </c>
    </row>
    <row r="35" customFormat="false" ht="15" hidden="false" customHeight="false" outlineLevel="0" collapsed="false">
      <c r="A35" s="8" t="s">
        <v>341</v>
      </c>
      <c r="B35" s="8" t="s">
        <v>317</v>
      </c>
      <c r="C35" s="8" t="s">
        <v>342</v>
      </c>
      <c r="D35" s="8" t="s">
        <v>343</v>
      </c>
      <c r="E35" s="8" t="s">
        <v>344</v>
      </c>
      <c r="F35" s="8" t="s">
        <v>345</v>
      </c>
      <c r="G35" s="8" t="s">
        <v>346</v>
      </c>
      <c r="H35" s="8" t="s">
        <v>347</v>
      </c>
      <c r="I35" s="8" t="s">
        <v>348</v>
      </c>
    </row>
    <row r="36" customFormat="false" ht="15" hidden="false" customHeight="false" outlineLevel="0" collapsed="false">
      <c r="A36" s="2" t="s">
        <v>349</v>
      </c>
      <c r="B36" s="16" t="n">
        <f aca="false">$B$6</f>
        <v>4.33786436615926</v>
      </c>
      <c r="C36" s="16" t="n">
        <f aca="false">Ah+Bh*B36</f>
        <v>3.02416068232686</v>
      </c>
      <c r="D36" s="15" t="n">
        <f aca="false">Qh+Rh*B36^2</f>
        <v>0.00555213340739929</v>
      </c>
      <c r="E36" s="19" t="n">
        <f aca="false">Sig^2/(2*C36)</f>
        <v>37.2004042832274</v>
      </c>
      <c r="F36" s="9" t="n">
        <v>0</v>
      </c>
      <c r="G36" s="17" t="n">
        <f aca="false">D0h^2*EXP(-2*C36*F36)+E36*(1-EXP(-2*C36*F36))</f>
        <v>10000</v>
      </c>
      <c r="H36" s="16" t="n">
        <f aca="false">D36*((D0h^2-E36)*(1-EXP(-(2*C36+Rho)*F36))/(2*C36+Rho)+E36*(1-EXP(-Rho*F36))/Rho)</f>
        <v>0</v>
      </c>
      <c r="I36" s="16" t="n">
        <f aca="false">H36+EXP(-Rho*F36)*($B$5*G36+Sig^2*$B$5/Rho)</f>
        <v>11.170645281394</v>
      </c>
    </row>
    <row r="37" customFormat="false" ht="15" hidden="false" customHeight="false" outlineLevel="0" collapsed="false">
      <c r="A37" s="2" t="s">
        <v>349</v>
      </c>
      <c r="B37" s="16" t="n">
        <f aca="false">$B$6</f>
        <v>4.33786436615926</v>
      </c>
      <c r="C37" s="16" t="n">
        <f aca="false">Ah+Bh*B37</f>
        <v>3.02416068232686</v>
      </c>
      <c r="D37" s="15" t="n">
        <f aca="false">Qh+Rh*B37^2</f>
        <v>0.00555213340739929</v>
      </c>
      <c r="E37" s="19" t="n">
        <f aca="false">Sig^2/(2*C37)</f>
        <v>37.2004042832274</v>
      </c>
      <c r="F37" s="9" t="n">
        <v>1</v>
      </c>
      <c r="G37" s="17" t="n">
        <f aca="false">D0h^2*EXP(-2*C37*F37)+E37*(1-EXP(-2*C37*F37))</f>
        <v>60.730776709515</v>
      </c>
      <c r="H37" s="16" t="n">
        <f aca="false">D37*((D0h^2-E37)*(1-EXP(-(2*C37+Rho)*F37))/(2*C37+Rho)+E37*(1-EXP(-Rho*F37))/Rho)</f>
        <v>9.18127112205386</v>
      </c>
      <c r="I37" s="16" t="n">
        <f aca="false">H37+EXP(-Rho*F37)*($B$5*G37+Sig^2*$B$5/Rho)</f>
        <v>11.170645281394</v>
      </c>
    </row>
    <row r="38" customFormat="false" ht="15" hidden="false" customHeight="false" outlineLevel="0" collapsed="false">
      <c r="A38" s="2" t="s">
        <v>349</v>
      </c>
      <c r="B38" s="16" t="n">
        <f aca="false">$B$6</f>
        <v>4.33786436615926</v>
      </c>
      <c r="C38" s="16" t="n">
        <f aca="false">Ah+Bh*B38</f>
        <v>3.02416068232686</v>
      </c>
      <c r="D38" s="15" t="n">
        <f aca="false">Qh+Rh*B38^2</f>
        <v>0.00555213340739929</v>
      </c>
      <c r="E38" s="19" t="n">
        <f aca="false">Sig^2/(2*C38)</f>
        <v>37.2004042832274</v>
      </c>
      <c r="F38" s="9" t="n">
        <v>2</v>
      </c>
      <c r="G38" s="17" t="n">
        <f aca="false">D0h^2*EXP(-2*C38*F38)+E38*(1-EXP(-2*C38*F38))</f>
        <v>37.2559788655725</v>
      </c>
      <c r="H38" s="16" t="n">
        <f aca="false">D38*((D0h^2-E38)*(1-EXP(-(2*C38+Rho)*F38))/(2*C38+Rho)+E38*(1-EXP(-Rho*F38))/Rho)</f>
        <v>9.3796561160624</v>
      </c>
      <c r="I38" s="16" t="n">
        <f aca="false">H38+EXP(-Rho*F38)*($B$5*G38+Sig^2*$B$5/Rho)</f>
        <v>11.170645281394</v>
      </c>
    </row>
    <row r="39" customFormat="false" ht="15" hidden="false" customHeight="false" outlineLevel="0" collapsed="false">
      <c r="A39" s="2" t="s">
        <v>349</v>
      </c>
      <c r="B39" s="16" t="n">
        <f aca="false">$B$6</f>
        <v>4.33786436615926</v>
      </c>
      <c r="C39" s="16" t="n">
        <f aca="false">Ah+Bh*B39</f>
        <v>3.02416068232686</v>
      </c>
      <c r="D39" s="15" t="n">
        <f aca="false">Qh+Rh*B39^2</f>
        <v>0.00555213340739929</v>
      </c>
      <c r="E39" s="19" t="n">
        <f aca="false">Sig^2/(2*C39)</f>
        <v>37.2004042832274</v>
      </c>
      <c r="F39" s="9" t="n">
        <v>5</v>
      </c>
      <c r="G39" s="17" t="n">
        <f aca="false">D0h^2*EXP(-2*C39*F39)+E39*(1-EXP(-2*C39*F39))</f>
        <v>37.2004042839595</v>
      </c>
      <c r="H39" s="16" t="n">
        <f aca="false">D39*((D0h^2-E39)*(1-EXP(-(2*C39+Rho)*F39))/(2*C39+Rho)+E39*(1-EXP(-Rho*F39))/Rho)</f>
        <v>9.8250797983523</v>
      </c>
      <c r="I39" s="16" t="n">
        <f aca="false">H39+EXP(-Rho*F39)*($B$5*G39+Sig^2*$B$5/Rho)</f>
        <v>11.170645281394</v>
      </c>
    </row>
    <row r="40" customFormat="false" ht="15" hidden="false" customHeight="false" outlineLevel="0" collapsed="false">
      <c r="A40" s="2" t="s">
        <v>350</v>
      </c>
      <c r="B40" s="16" t="n">
        <f aca="false">$B$6</f>
        <v>4.33786436615926</v>
      </c>
      <c r="C40" s="16" t="n">
        <f aca="false">Ah+Bh*B40</f>
        <v>3.02416068232686</v>
      </c>
      <c r="D40" s="15" t="n">
        <f aca="false">Qh+Rh*B40^2</f>
        <v>0.00555213340739929</v>
      </c>
      <c r="E40" s="19" t="n">
        <f aca="false">Sig^2/(2*C40)</f>
        <v>37.2004042832274</v>
      </c>
      <c r="I40" s="16" t="n">
        <f aca="false">D40*((D0h^2-E40)/(2*C40+Rho)+E40/Rho)</f>
        <v>11.170645281394</v>
      </c>
    </row>
    <row r="41" customFormat="false" ht="15" hidden="false" customHeight="false" outlineLevel="0" collapsed="false">
      <c r="A41" s="2" t="s">
        <v>351</v>
      </c>
      <c r="B41" s="16" t="n">
        <f aca="false">Kcaut</f>
        <v>2</v>
      </c>
      <c r="C41" s="16" t="n">
        <f aca="false">Ah+Bh*B41</f>
        <v>1.62144206263131</v>
      </c>
      <c r="D41" s="15" t="n">
        <f aca="false">Qh+Rh*B41^2</f>
        <v>0.0037</v>
      </c>
      <c r="E41" s="19" t="n">
        <f aca="false">Sig^2/(2*C41)</f>
        <v>69.3826826087347</v>
      </c>
      <c r="F41" s="9" t="n">
        <v>0</v>
      </c>
      <c r="G41" s="17" t="n">
        <f aca="false">D0h^2*EXP(-2*C41*F41)+E41*(1-EXP(-2*C41*F41))</f>
        <v>10000</v>
      </c>
      <c r="H41" s="16" t="n">
        <f aca="false">D41*((D0h^2-E41)*(1-EXP(-(2*C41+Rho)*F41))/(2*C41+Rho)+E41*(1-EXP(-Rho*F41))/Rho)</f>
        <v>0</v>
      </c>
      <c r="I41" s="16" t="n">
        <f aca="false">H41+EXP(-Rho*F41)*($B$5*G41+Sig^2*$B$5/Rho)</f>
        <v>11.170645281394</v>
      </c>
    </row>
    <row r="42" customFormat="false" ht="15" hidden="false" customHeight="false" outlineLevel="0" collapsed="false">
      <c r="A42" s="2" t="s">
        <v>351</v>
      </c>
      <c r="B42" s="16" t="n">
        <f aca="false">Kcaut</f>
        <v>2</v>
      </c>
      <c r="C42" s="16" t="n">
        <f aca="false">Ah+Bh*B42</f>
        <v>1.62144206263131</v>
      </c>
      <c r="D42" s="15" t="n">
        <f aca="false">Qh+Rh*B42^2</f>
        <v>0.0037</v>
      </c>
      <c r="E42" s="19" t="n">
        <f aca="false">Sig^2/(2*C42)</f>
        <v>69.3826826087347</v>
      </c>
      <c r="F42" s="9" t="n">
        <v>1</v>
      </c>
      <c r="G42" s="17" t="n">
        <f aca="false">D0h^2*EXP(-2*C42*F42)+E42*(1-EXP(-2*C42*F42))</f>
        <v>457.184254731115</v>
      </c>
      <c r="H42" s="16" t="n">
        <f aca="false">D42*((D0h^2-E42)*(1-EXP(-(2*C42+Rho)*F42))/(2*C42+Rho)+E42*(1-EXP(-Rho*F42))/Rho)</f>
        <v>10.8610383879675</v>
      </c>
      <c r="I42" s="16" t="n">
        <f aca="false">H42+EXP(-Rho*F42)*($B$5*G42+Sig^2*$B$5/Rho)</f>
        <v>13.1761249365405</v>
      </c>
    </row>
    <row r="43" customFormat="false" ht="15" hidden="false" customHeight="false" outlineLevel="0" collapsed="false">
      <c r="A43" s="2" t="s">
        <v>351</v>
      </c>
      <c r="B43" s="16" t="n">
        <f aca="false">Kcaut</f>
        <v>2</v>
      </c>
      <c r="C43" s="16" t="n">
        <f aca="false">Ah+Bh*B43</f>
        <v>1.62144206263131</v>
      </c>
      <c r="D43" s="15" t="n">
        <f aca="false">Qh+Rh*B43^2</f>
        <v>0.0037</v>
      </c>
      <c r="E43" s="19" t="n">
        <f aca="false">Sig^2/(2*C43)</f>
        <v>69.3826826087347</v>
      </c>
      <c r="F43" s="9" t="n">
        <v>2</v>
      </c>
      <c r="G43" s="17" t="n">
        <f aca="false">D0h^2*EXP(-2*C43*F43)+E43*(1-EXP(-2*C43*F43))</f>
        <v>84.5267622297684</v>
      </c>
      <c r="H43" s="16" t="n">
        <f aca="false">D43*((D0h^2-E43)*(1-EXP(-(2*C43+Rho)*F43))/(2*C43+Rho)+E43*(1-EXP(-Rho*F43))/Rho)</f>
        <v>11.4605248517475</v>
      </c>
      <c r="I43" s="16" t="n">
        <f aca="false">H43+EXP(-Rho*F43)*($B$5*G43+Sig^2*$B$5/Rho)</f>
        <v>13.286819500329</v>
      </c>
    </row>
    <row r="44" customFormat="false" ht="15" hidden="false" customHeight="false" outlineLevel="0" collapsed="false">
      <c r="A44" s="2" t="s">
        <v>351</v>
      </c>
      <c r="B44" s="16" t="n">
        <f aca="false">Kcaut</f>
        <v>2</v>
      </c>
      <c r="C44" s="16" t="n">
        <f aca="false">Ah+Bh*B44</f>
        <v>1.62144206263131</v>
      </c>
      <c r="D44" s="15" t="n">
        <f aca="false">Qh+Rh*B44^2</f>
        <v>0.0037</v>
      </c>
      <c r="E44" s="19" t="n">
        <f aca="false">Sig^2/(2*C44)</f>
        <v>69.3826826087347</v>
      </c>
      <c r="F44" s="9" t="n">
        <v>5</v>
      </c>
      <c r="G44" s="17" t="n">
        <f aca="false">D0h^2*EXP(-2*C44*F44)+E44*(1-EXP(-2*C44*F44))</f>
        <v>69.3835844764513</v>
      </c>
      <c r="H44" s="16" t="n">
        <f aca="false">D44*((D0h^2-E44)*(1-EXP(-(2*C44+Rho)*F44))/(2*C44+Rho)+E44*(1-EXP(-Rho*F44))/Rho)</f>
        <v>12.027973571344</v>
      </c>
      <c r="I44" s="16" t="n">
        <f aca="false">H44+EXP(-Rho*F44)*($B$5*G44+Sig^2*$B$5/Rho)</f>
        <v>13.3915983273471</v>
      </c>
    </row>
    <row r="45" customFormat="false" ht="15" hidden="false" customHeight="false" outlineLevel="0" collapsed="false">
      <c r="A45" s="2" t="s">
        <v>352</v>
      </c>
      <c r="B45" s="16" t="n">
        <f aca="false">Kcaut</f>
        <v>2</v>
      </c>
      <c r="C45" s="16" t="n">
        <f aca="false">Ah+Bh*B45</f>
        <v>1.62144206263131</v>
      </c>
      <c r="D45" s="15" t="n">
        <f aca="false">Qh+Rh*B45^2</f>
        <v>0.0037</v>
      </c>
      <c r="E45" s="19" t="n">
        <f aca="false">Sig^2/(2*C45)</f>
        <v>69.3826826087347</v>
      </c>
      <c r="I45" s="16" t="n">
        <f aca="false">D45*((D0h^2-E45)/(2*C45+Rho)+E45/Rho)</f>
        <v>13.7004124618278</v>
      </c>
    </row>
    <row r="47" customFormat="false" ht="15" hidden="false" customHeight="false" outlineLevel="0" collapsed="false">
      <c r="A47" s="10" t="s">
        <v>353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90"/>
  </cols>
  <sheetData>
    <row r="1" customFormat="false" ht="15" hidden="false" customHeight="false" outlineLevel="0" collapsed="false">
      <c r="A1" s="8" t="s">
        <v>354</v>
      </c>
      <c r="B1" s="8" t="s">
        <v>355</v>
      </c>
      <c r="C1" s="8" t="s">
        <v>356</v>
      </c>
    </row>
    <row r="2" customFormat="false" ht="15" hidden="false" customHeight="false" outlineLevel="0" collapsed="false">
      <c r="A2" s="2" t="s">
        <v>94</v>
      </c>
      <c r="B2" s="40" t="n">
        <v>481.950382357786</v>
      </c>
      <c r="C2" s="2" t="s">
        <v>357</v>
      </c>
    </row>
    <row r="3" customFormat="false" ht="15" hidden="false" customHeight="false" outlineLevel="0" collapsed="false">
      <c r="A3" s="2" t="s">
        <v>358</v>
      </c>
      <c r="B3" s="40" t="n">
        <v>24.8</v>
      </c>
      <c r="C3" s="2" t="s">
        <v>359</v>
      </c>
    </row>
    <row r="4" customFormat="false" ht="15" hidden="false" customHeight="false" outlineLevel="0" collapsed="false">
      <c r="A4" s="2" t="s">
        <v>360</v>
      </c>
      <c r="B4" s="40" t="n">
        <v>0.0173417743507464</v>
      </c>
      <c r="C4" s="2" t="s">
        <v>361</v>
      </c>
    </row>
    <row r="5" customFormat="false" ht="15" hidden="false" customHeight="false" outlineLevel="0" collapsed="false">
      <c r="A5" s="2" t="s">
        <v>362</v>
      </c>
      <c r="B5" s="40" t="n">
        <v>0.00513222524226187</v>
      </c>
      <c r="C5" s="2" t="s">
        <v>363</v>
      </c>
    </row>
    <row r="6" customFormat="false" ht="15" hidden="false" customHeight="false" outlineLevel="0" collapsed="false">
      <c r="A6" s="2" t="s">
        <v>364</v>
      </c>
      <c r="B6" s="40" t="n">
        <v>0.11165202039197</v>
      </c>
      <c r="C6" s="2" t="s">
        <v>365</v>
      </c>
    </row>
    <row r="7" customFormat="false" ht="15" hidden="false" customHeight="false" outlineLevel="0" collapsed="false">
      <c r="A7" s="2" t="s">
        <v>366</v>
      </c>
      <c r="B7" s="40" t="n">
        <v>0.299407765962917</v>
      </c>
      <c r="C7" s="2" t="s">
        <v>367</v>
      </c>
    </row>
    <row r="8" customFormat="false" ht="15" hidden="false" customHeight="false" outlineLevel="0" collapsed="false">
      <c r="A8" s="2" t="s">
        <v>368</v>
      </c>
      <c r="B8" s="40" t="n">
        <v>0.036980937484194</v>
      </c>
      <c r="C8" s="2" t="s">
        <v>369</v>
      </c>
    </row>
    <row r="9" customFormat="false" ht="15" hidden="false" customHeight="false" outlineLevel="0" collapsed="false">
      <c r="A9" s="2" t="s">
        <v>370</v>
      </c>
      <c r="B9" s="40" t="n">
        <v>170</v>
      </c>
      <c r="C9" s="2" t="s">
        <v>371</v>
      </c>
    </row>
    <row r="10" customFormat="false" ht="15" hidden="false" customHeight="false" outlineLevel="0" collapsed="false">
      <c r="A10" s="2" t="s">
        <v>372</v>
      </c>
      <c r="B10" s="40" t="n">
        <v>5.1</v>
      </c>
      <c r="C10" s="2" t="s">
        <v>127</v>
      </c>
    </row>
    <row r="11" customFormat="false" ht="15" hidden="false" customHeight="false" outlineLevel="0" collapsed="false">
      <c r="A11" s="2" t="s">
        <v>373</v>
      </c>
      <c r="B11" s="40" t="n">
        <v>5.34061089141301</v>
      </c>
      <c r="C11" s="2" t="s">
        <v>128</v>
      </c>
    </row>
    <row r="12" customFormat="false" ht="15" hidden="false" customHeight="false" outlineLevel="0" collapsed="false">
      <c r="A12" s="2" t="s">
        <v>374</v>
      </c>
      <c r="B12" s="40" t="n">
        <v>10.440610891413</v>
      </c>
      <c r="C12" s="2" t="s">
        <v>129</v>
      </c>
    </row>
    <row r="13" customFormat="false" ht="15" hidden="false" customHeight="false" outlineLevel="0" collapsed="false">
      <c r="A13" s="2" t="s">
        <v>134</v>
      </c>
      <c r="B13" s="40" t="n">
        <v>0.000689202437604511</v>
      </c>
      <c r="C13" s="2" t="s">
        <v>135</v>
      </c>
    </row>
    <row r="14" customFormat="false" ht="15" hidden="false" customHeight="false" outlineLevel="0" collapsed="false">
      <c r="A14" s="2" t="s">
        <v>375</v>
      </c>
      <c r="B14" s="40" t="n">
        <v>1.34938582520462</v>
      </c>
      <c r="C14" s="2" t="s">
        <v>376</v>
      </c>
    </row>
    <row r="15" customFormat="false" ht="15" hidden="false" customHeight="false" outlineLevel="0" collapsed="false">
      <c r="A15" s="2" t="s">
        <v>377</v>
      </c>
      <c r="B15" s="40" t="n">
        <v>10.2761119927039</v>
      </c>
      <c r="C15" s="2" t="s">
        <v>143</v>
      </c>
    </row>
    <row r="16" customFormat="false" ht="15" hidden="false" customHeight="false" outlineLevel="0" collapsed="false">
      <c r="A16" s="2" t="s">
        <v>378</v>
      </c>
      <c r="B16" s="40" t="n">
        <v>1.86051697210678</v>
      </c>
      <c r="C16" s="2" t="s">
        <v>149</v>
      </c>
    </row>
    <row r="17" customFormat="false" ht="15" hidden="false" customHeight="false" outlineLevel="0" collapsed="false">
      <c r="A17" s="2" t="s">
        <v>379</v>
      </c>
      <c r="B17" s="40" t="n">
        <v>18.3142118794975</v>
      </c>
      <c r="C17" s="2" t="s">
        <v>156</v>
      </c>
    </row>
    <row r="18" customFormat="false" ht="15" hidden="false" customHeight="false" outlineLevel="0" collapsed="false">
      <c r="A18" s="2" t="s">
        <v>380</v>
      </c>
      <c r="B18" s="40" t="n">
        <v>7.87360098808445</v>
      </c>
      <c r="C18" s="2" t="s">
        <v>160</v>
      </c>
    </row>
    <row r="19" customFormat="false" ht="15" hidden="false" customHeight="false" outlineLevel="0" collapsed="false">
      <c r="A19" s="2" t="s">
        <v>381</v>
      </c>
      <c r="B19" s="40" t="n">
        <v>0.0784</v>
      </c>
      <c r="C19" s="2" t="s">
        <v>164</v>
      </c>
    </row>
    <row r="20" customFormat="false" ht="15" hidden="false" customHeight="false" outlineLevel="0" collapsed="false">
      <c r="A20" s="2" t="s">
        <v>382</v>
      </c>
      <c r="B20" s="40" t="n">
        <v>6.685510856317E-005</v>
      </c>
      <c r="C20" s="2" t="s">
        <v>383</v>
      </c>
    </row>
    <row r="21" customFormat="false" ht="15" hidden="false" customHeight="false" outlineLevel="0" collapsed="false">
      <c r="A21" s="2" t="s">
        <v>384</v>
      </c>
      <c r="B21" s="40" t="n">
        <v>0.00124887659430747</v>
      </c>
      <c r="C21" s="2" t="s">
        <v>385</v>
      </c>
    </row>
    <row r="22" customFormat="false" ht="15" hidden="false" customHeight="false" outlineLevel="0" collapsed="false">
      <c r="A22" s="2" t="s">
        <v>386</v>
      </c>
      <c r="B22" s="40" t="n">
        <v>0.512450537085221</v>
      </c>
      <c r="C22" s="2" t="s">
        <v>387</v>
      </c>
    </row>
    <row r="23" customFormat="false" ht="15" hidden="false" customHeight="false" outlineLevel="0" collapsed="false">
      <c r="A23" s="2" t="s">
        <v>388</v>
      </c>
      <c r="B23" s="40" t="n">
        <v>0.28650479686019</v>
      </c>
      <c r="C23" s="2" t="s">
        <v>389</v>
      </c>
    </row>
    <row r="24" customFormat="false" ht="15" hidden="false" customHeight="false" outlineLevel="0" collapsed="false">
      <c r="A24" s="2" t="s">
        <v>390</v>
      </c>
      <c r="B24" s="40" t="n">
        <v>0.882496902584595</v>
      </c>
      <c r="C24" s="2" t="s">
        <v>391</v>
      </c>
    </row>
    <row r="25" customFormat="false" ht="15" hidden="false" customHeight="false" outlineLevel="0" collapsed="false">
      <c r="A25" s="2" t="s">
        <v>392</v>
      </c>
      <c r="B25" s="40" t="n">
        <v>0.00112670582003522</v>
      </c>
      <c r="C25" s="2" t="s">
        <v>393</v>
      </c>
    </row>
    <row r="26" customFormat="false" ht="15" hidden="false" customHeight="false" outlineLevel="0" collapsed="false">
      <c r="A26" s="2" t="s">
        <v>394</v>
      </c>
      <c r="B26" s="40" t="n">
        <v>0.324099140747028</v>
      </c>
      <c r="C26" s="2" t="s">
        <v>395</v>
      </c>
    </row>
    <row r="27" customFormat="false" ht="15" hidden="false" customHeight="false" outlineLevel="0" collapsed="false">
      <c r="A27" s="2" t="s">
        <v>396</v>
      </c>
      <c r="B27" s="40" t="n">
        <v>0.00756445041488255</v>
      </c>
      <c r="C27" s="2" t="s">
        <v>397</v>
      </c>
    </row>
    <row r="28" customFormat="false" ht="15" hidden="false" customHeight="false" outlineLevel="0" collapsed="false">
      <c r="A28" s="2" t="s">
        <v>398</v>
      </c>
      <c r="B28" s="40" t="n">
        <v>10.6180040153954</v>
      </c>
      <c r="C28" s="2" t="s">
        <v>399</v>
      </c>
    </row>
    <row r="29" customFormat="false" ht="15" hidden="false" customHeight="false" outlineLevel="0" collapsed="false">
      <c r="A29" s="2" t="s">
        <v>400</v>
      </c>
      <c r="B29" s="40" t="n">
        <v>10.8894244525997</v>
      </c>
      <c r="C29" s="2" t="s">
        <v>401</v>
      </c>
    </row>
    <row r="30" customFormat="false" ht="15" hidden="false" customHeight="false" outlineLevel="0" collapsed="false">
      <c r="A30" s="2" t="s">
        <v>402</v>
      </c>
      <c r="B30" s="40" t="n">
        <v>11.4063985311082</v>
      </c>
      <c r="C30" s="2" t="s">
        <v>403</v>
      </c>
    </row>
    <row r="31" customFormat="false" ht="15" hidden="false" customHeight="false" outlineLevel="0" collapsed="false">
      <c r="A31" s="2" t="s">
        <v>404</v>
      </c>
      <c r="B31" s="40" t="n">
        <v>12.3057393602841</v>
      </c>
      <c r="C31" s="2" t="s">
        <v>405</v>
      </c>
    </row>
    <row r="32" customFormat="false" ht="15" hidden="false" customHeight="false" outlineLevel="0" collapsed="false">
      <c r="A32" s="2" t="s">
        <v>406</v>
      </c>
      <c r="B32" s="40" t="n">
        <v>10.3787822594993</v>
      </c>
      <c r="C32" s="2" t="s">
        <v>407</v>
      </c>
    </row>
    <row r="33" customFormat="false" ht="15" hidden="false" customHeight="false" outlineLevel="0" collapsed="false">
      <c r="A33" s="2" t="s">
        <v>408</v>
      </c>
      <c r="B33" s="40" t="n">
        <v>10.2979059201661</v>
      </c>
      <c r="C33" s="2" t="s">
        <v>409</v>
      </c>
    </row>
    <row r="34" customFormat="false" ht="15" hidden="false" customHeight="false" outlineLevel="0" collapsed="false">
      <c r="A34" s="2" t="s">
        <v>410</v>
      </c>
      <c r="B34" s="40" t="n">
        <v>10.2334325542502</v>
      </c>
      <c r="C34" s="2" t="s">
        <v>411</v>
      </c>
    </row>
    <row r="35" customFormat="false" ht="15" hidden="false" customHeight="false" outlineLevel="0" collapsed="false">
      <c r="A35" s="2" t="s">
        <v>412</v>
      </c>
      <c r="B35" s="40" t="n">
        <v>10.3053576198739</v>
      </c>
      <c r="C35" s="2" t="s">
        <v>413</v>
      </c>
    </row>
    <row r="36" customFormat="false" ht="15" hidden="false" customHeight="false" outlineLevel="0" collapsed="false">
      <c r="A36" s="2" t="s">
        <v>414</v>
      </c>
      <c r="B36" s="40" t="n">
        <v>10.3487238965554</v>
      </c>
      <c r="C36" s="2" t="s">
        <v>415</v>
      </c>
    </row>
    <row r="37" customFormat="false" ht="15" hidden="false" customHeight="false" outlineLevel="0" collapsed="false">
      <c r="A37" s="2" t="s">
        <v>416</v>
      </c>
      <c r="B37" s="40" t="n">
        <v>10.4288600766637</v>
      </c>
      <c r="C37" s="2" t="s">
        <v>417</v>
      </c>
    </row>
    <row r="38" customFormat="false" ht="15" hidden="false" customHeight="false" outlineLevel="0" collapsed="false">
      <c r="A38" s="2" t="s">
        <v>418</v>
      </c>
      <c r="B38" s="40" t="n">
        <v>3</v>
      </c>
      <c r="C38" s="2" t="s">
        <v>419</v>
      </c>
    </row>
    <row r="39" customFormat="false" ht="15" hidden="false" customHeight="false" outlineLevel="0" collapsed="false">
      <c r="A39" s="2" t="s">
        <v>420</v>
      </c>
      <c r="B39" s="40" t="n">
        <v>0.207178337162823</v>
      </c>
      <c r="C39" s="2" t="s">
        <v>209</v>
      </c>
    </row>
    <row r="40" customFormat="false" ht="15" hidden="false" customHeight="false" outlineLevel="0" collapsed="false">
      <c r="A40" s="2" t="s">
        <v>421</v>
      </c>
      <c r="B40" s="40" t="n">
        <v>0.155646198095455</v>
      </c>
      <c r="C40" s="2" t="s">
        <v>224</v>
      </c>
    </row>
    <row r="41" customFormat="false" ht="15" hidden="false" customHeight="false" outlineLevel="0" collapsed="false">
      <c r="A41" s="2" t="s">
        <v>422</v>
      </c>
      <c r="B41" s="40" t="n">
        <v>10.1951695847636</v>
      </c>
      <c r="C41" s="2" t="s">
        <v>423</v>
      </c>
    </row>
    <row r="42" customFormat="false" ht="15" hidden="false" customHeight="false" outlineLevel="0" collapsed="false">
      <c r="A42" s="2" t="s">
        <v>424</v>
      </c>
      <c r="B42" s="40" t="n">
        <v>0.24544130664937</v>
      </c>
      <c r="C42" s="2" t="s">
        <v>227</v>
      </c>
    </row>
    <row r="43" customFormat="false" ht="15" hidden="false" customHeight="false" outlineLevel="0" collapsed="false">
      <c r="A43" s="2" t="s">
        <v>425</v>
      </c>
      <c r="B43" s="40" t="n">
        <v>0.0235083281239066</v>
      </c>
      <c r="C43" s="2" t="s">
        <v>229</v>
      </c>
    </row>
    <row r="44" customFormat="false" ht="15" hidden="false" customHeight="false" outlineLevel="0" collapsed="false">
      <c r="A44" s="2" t="s">
        <v>255</v>
      </c>
      <c r="B44" s="40" t="n">
        <v>10.0039124878401</v>
      </c>
      <c r="C44" s="2" t="s">
        <v>426</v>
      </c>
    </row>
    <row r="45" customFormat="false" ht="15" hidden="false" customHeight="false" outlineLevel="0" collapsed="false">
      <c r="A45" s="2" t="s">
        <v>427</v>
      </c>
      <c r="B45" s="40" t="n">
        <v>4.8668342023335</v>
      </c>
      <c r="C45" s="2" t="s">
        <v>428</v>
      </c>
    </row>
    <row r="46" customFormat="false" ht="15" hidden="false" customHeight="false" outlineLevel="0" collapsed="false">
      <c r="A46" s="2" t="s">
        <v>429</v>
      </c>
      <c r="B46" s="40" t="n">
        <v>0.0571480395183699</v>
      </c>
      <c r="C46" s="2" t="s">
        <v>430</v>
      </c>
    </row>
    <row r="47" customFormat="false" ht="15" hidden="false" customHeight="false" outlineLevel="0" collapsed="false">
      <c r="A47" s="2" t="s">
        <v>431</v>
      </c>
      <c r="B47" s="40" t="n">
        <v>10.4850608710364</v>
      </c>
      <c r="C47" s="2" t="s">
        <v>432</v>
      </c>
    </row>
    <row r="48" customFormat="false" ht="15" hidden="false" customHeight="false" outlineLevel="0" collapsed="false">
      <c r="A48" s="2" t="s">
        <v>433</v>
      </c>
      <c r="B48" s="40" t="n">
        <v>6.32262909672778</v>
      </c>
      <c r="C48" s="2" t="s">
        <v>434</v>
      </c>
    </row>
    <row r="49" customFormat="false" ht="15" hidden="false" customHeight="false" outlineLevel="0" collapsed="false">
      <c r="A49" s="2" t="s">
        <v>435</v>
      </c>
      <c r="B49" s="40" t="n">
        <v>4.11798179468523</v>
      </c>
      <c r="C49" s="2" t="s">
        <v>280</v>
      </c>
    </row>
    <row r="50" customFormat="false" ht="15" hidden="false" customHeight="false" outlineLevel="0" collapsed="false">
      <c r="A50" s="2" t="s">
        <v>436</v>
      </c>
      <c r="B50" s="40" t="n">
        <v>28.1764296419628</v>
      </c>
      <c r="C50" s="2" t="s">
        <v>287</v>
      </c>
    </row>
    <row r="51" customFormat="false" ht="15" hidden="false" customHeight="false" outlineLevel="0" collapsed="false">
      <c r="A51" s="2" t="s">
        <v>437</v>
      </c>
      <c r="B51" s="40" t="n">
        <v>2.29493313073604</v>
      </c>
      <c r="C51" s="2" t="s">
        <v>291</v>
      </c>
    </row>
    <row r="52" customFormat="false" ht="15" hidden="false" customHeight="false" outlineLevel="0" collapsed="false">
      <c r="A52" s="2" t="s">
        <v>438</v>
      </c>
      <c r="B52" s="40" t="n">
        <v>0.0814486845884201</v>
      </c>
      <c r="C52" s="2" t="s">
        <v>439</v>
      </c>
    </row>
    <row r="53" customFormat="false" ht="15" hidden="false" customHeight="false" outlineLevel="0" collapsed="false">
      <c r="A53" s="2" t="s">
        <v>440</v>
      </c>
      <c r="B53" s="40" t="n">
        <v>0.000903721742949847</v>
      </c>
      <c r="C53" s="2" t="s">
        <v>441</v>
      </c>
    </row>
    <row r="54" customFormat="false" ht="15" hidden="false" customHeight="false" outlineLevel="0" collapsed="false">
      <c r="A54" s="2" t="s">
        <v>442</v>
      </c>
      <c r="B54" s="40" t="n">
        <v>4.33786436615926</v>
      </c>
      <c r="C54" s="2" t="s">
        <v>305</v>
      </c>
    </row>
    <row r="55" customFormat="false" ht="15" hidden="false" customHeight="false" outlineLevel="0" collapsed="false">
      <c r="A55" s="2" t="s">
        <v>443</v>
      </c>
      <c r="B55" s="40" t="n">
        <v>0.203337392163716</v>
      </c>
      <c r="C55" s="2" t="s">
        <v>444</v>
      </c>
    </row>
    <row r="56" customFormat="false" ht="15" hidden="false" customHeight="false" outlineLevel="0" collapsed="false">
      <c r="A56" s="2" t="s">
        <v>445</v>
      </c>
      <c r="B56" s="40" t="n">
        <v>2.13342785189551</v>
      </c>
      <c r="C56" s="2" t="s">
        <v>446</v>
      </c>
    </row>
    <row r="57" customFormat="false" ht="15" hidden="false" customHeight="false" outlineLevel="0" collapsed="false">
      <c r="A57" s="2" t="s">
        <v>447</v>
      </c>
      <c r="B57" s="40" t="n">
        <v>11.170645281394</v>
      </c>
      <c r="C57" s="2" t="s">
        <v>448</v>
      </c>
    </row>
    <row r="58" customFormat="false" ht="15" hidden="false" customHeight="false" outlineLevel="0" collapsed="false">
      <c r="A58" s="2" t="s">
        <v>449</v>
      </c>
      <c r="B58" s="40" t="n">
        <v>0.938194305066936</v>
      </c>
      <c r="C58" s="2" t="s">
        <v>450</v>
      </c>
    </row>
    <row r="59" customFormat="false" ht="15" hidden="false" customHeight="false" outlineLevel="0" collapsed="false">
      <c r="A59" s="2" t="s">
        <v>451</v>
      </c>
      <c r="B59" s="40" t="n">
        <v>4.16142098339816</v>
      </c>
      <c r="C59" s="2" t="s">
        <v>452</v>
      </c>
    </row>
    <row r="60" customFormat="false" ht="15" hidden="false" customHeight="false" outlineLevel="0" collapsed="false">
      <c r="A60" s="2" t="s">
        <v>453</v>
      </c>
      <c r="B60" s="40" t="n">
        <v>0.000931573890463994</v>
      </c>
      <c r="C60" s="2" t="s">
        <v>454</v>
      </c>
    </row>
    <row r="61" customFormat="false" ht="15" hidden="false" customHeight="false" outlineLevel="0" collapsed="false">
      <c r="A61" s="2" t="s">
        <v>455</v>
      </c>
      <c r="B61" s="40" t="n">
        <v>11.5149176889495</v>
      </c>
      <c r="C61" s="2" t="s">
        <v>456</v>
      </c>
    </row>
    <row r="62" customFormat="false" ht="15" hidden="false" customHeight="false" outlineLevel="0" collapsed="false">
      <c r="A62" s="2" t="s">
        <v>457</v>
      </c>
      <c r="B62" s="40" t="n">
        <v>3.68214515201215</v>
      </c>
      <c r="C62" s="2" t="s">
        <v>458</v>
      </c>
    </row>
    <row r="63" customFormat="false" ht="15" hidden="false" customHeight="false" outlineLevel="0" collapsed="false">
      <c r="A63" s="2" t="s">
        <v>459</v>
      </c>
      <c r="B63" s="40" t="n">
        <v>0.00101668591394629</v>
      </c>
      <c r="C63" s="2" t="s">
        <v>460</v>
      </c>
    </row>
    <row r="64" customFormat="false" ht="15" hidden="false" customHeight="false" outlineLevel="0" collapsed="false">
      <c r="A64" s="2" t="s">
        <v>461</v>
      </c>
      <c r="B64" s="40" t="n">
        <v>12.5669630014801</v>
      </c>
      <c r="C64" s="2" t="s">
        <v>462</v>
      </c>
    </row>
    <row r="65" customFormat="false" ht="15" hidden="false" customHeight="false" outlineLevel="0" collapsed="false">
      <c r="A65" s="2" t="s">
        <v>463</v>
      </c>
      <c r="B65" s="40" t="n">
        <v>11.5235966114608</v>
      </c>
      <c r="C65" s="2" t="s">
        <v>464</v>
      </c>
    </row>
    <row r="66" customFormat="false" ht="15" hidden="false" customHeight="false" outlineLevel="0" collapsed="false">
      <c r="A66" s="2" t="s">
        <v>465</v>
      </c>
      <c r="B66" s="40" t="n">
        <v>12.7302874837429</v>
      </c>
      <c r="C66" s="2" t="s">
        <v>466</v>
      </c>
    </row>
    <row r="67" customFormat="false" ht="15" hidden="false" customHeight="false" outlineLevel="0" collapsed="false">
      <c r="A67" s="2" t="s">
        <v>467</v>
      </c>
      <c r="B67" s="40" t="n">
        <v>0.00867892251129554</v>
      </c>
      <c r="C67" s="2" t="s">
        <v>468</v>
      </c>
    </row>
    <row r="68" customFormat="false" ht="15" hidden="false" customHeight="false" outlineLevel="0" collapsed="false">
      <c r="A68" s="2" t="s">
        <v>469</v>
      </c>
      <c r="B68" s="40" t="n">
        <v>0.163324482262787</v>
      </c>
      <c r="C68" s="2" t="s">
        <v>470</v>
      </c>
    </row>
    <row r="69" customFormat="false" ht="15" hidden="false" customHeight="false" outlineLevel="0" collapsed="false">
      <c r="A69" s="2" t="s">
        <v>471</v>
      </c>
      <c r="B69" s="40" t="n">
        <v>0.00094136400922624</v>
      </c>
      <c r="C69" s="2" t="s">
        <v>323</v>
      </c>
    </row>
    <row r="70" customFormat="false" ht="15" hidden="false" customHeight="false" outlineLevel="0" collapsed="false">
      <c r="A70" s="2" t="s">
        <v>472</v>
      </c>
      <c r="B70" s="40" t="n">
        <v>4.51854724428595</v>
      </c>
      <c r="C70" s="2" t="s">
        <v>473</v>
      </c>
    </row>
    <row r="71" customFormat="false" ht="15" hidden="false" customHeight="false" outlineLevel="0" collapsed="false">
      <c r="A71" s="2" t="s">
        <v>474</v>
      </c>
      <c r="B71" s="40" t="n">
        <v>4.65902616530473</v>
      </c>
      <c r="C71" s="2" t="s">
        <v>475</v>
      </c>
    </row>
    <row r="72" customFormat="false" ht="15" hidden="false" customHeight="false" outlineLevel="0" collapsed="false">
      <c r="A72" s="2" t="s">
        <v>476</v>
      </c>
      <c r="B72" s="40" t="n">
        <v>5.07001632964462</v>
      </c>
      <c r="C72" s="2" t="s">
        <v>477</v>
      </c>
    </row>
    <row r="73" customFormat="false" ht="15" hidden="false" customHeight="false" outlineLevel="0" collapsed="false">
      <c r="A73" s="2" t="s">
        <v>478</v>
      </c>
      <c r="B73" s="40" t="n">
        <v>5.62438279734186</v>
      </c>
      <c r="C73" s="2" t="s">
        <v>479</v>
      </c>
    </row>
    <row r="74" customFormat="false" ht="15" hidden="false" customHeight="false" outlineLevel="0" collapsed="false">
      <c r="A74" s="2" t="s">
        <v>480</v>
      </c>
      <c r="B74" s="40" t="n">
        <v>11.2832103299206</v>
      </c>
      <c r="C74" s="2" t="s">
        <v>481</v>
      </c>
    </row>
    <row r="75" customFormat="false" ht="15" hidden="false" customHeight="false" outlineLevel="0" collapsed="false">
      <c r="A75" s="2" t="s">
        <v>482</v>
      </c>
      <c r="B75" s="40" t="n">
        <v>20.620973927315</v>
      </c>
      <c r="C75" s="2" t="s">
        <v>483</v>
      </c>
    </row>
    <row r="76" customFormat="false" ht="15" hidden="false" customHeight="false" outlineLevel="0" collapsed="false">
      <c r="A76" s="2" t="s">
        <v>484</v>
      </c>
      <c r="B76" s="40" t="n">
        <v>9.70630451105152</v>
      </c>
      <c r="C76" s="2" t="s">
        <v>485</v>
      </c>
    </row>
    <row r="77" customFormat="false" ht="15" hidden="false" customHeight="false" outlineLevel="0" collapsed="false">
      <c r="A77" s="2" t="s">
        <v>486</v>
      </c>
      <c r="B77" s="40" t="n">
        <v>42.9603623485728</v>
      </c>
      <c r="C77" s="2" t="s">
        <v>487</v>
      </c>
    </row>
    <row r="78" customFormat="false" ht="15" hidden="false" customHeight="false" outlineLevel="0" collapsed="false">
      <c r="A78" s="2" t="s">
        <v>488</v>
      </c>
      <c r="B78" s="40" t="n">
        <v>6.4</v>
      </c>
      <c r="C78" s="2" t="s">
        <v>489</v>
      </c>
    </row>
    <row r="79" customFormat="false" ht="15" hidden="false" customHeight="false" outlineLevel="0" collapsed="false">
      <c r="A79" s="2" t="s">
        <v>490</v>
      </c>
      <c r="B79" s="40" t="n">
        <v>6.55281398507987</v>
      </c>
      <c r="C79" s="2" t="s">
        <v>491</v>
      </c>
    </row>
    <row r="80" customFormat="false" ht="15" hidden="false" customHeight="false" outlineLevel="0" collapsed="false">
      <c r="A80" s="2" t="s">
        <v>336</v>
      </c>
      <c r="B80" s="40" t="n">
        <v>0.00682161463295537</v>
      </c>
      <c r="C80" s="2" t="s">
        <v>337</v>
      </c>
    </row>
    <row r="81" customFormat="false" ht="15" hidden="false" customHeight="false" outlineLevel="0" collapsed="false">
      <c r="A81" s="2" t="s">
        <v>492</v>
      </c>
      <c r="B81" s="40" t="n">
        <v>32.7437502381858</v>
      </c>
      <c r="C81" s="2" t="s">
        <v>339</v>
      </c>
    </row>
    <row r="82" customFormat="false" ht="15" hidden="false" customHeight="false" outlineLevel="0" collapsed="false">
      <c r="A82" s="2" t="s">
        <v>493</v>
      </c>
      <c r="B82" s="40" t="n">
        <v>11.170645281394</v>
      </c>
      <c r="C82" s="2" t="s">
        <v>494</v>
      </c>
    </row>
    <row r="83" customFormat="false" ht="15" hidden="false" customHeight="false" outlineLevel="0" collapsed="false">
      <c r="A83" s="2" t="s">
        <v>495</v>
      </c>
      <c r="B83" s="40" t="n">
        <v>11.170645281394</v>
      </c>
      <c r="C83" s="2" t="s">
        <v>496</v>
      </c>
    </row>
    <row r="84" customFormat="false" ht="15" hidden="false" customHeight="false" outlineLevel="0" collapsed="false">
      <c r="A84" s="2" t="s">
        <v>497</v>
      </c>
      <c r="B84" s="40" t="n">
        <v>11.170645281394</v>
      </c>
      <c r="C84" s="2" t="s">
        <v>494</v>
      </c>
    </row>
    <row r="85" customFormat="false" ht="15" hidden="false" customHeight="false" outlineLevel="0" collapsed="false">
      <c r="A85" s="2" t="s">
        <v>498</v>
      </c>
      <c r="B85" s="40" t="n">
        <v>13.1761249365405</v>
      </c>
      <c r="C85" s="2" t="s">
        <v>499</v>
      </c>
    </row>
    <row r="86" customFormat="false" ht="15" hidden="false" customHeight="false" outlineLevel="0" collapsed="false">
      <c r="A86" s="2" t="s">
        <v>500</v>
      </c>
      <c r="B86" s="40" t="n">
        <v>13.286819500329</v>
      </c>
      <c r="C86" s="2" t="s">
        <v>501</v>
      </c>
    </row>
    <row r="87" customFormat="false" ht="15" hidden="false" customHeight="false" outlineLevel="0" collapsed="false">
      <c r="A87" s="2" t="s">
        <v>502</v>
      </c>
      <c r="B87" s="40" t="n">
        <v>13.3915983273471</v>
      </c>
      <c r="C87" s="2" t="s">
        <v>503</v>
      </c>
    </row>
    <row r="88" customFormat="false" ht="15" hidden="false" customHeight="false" outlineLevel="0" collapsed="false">
      <c r="A88" s="2" t="s">
        <v>504</v>
      </c>
      <c r="B88" s="40" t="n">
        <v>13.7004124618278</v>
      </c>
      <c r="C88" s="2" t="s">
        <v>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16"/>
    <col collapsed="false" customWidth="true" hidden="false" outlineLevel="0" max="5" min="4" style="0" width="11"/>
    <col collapsed="false" customWidth="true" hidden="false" outlineLevel="0" max="6" min="6" style="0" width="10"/>
  </cols>
  <sheetData>
    <row r="1" customFormat="false" ht="15" hidden="false" customHeight="false" outlineLevel="0" collapsed="false">
      <c r="A1" s="8" t="s">
        <v>354</v>
      </c>
      <c r="B1" s="8" t="s">
        <v>506</v>
      </c>
      <c r="C1" s="8" t="s">
        <v>355</v>
      </c>
      <c r="D1" s="8" t="s">
        <v>507</v>
      </c>
      <c r="E1" s="8" t="s">
        <v>508</v>
      </c>
      <c r="F1" s="8" t="s">
        <v>509</v>
      </c>
    </row>
    <row r="2" customFormat="false" ht="15" hidden="false" customHeight="false" outlineLevel="0" collapsed="false">
      <c r="A2" s="2" t="s">
        <v>94</v>
      </c>
      <c r="B2" s="15" t="n">
        <f aca="false">Plan!B19</f>
        <v>481.950382357786</v>
      </c>
      <c r="C2" s="41" t="n">
        <f aca="false">Reference_Values!B2</f>
        <v>481.950382357786</v>
      </c>
      <c r="D2" s="42" t="n">
        <f aca="false">ABS(B2-C2)</f>
        <v>0</v>
      </c>
      <c r="E2" s="43" t="n">
        <v>1E-009</v>
      </c>
      <c r="F2" s="4" t="str">
        <f aca="false">IF(D2&lt;=E2,"PASS","FAIL")</f>
        <v>PASS</v>
      </c>
    </row>
    <row r="3" customFormat="false" ht="15" hidden="false" customHeight="false" outlineLevel="0" collapsed="false">
      <c r="A3" s="2" t="s">
        <v>358</v>
      </c>
      <c r="B3" s="15" t="n">
        <f aca="false">Plan!B21</f>
        <v>24.8</v>
      </c>
      <c r="C3" s="41" t="n">
        <f aca="false">Reference_Values!B3</f>
        <v>24.8</v>
      </c>
      <c r="D3" s="42" t="n">
        <f aca="false">ABS(B3-C3)</f>
        <v>0</v>
      </c>
      <c r="E3" s="43" t="n">
        <v>1E-009</v>
      </c>
      <c r="F3" s="4" t="str">
        <f aca="false">IF(D3&lt;=E3,"PASS","FAIL")</f>
        <v>PASS</v>
      </c>
    </row>
    <row r="4" customFormat="false" ht="15" hidden="false" customHeight="false" outlineLevel="0" collapsed="false">
      <c r="A4" s="2" t="s">
        <v>360</v>
      </c>
      <c r="B4" s="15" t="n">
        <f aca="false">Plan!J11</f>
        <v>0.0173417743507464</v>
      </c>
      <c r="C4" s="41" t="n">
        <f aca="false">Reference_Values!B4</f>
        <v>0.0173417743507464</v>
      </c>
      <c r="D4" s="42" t="n">
        <f aca="false">ABS(B4-C4)</f>
        <v>0</v>
      </c>
      <c r="E4" s="43" t="n">
        <v>1E-012</v>
      </c>
      <c r="F4" s="4" t="str">
        <f aca="false">IF(D4&lt;=E4,"PASS","FAIL")</f>
        <v>PASS</v>
      </c>
    </row>
    <row r="5" customFormat="false" ht="15" hidden="false" customHeight="false" outlineLevel="0" collapsed="false">
      <c r="A5" s="2" t="s">
        <v>362</v>
      </c>
      <c r="B5" s="15" t="n">
        <f aca="false">Plan!J16</f>
        <v>0.00513222524226187</v>
      </c>
      <c r="C5" s="41" t="n">
        <f aca="false">Reference_Values!B5</f>
        <v>0.00513222524226187</v>
      </c>
      <c r="D5" s="42" t="n">
        <f aca="false">ABS(B5-C5)</f>
        <v>0</v>
      </c>
      <c r="E5" s="43" t="n">
        <v>1E-012</v>
      </c>
      <c r="F5" s="4" t="str">
        <f aca="false">IF(D5&lt;=E5,"PASS","FAIL")</f>
        <v>PASS</v>
      </c>
    </row>
    <row r="6" customFormat="false" ht="15" hidden="false" customHeight="false" outlineLevel="0" collapsed="false">
      <c r="A6" s="2" t="s">
        <v>364</v>
      </c>
      <c r="B6" s="15" t="n">
        <f aca="false">Plan!B23</f>
        <v>0.11165202039197</v>
      </c>
      <c r="C6" s="41" t="n">
        <f aca="false">Reference_Values!B6</f>
        <v>0.11165202039197</v>
      </c>
      <c r="D6" s="42" t="n">
        <f aca="false">ABS(B6-C6)</f>
        <v>0</v>
      </c>
      <c r="E6" s="43" t="n">
        <v>1E-012</v>
      </c>
      <c r="F6" s="4" t="str">
        <f aca="false">IF(D6&lt;=E6,"PASS","FAIL")</f>
        <v>PASS</v>
      </c>
    </row>
    <row r="7" customFormat="false" ht="15" hidden="false" customHeight="false" outlineLevel="0" collapsed="false">
      <c r="A7" s="2" t="s">
        <v>366</v>
      </c>
      <c r="B7" s="15" t="n">
        <f aca="false">Plan!H7</f>
        <v>0.299407765962917</v>
      </c>
      <c r="C7" s="41" t="n">
        <f aca="false">Reference_Values!B7</f>
        <v>0.299407765962917</v>
      </c>
      <c r="D7" s="42" t="n">
        <f aca="false">ABS(B7-C7)</f>
        <v>0</v>
      </c>
      <c r="E7" s="43" t="n">
        <v>1E-012</v>
      </c>
      <c r="F7" s="4" t="str">
        <f aca="false">IF(D7&lt;=E7,"PASS","FAIL")</f>
        <v>PASS</v>
      </c>
    </row>
    <row r="8" customFormat="false" ht="15" hidden="false" customHeight="false" outlineLevel="0" collapsed="false">
      <c r="A8" s="2" t="s">
        <v>368</v>
      </c>
      <c r="B8" s="15" t="n">
        <f aca="false">Plan!H10</f>
        <v>0.036980937484194</v>
      </c>
      <c r="C8" s="41" t="n">
        <f aca="false">Reference_Values!B8</f>
        <v>0.036980937484194</v>
      </c>
      <c r="D8" s="42" t="n">
        <f aca="false">ABS(B8-C8)</f>
        <v>0</v>
      </c>
      <c r="E8" s="43" t="n">
        <v>1E-012</v>
      </c>
      <c r="F8" s="4" t="str">
        <f aca="false">IF(D8&lt;=E8,"PASS","FAIL")</f>
        <v>PASS</v>
      </c>
    </row>
    <row r="9" customFormat="false" ht="15" hidden="false" customHeight="false" outlineLevel="0" collapsed="false">
      <c r="A9" s="2" t="s">
        <v>370</v>
      </c>
      <c r="B9" s="15" t="n">
        <f aca="false">Packages!G4</f>
        <v>170</v>
      </c>
      <c r="C9" s="41" t="n">
        <f aca="false">Reference_Values!B9</f>
        <v>170</v>
      </c>
      <c r="D9" s="42" t="n">
        <f aca="false">ABS(B9-C9)</f>
        <v>0</v>
      </c>
      <c r="E9" s="43" t="n">
        <v>0</v>
      </c>
      <c r="F9" s="4" t="str">
        <f aca="false">IF(D9&lt;=E9,"PASS","FAIL")</f>
        <v>PASS</v>
      </c>
    </row>
    <row r="10" customFormat="false" ht="15" hidden="false" customHeight="false" outlineLevel="0" collapsed="false">
      <c r="A10" s="2" t="s">
        <v>372</v>
      </c>
      <c r="B10" s="15" t="n">
        <f aca="false">Packages!G6</f>
        <v>5.1</v>
      </c>
      <c r="C10" s="41" t="n">
        <f aca="false">Reference_Values!B10</f>
        <v>5.1</v>
      </c>
      <c r="D10" s="42" t="n">
        <f aca="false">ABS(B10-C10)</f>
        <v>0</v>
      </c>
      <c r="E10" s="43" t="n">
        <v>1E-009</v>
      </c>
      <c r="F10" s="4" t="str">
        <f aca="false">IF(D10&lt;=E10,"PASS","FAIL")</f>
        <v>PASS</v>
      </c>
    </row>
    <row r="11" customFormat="false" ht="15" hidden="false" customHeight="false" outlineLevel="0" collapsed="false">
      <c r="A11" s="2" t="s">
        <v>373</v>
      </c>
      <c r="B11" s="15" t="n">
        <f aca="false">Packages!G7</f>
        <v>5.34061089141301</v>
      </c>
      <c r="C11" s="41" t="n">
        <f aca="false">Reference_Values!B11</f>
        <v>5.34061089141301</v>
      </c>
      <c r="D11" s="42" t="n">
        <f aca="false">ABS(B11-C11)</f>
        <v>0</v>
      </c>
      <c r="E11" s="43" t="n">
        <v>1E-009</v>
      </c>
      <c r="F11" s="4" t="str">
        <f aca="false">IF(D11&lt;=E11,"PASS","FAIL")</f>
        <v>PASS</v>
      </c>
    </row>
    <row r="12" customFormat="false" ht="15" hidden="false" customHeight="false" outlineLevel="0" collapsed="false">
      <c r="A12" s="2" t="s">
        <v>374</v>
      </c>
      <c r="B12" s="15" t="n">
        <f aca="false">Packages!G8</f>
        <v>10.440610891413</v>
      </c>
      <c r="C12" s="41" t="n">
        <f aca="false">Reference_Values!B12</f>
        <v>10.440610891413</v>
      </c>
      <c r="D12" s="42" t="n">
        <f aca="false">ABS(B12-C12)</f>
        <v>0</v>
      </c>
      <c r="E12" s="43" t="n">
        <v>1E-009</v>
      </c>
      <c r="F12" s="4" t="str">
        <f aca="false">IF(D12&lt;=E12,"PASS","FAIL")</f>
        <v>PASS</v>
      </c>
    </row>
    <row r="13" customFormat="false" ht="15" hidden="false" customHeight="false" outlineLevel="0" collapsed="false">
      <c r="A13" s="2" t="s">
        <v>134</v>
      </c>
      <c r="B13" s="15" t="n">
        <f aca="false">Packages!G11</f>
        <v>0.000689202437604511</v>
      </c>
      <c r="C13" s="41" t="n">
        <f aca="false">Reference_Values!B13</f>
        <v>0.000689202437604511</v>
      </c>
      <c r="D13" s="42" t="n">
        <f aca="false">ABS(B13-C13)</f>
        <v>0</v>
      </c>
      <c r="E13" s="43" t="n">
        <v>1E-012</v>
      </c>
      <c r="F13" s="4" t="str">
        <f aca="false">IF(D13&lt;=E13,"PASS","FAIL")</f>
        <v>PASS</v>
      </c>
    </row>
    <row r="14" customFormat="false" ht="15" hidden="false" customHeight="false" outlineLevel="0" collapsed="false">
      <c r="A14" s="2" t="s">
        <v>375</v>
      </c>
      <c r="B14" s="15" t="n">
        <f aca="false">Packages!G12</f>
        <v>1.34938582520462</v>
      </c>
      <c r="C14" s="41" t="n">
        <f aca="false">Reference_Values!B14</f>
        <v>1.34938582520462</v>
      </c>
      <c r="D14" s="42" t="n">
        <f aca="false">ABS(B14-C14)</f>
        <v>0</v>
      </c>
      <c r="E14" s="43" t="n">
        <v>1E-009</v>
      </c>
      <c r="F14" s="4" t="str">
        <f aca="false">IF(D14&lt;=E14,"PASS","FAIL")</f>
        <v>PASS</v>
      </c>
    </row>
    <row r="15" customFormat="false" ht="15" hidden="false" customHeight="false" outlineLevel="0" collapsed="false">
      <c r="A15" s="2" t="s">
        <v>377</v>
      </c>
      <c r="B15" s="15" t="n">
        <f aca="false">Packages!G16</f>
        <v>10.2761119927039</v>
      </c>
      <c r="C15" s="41" t="n">
        <f aca="false">Reference_Values!B15</f>
        <v>10.2761119927039</v>
      </c>
      <c r="D15" s="42" t="n">
        <f aca="false">ABS(B15-C15)</f>
        <v>0</v>
      </c>
      <c r="E15" s="43" t="n">
        <v>1E-009</v>
      </c>
      <c r="F15" s="4" t="str">
        <f aca="false">IF(D15&lt;=E15,"PASS","FAIL")</f>
        <v>PASS</v>
      </c>
    </row>
    <row r="16" customFormat="false" ht="15" hidden="false" customHeight="false" outlineLevel="0" collapsed="false">
      <c r="A16" s="2" t="s">
        <v>378</v>
      </c>
      <c r="B16" s="15" t="n">
        <f aca="false">Packages!G21</f>
        <v>1.86051697210678</v>
      </c>
      <c r="C16" s="41" t="n">
        <f aca="false">Reference_Values!B16</f>
        <v>1.86051697210678</v>
      </c>
      <c r="D16" s="42" t="n">
        <f aca="false">ABS(B16-C16)</f>
        <v>0</v>
      </c>
      <c r="E16" s="43" t="n">
        <v>1E-009</v>
      </c>
      <c r="F16" s="4" t="str">
        <f aca="false">IF(D16&lt;=E16,"PASS","FAIL")</f>
        <v>PASS</v>
      </c>
    </row>
    <row r="17" customFormat="false" ht="15" hidden="false" customHeight="false" outlineLevel="0" collapsed="false">
      <c r="A17" s="2" t="s">
        <v>379</v>
      </c>
      <c r="B17" s="15" t="n">
        <f aca="false">Packages!G26</f>
        <v>18.3142118794975</v>
      </c>
      <c r="C17" s="41" t="n">
        <f aca="false">Reference_Values!B17</f>
        <v>18.3142118794975</v>
      </c>
      <c r="D17" s="42" t="n">
        <f aca="false">ABS(B17-C17)</f>
        <v>0</v>
      </c>
      <c r="E17" s="43" t="n">
        <v>1E-009</v>
      </c>
      <c r="F17" s="4" t="str">
        <f aca="false">IF(D17&lt;=E17,"PASS","FAIL")</f>
        <v>PASS</v>
      </c>
    </row>
    <row r="18" customFormat="false" ht="15" hidden="false" customHeight="false" outlineLevel="0" collapsed="false">
      <c r="A18" s="2" t="s">
        <v>380</v>
      </c>
      <c r="B18" s="15" t="n">
        <f aca="false">Packages!G28</f>
        <v>7.87360098808445</v>
      </c>
      <c r="C18" s="41" t="n">
        <f aca="false">Reference_Values!B18</f>
        <v>7.87360098808445</v>
      </c>
      <c r="D18" s="42" t="n">
        <f aca="false">ABS(B18-C18)</f>
        <v>0</v>
      </c>
      <c r="E18" s="43" t="n">
        <v>1E-009</v>
      </c>
      <c r="F18" s="4" t="str">
        <f aca="false">IF(D18&lt;=E18,"PASS","FAIL")</f>
        <v>PASS</v>
      </c>
    </row>
    <row r="19" customFormat="false" ht="15" hidden="false" customHeight="false" outlineLevel="0" collapsed="false">
      <c r="A19" s="2" t="s">
        <v>381</v>
      </c>
      <c r="B19" s="15" t="n">
        <f aca="false">Packages!G31</f>
        <v>0.0784</v>
      </c>
      <c r="C19" s="41" t="n">
        <f aca="false">Reference_Values!B19</f>
        <v>0.0784</v>
      </c>
      <c r="D19" s="42" t="n">
        <f aca="false">ABS(B19-C19)</f>
        <v>0</v>
      </c>
      <c r="E19" s="43" t="n">
        <v>1E-012</v>
      </c>
      <c r="F19" s="4" t="str">
        <f aca="false">IF(D19&lt;=E19,"PASS","FAIL")</f>
        <v>PASS</v>
      </c>
    </row>
    <row r="20" customFormat="false" ht="15" hidden="false" customHeight="false" outlineLevel="0" collapsed="false">
      <c r="A20" s="2" t="s">
        <v>382</v>
      </c>
      <c r="B20" s="15" t="n">
        <f aca="false">Samples!D5</f>
        <v>6.685510856317E-005</v>
      </c>
      <c r="C20" s="41" t="n">
        <f aca="false">Reference_Values!B20</f>
        <v>6.685510856317E-005</v>
      </c>
      <c r="D20" s="42" t="n">
        <f aca="false">ABS(B20-C20)</f>
        <v>0</v>
      </c>
      <c r="E20" s="43" t="n">
        <v>1E-015</v>
      </c>
      <c r="F20" s="4" t="str">
        <f aca="false">IF(D20&lt;=E20,"PASS","FAIL")</f>
        <v>PASS</v>
      </c>
    </row>
    <row r="21" customFormat="false" ht="15" hidden="false" customHeight="false" outlineLevel="0" collapsed="false">
      <c r="A21" s="2" t="s">
        <v>384</v>
      </c>
      <c r="B21" s="15" t="n">
        <f aca="false">Samples!E5</f>
        <v>0.00124887659430747</v>
      </c>
      <c r="C21" s="41" t="n">
        <f aca="false">Reference_Values!B21</f>
        <v>0.00124887659430747</v>
      </c>
      <c r="D21" s="42" t="n">
        <f aca="false">ABS(B21-C21)</f>
        <v>0</v>
      </c>
      <c r="E21" s="43" t="n">
        <v>1E-012</v>
      </c>
      <c r="F21" s="4" t="str">
        <f aca="false">IF(D21&lt;=E21,"PASS","FAIL")</f>
        <v>PASS</v>
      </c>
    </row>
    <row r="22" customFormat="false" ht="15" hidden="false" customHeight="false" outlineLevel="0" collapsed="false">
      <c r="A22" s="2" t="s">
        <v>386</v>
      </c>
      <c r="B22" s="15" t="n">
        <f aca="false">Samples!E6</f>
        <v>0.512450537085221</v>
      </c>
      <c r="C22" s="41" t="n">
        <f aca="false">Reference_Values!B22</f>
        <v>0.512450537085221</v>
      </c>
      <c r="D22" s="42" t="n">
        <f aca="false">ABS(B22-C22)</f>
        <v>0</v>
      </c>
      <c r="E22" s="43" t="n">
        <v>1E-012</v>
      </c>
      <c r="F22" s="4" t="str">
        <f aca="false">IF(D22&lt;=E22,"PASS","FAIL")</f>
        <v>PASS</v>
      </c>
    </row>
    <row r="23" customFormat="false" ht="15" hidden="false" customHeight="false" outlineLevel="0" collapsed="false">
      <c r="A23" s="2" t="s">
        <v>388</v>
      </c>
      <c r="B23" s="15" t="n">
        <f aca="false">Samples!F5</f>
        <v>0.28650479686019</v>
      </c>
      <c r="C23" s="41" t="n">
        <f aca="false">Reference_Values!B23</f>
        <v>0.28650479686019</v>
      </c>
      <c r="D23" s="42" t="n">
        <f aca="false">ABS(B23-C23)</f>
        <v>0</v>
      </c>
      <c r="E23" s="43" t="n">
        <v>1E-012</v>
      </c>
      <c r="F23" s="4" t="str">
        <f aca="false">IF(D23&lt;=E23,"PASS","FAIL")</f>
        <v>PASS</v>
      </c>
    </row>
    <row r="24" customFormat="false" ht="15" hidden="false" customHeight="false" outlineLevel="0" collapsed="false">
      <c r="A24" s="2" t="s">
        <v>390</v>
      </c>
      <c r="B24" s="15" t="n">
        <f aca="false">Samples!F6</f>
        <v>0.882496902584596</v>
      </c>
      <c r="C24" s="41" t="n">
        <f aca="false">Reference_Values!B24</f>
        <v>0.882496902584595</v>
      </c>
      <c r="D24" s="42" t="n">
        <f aca="false">ABS(B24-C24)</f>
        <v>0</v>
      </c>
      <c r="E24" s="43" t="n">
        <v>1E-012</v>
      </c>
      <c r="F24" s="4" t="str">
        <f aca="false">IF(D24&lt;=E24,"PASS","FAIL")</f>
        <v>PASS</v>
      </c>
    </row>
    <row r="25" customFormat="false" ht="15" hidden="false" customHeight="false" outlineLevel="0" collapsed="false">
      <c r="A25" s="2" t="s">
        <v>392</v>
      </c>
      <c r="B25" s="15" t="n">
        <f aca="false">Samples!D7</f>
        <v>0.00112670582003522</v>
      </c>
      <c r="C25" s="41" t="n">
        <f aca="false">Reference_Values!B25</f>
        <v>0.00112670582003522</v>
      </c>
      <c r="D25" s="42" t="n">
        <f aca="false">ABS(B25-C25)</f>
        <v>0</v>
      </c>
      <c r="E25" s="43" t="n">
        <v>1E-015</v>
      </c>
      <c r="F25" s="4" t="str">
        <f aca="false">IF(D25&lt;=E25,"PASS","FAIL")</f>
        <v>PASS</v>
      </c>
    </row>
    <row r="26" customFormat="false" ht="15" hidden="false" customHeight="false" outlineLevel="0" collapsed="false">
      <c r="A26" s="2" t="s">
        <v>394</v>
      </c>
      <c r="B26" s="15" t="n">
        <f aca="false">Samples!E7</f>
        <v>0.324099140747028</v>
      </c>
      <c r="C26" s="41" t="n">
        <f aca="false">Reference_Values!B26</f>
        <v>0.324099140747028</v>
      </c>
      <c r="D26" s="42" t="n">
        <f aca="false">ABS(B26-C26)</f>
        <v>0</v>
      </c>
      <c r="E26" s="43" t="n">
        <v>1E-012</v>
      </c>
      <c r="F26" s="4" t="str">
        <f aca="false">IF(D26&lt;=E26,"PASS","FAIL")</f>
        <v>PASS</v>
      </c>
    </row>
    <row r="27" customFormat="false" ht="15" hidden="false" customHeight="false" outlineLevel="0" collapsed="false">
      <c r="A27" s="2" t="s">
        <v>396</v>
      </c>
      <c r="B27" s="15" t="n">
        <f aca="false">Samples!E8</f>
        <v>0.00756445041488255</v>
      </c>
      <c r="C27" s="41" t="n">
        <f aca="false">Reference_Values!B27</f>
        <v>0.00756445041488255</v>
      </c>
      <c r="D27" s="42" t="n">
        <f aca="false">ABS(B27-C27)</f>
        <v>0</v>
      </c>
      <c r="E27" s="43" t="n">
        <v>1E-012</v>
      </c>
      <c r="F27" s="4" t="str">
        <f aca="false">IF(D27&lt;=E27,"PASS","FAIL")</f>
        <v>PASS</v>
      </c>
    </row>
    <row r="28" customFormat="false" ht="15" hidden="false" customHeight="false" outlineLevel="0" collapsed="false">
      <c r="A28" s="2" t="s">
        <v>398</v>
      </c>
      <c r="B28" s="15" t="n">
        <f aca="false">Rules!G5</f>
        <v>10.6180040153954</v>
      </c>
      <c r="C28" s="41" t="n">
        <f aca="false">Reference_Values!B28</f>
        <v>10.6180040153954</v>
      </c>
      <c r="D28" s="42" t="n">
        <f aca="false">ABS(B28-C28)</f>
        <v>0</v>
      </c>
      <c r="E28" s="43" t="n">
        <v>1E-009</v>
      </c>
      <c r="F28" s="4" t="str">
        <f aca="false">IF(D28&lt;=E28,"PASS","FAIL")</f>
        <v>PASS</v>
      </c>
    </row>
    <row r="29" customFormat="false" ht="15" hidden="false" customHeight="false" outlineLevel="0" collapsed="false">
      <c r="A29" s="2" t="s">
        <v>400</v>
      </c>
      <c r="B29" s="15" t="n">
        <f aca="false">Rules!G6</f>
        <v>10.8894244525997</v>
      </c>
      <c r="C29" s="41" t="n">
        <f aca="false">Reference_Values!B29</f>
        <v>10.8894244525997</v>
      </c>
      <c r="D29" s="42" t="n">
        <f aca="false">ABS(B29-C29)</f>
        <v>0</v>
      </c>
      <c r="E29" s="43" t="n">
        <v>1E-009</v>
      </c>
      <c r="F29" s="4" t="str">
        <f aca="false">IF(D29&lt;=E29,"PASS","FAIL")</f>
        <v>PASS</v>
      </c>
    </row>
    <row r="30" customFormat="false" ht="15" hidden="false" customHeight="false" outlineLevel="0" collapsed="false">
      <c r="A30" s="2" t="s">
        <v>402</v>
      </c>
      <c r="B30" s="15" t="n">
        <f aca="false">Rules!G7</f>
        <v>11.4063985311082</v>
      </c>
      <c r="C30" s="41" t="n">
        <f aca="false">Reference_Values!B30</f>
        <v>11.4063985311082</v>
      </c>
      <c r="D30" s="42" t="n">
        <f aca="false">ABS(B30-C30)</f>
        <v>0</v>
      </c>
      <c r="E30" s="43" t="n">
        <v>1E-009</v>
      </c>
      <c r="F30" s="4" t="str">
        <f aca="false">IF(D30&lt;=E30,"PASS","FAIL")</f>
        <v>PASS</v>
      </c>
    </row>
    <row r="31" customFormat="false" ht="15" hidden="false" customHeight="false" outlineLevel="0" collapsed="false">
      <c r="A31" s="2" t="s">
        <v>404</v>
      </c>
      <c r="B31" s="15" t="n">
        <f aca="false">Rules!G8</f>
        <v>12.3057393602841</v>
      </c>
      <c r="C31" s="41" t="n">
        <f aca="false">Reference_Values!B31</f>
        <v>12.3057393602841</v>
      </c>
      <c r="D31" s="42" t="n">
        <f aca="false">ABS(B31-C31)</f>
        <v>0</v>
      </c>
      <c r="E31" s="43" t="n">
        <v>1E-009</v>
      </c>
      <c r="F31" s="4" t="str">
        <f aca="false">IF(D31&lt;=E31,"PASS","FAIL")</f>
        <v>PASS</v>
      </c>
    </row>
    <row r="32" customFormat="false" ht="15" hidden="false" customHeight="false" outlineLevel="0" collapsed="false">
      <c r="A32" s="2" t="s">
        <v>406</v>
      </c>
      <c r="B32" s="15" t="n">
        <f aca="false">Rules!M5</f>
        <v>10.3787822594993</v>
      </c>
      <c r="C32" s="41" t="n">
        <f aca="false">Reference_Values!B32</f>
        <v>10.3787822594993</v>
      </c>
      <c r="D32" s="42" t="n">
        <f aca="false">ABS(B32-C32)</f>
        <v>0</v>
      </c>
      <c r="E32" s="43" t="n">
        <v>1E-009</v>
      </c>
      <c r="F32" s="4" t="str">
        <f aca="false">IF(D32&lt;=E32,"PASS","FAIL")</f>
        <v>PASS</v>
      </c>
    </row>
    <row r="33" customFormat="false" ht="15" hidden="false" customHeight="false" outlineLevel="0" collapsed="false">
      <c r="A33" s="2" t="s">
        <v>408</v>
      </c>
      <c r="B33" s="15" t="n">
        <f aca="false">Rules!M6</f>
        <v>10.2979059201661</v>
      </c>
      <c r="C33" s="41" t="n">
        <f aca="false">Reference_Values!B33</f>
        <v>10.2979059201661</v>
      </c>
      <c r="D33" s="42" t="n">
        <f aca="false">ABS(B33-C33)</f>
        <v>0</v>
      </c>
      <c r="E33" s="43" t="n">
        <v>1E-009</v>
      </c>
      <c r="F33" s="4" t="str">
        <f aca="false">IF(D33&lt;=E33,"PASS","FAIL")</f>
        <v>PASS</v>
      </c>
    </row>
    <row r="34" customFormat="false" ht="15" hidden="false" customHeight="false" outlineLevel="0" collapsed="false">
      <c r="A34" s="2" t="s">
        <v>410</v>
      </c>
      <c r="B34" s="15" t="n">
        <f aca="false">Rules!M7</f>
        <v>10.2334325542502</v>
      </c>
      <c r="C34" s="41" t="n">
        <f aca="false">Reference_Values!B34</f>
        <v>10.2334325542502</v>
      </c>
      <c r="D34" s="42" t="n">
        <f aca="false">ABS(B34-C34)</f>
        <v>0</v>
      </c>
      <c r="E34" s="43" t="n">
        <v>1E-009</v>
      </c>
      <c r="F34" s="4" t="str">
        <f aca="false">IF(D34&lt;=E34,"PASS","FAIL")</f>
        <v>PASS</v>
      </c>
    </row>
    <row r="35" customFormat="false" ht="15" hidden="false" customHeight="false" outlineLevel="0" collapsed="false">
      <c r="A35" s="2" t="s">
        <v>412</v>
      </c>
      <c r="B35" s="15" t="n">
        <f aca="false">Rules!M8</f>
        <v>10.3053576198739</v>
      </c>
      <c r="C35" s="41" t="n">
        <f aca="false">Reference_Values!B35</f>
        <v>10.3053576198739</v>
      </c>
      <c r="D35" s="42" t="n">
        <f aca="false">ABS(B35-C35)</f>
        <v>0</v>
      </c>
      <c r="E35" s="43" t="n">
        <v>1E-009</v>
      </c>
      <c r="F35" s="4" t="str">
        <f aca="false">IF(D35&lt;=E35,"PASS","FAIL")</f>
        <v>PASS</v>
      </c>
    </row>
    <row r="36" customFormat="false" ht="15" hidden="false" customHeight="false" outlineLevel="0" collapsed="false">
      <c r="A36" s="2" t="s">
        <v>414</v>
      </c>
      <c r="B36" s="15" t="n">
        <f aca="false">Rules!M9</f>
        <v>10.3487238965554</v>
      </c>
      <c r="C36" s="41" t="n">
        <f aca="false">Reference_Values!B36</f>
        <v>10.3487238965554</v>
      </c>
      <c r="D36" s="42" t="n">
        <f aca="false">ABS(B36-C36)</f>
        <v>0</v>
      </c>
      <c r="E36" s="43" t="n">
        <v>1E-009</v>
      </c>
      <c r="F36" s="4" t="str">
        <f aca="false">IF(D36&lt;=E36,"PASS","FAIL")</f>
        <v>PASS</v>
      </c>
    </row>
    <row r="37" customFormat="false" ht="15" hidden="false" customHeight="false" outlineLevel="0" collapsed="false">
      <c r="A37" s="2" t="s">
        <v>416</v>
      </c>
      <c r="B37" s="15" t="n">
        <f aca="false">Rules!M10</f>
        <v>10.4288600766637</v>
      </c>
      <c r="C37" s="41" t="n">
        <f aca="false">Reference_Values!B37</f>
        <v>10.4288600766637</v>
      </c>
      <c r="D37" s="42" t="n">
        <f aca="false">ABS(B37-C37)</f>
        <v>0</v>
      </c>
      <c r="E37" s="43" t="n">
        <v>1E-009</v>
      </c>
      <c r="F37" s="4" t="str">
        <f aca="false">IF(D37&lt;=E37,"PASS","FAIL")</f>
        <v>PASS</v>
      </c>
    </row>
    <row r="38" customFormat="false" ht="15" hidden="false" customHeight="false" outlineLevel="0" collapsed="false">
      <c r="A38" s="2" t="s">
        <v>418</v>
      </c>
      <c r="B38" s="15" t="n">
        <f aca="false">Rules!B12</f>
        <v>3</v>
      </c>
      <c r="C38" s="41" t="n">
        <f aca="false">Reference_Values!B38</f>
        <v>3</v>
      </c>
      <c r="D38" s="42" t="n">
        <f aca="false">ABS(B38-C38)</f>
        <v>0</v>
      </c>
      <c r="E38" s="43" t="n">
        <v>0</v>
      </c>
      <c r="F38" s="4" t="str">
        <f aca="false">IF(D38&lt;=E38,"PASS","FAIL")</f>
        <v>PASS</v>
      </c>
    </row>
    <row r="39" customFormat="false" ht="15" hidden="false" customHeight="false" outlineLevel="0" collapsed="false">
      <c r="A39" s="2" t="s">
        <v>420</v>
      </c>
      <c r="B39" s="15" t="n">
        <f aca="false">Rules!B14</f>
        <v>0.207178337162825</v>
      </c>
      <c r="C39" s="41" t="n">
        <f aca="false">Reference_Values!B39</f>
        <v>0.207178337162823</v>
      </c>
      <c r="D39" s="42" t="n">
        <f aca="false">ABS(B39-C39)</f>
        <v>1.72084568816899E-015</v>
      </c>
      <c r="E39" s="43" t="n">
        <v>1E-009</v>
      </c>
      <c r="F39" s="4" t="str">
        <f aca="false">IF(D39&lt;=E39,"PASS","FAIL")</f>
        <v>PASS</v>
      </c>
    </row>
    <row r="40" customFormat="false" ht="15" hidden="false" customHeight="false" outlineLevel="0" collapsed="false">
      <c r="A40" s="2" t="s">
        <v>421</v>
      </c>
      <c r="B40" s="15" t="n">
        <f aca="false">Rules!B29</f>
        <v>0.155646198095455</v>
      </c>
      <c r="C40" s="41" t="n">
        <f aca="false">Reference_Values!B40</f>
        <v>0.155646198095455</v>
      </c>
      <c r="D40" s="42" t="n">
        <f aca="false">ABS(B40-C40)</f>
        <v>0</v>
      </c>
      <c r="E40" s="43" t="n">
        <v>1E-009</v>
      </c>
      <c r="F40" s="4" t="str">
        <f aca="false">IF(D40&lt;=E40,"PASS","FAIL")</f>
        <v>PASS</v>
      </c>
    </row>
    <row r="41" customFormat="false" ht="15" hidden="false" customHeight="false" outlineLevel="0" collapsed="false">
      <c r="A41" s="2" t="s">
        <v>422</v>
      </c>
      <c r="B41" s="15" t="n">
        <f aca="false">Rules!B30</f>
        <v>10.1951695847636</v>
      </c>
      <c r="C41" s="41" t="n">
        <f aca="false">Reference_Values!B41</f>
        <v>10.1951695847636</v>
      </c>
      <c r="D41" s="42" t="n">
        <f aca="false">ABS(B41-C41)</f>
        <v>0</v>
      </c>
      <c r="E41" s="43" t="n">
        <v>1E-009</v>
      </c>
      <c r="F41" s="4" t="str">
        <f aca="false">IF(D41&lt;=E41,"PASS","FAIL")</f>
        <v>PASS</v>
      </c>
    </row>
    <row r="42" customFormat="false" ht="15" hidden="false" customHeight="false" outlineLevel="0" collapsed="false">
      <c r="A42" s="2" t="s">
        <v>424</v>
      </c>
      <c r="B42" s="15" t="n">
        <f aca="false">Rules!B31</f>
        <v>0.24544130664937</v>
      </c>
      <c r="C42" s="41" t="n">
        <f aca="false">Reference_Values!B42</f>
        <v>0.24544130664937</v>
      </c>
      <c r="D42" s="42" t="n">
        <f aca="false">ABS(B42-C42)</f>
        <v>0</v>
      </c>
      <c r="E42" s="43" t="n">
        <v>1E-009</v>
      </c>
      <c r="F42" s="4" t="str">
        <f aca="false">IF(D42&lt;=E42,"PASS","FAIL")</f>
        <v>PASS</v>
      </c>
    </row>
    <row r="43" customFormat="false" ht="15" hidden="false" customHeight="false" outlineLevel="0" collapsed="false">
      <c r="A43" s="2" t="s">
        <v>425</v>
      </c>
      <c r="B43" s="15" t="n">
        <f aca="false">Rules!B32</f>
        <v>0.0235083281239066</v>
      </c>
      <c r="C43" s="41" t="n">
        <f aca="false">Reference_Values!B43</f>
        <v>0.0235083281239066</v>
      </c>
      <c r="D43" s="42" t="n">
        <f aca="false">ABS(B43-C43)</f>
        <v>0</v>
      </c>
      <c r="E43" s="43" t="n">
        <v>1E-012</v>
      </c>
      <c r="F43" s="4" t="str">
        <f aca="false">IF(D43&lt;=E43,"PASS","FAIL")</f>
        <v>PASS</v>
      </c>
    </row>
    <row r="44" customFormat="false" ht="15" hidden="false" customHeight="false" outlineLevel="0" collapsed="false">
      <c r="A44" s="2" t="s">
        <v>255</v>
      </c>
      <c r="B44" s="15" t="n">
        <f aca="false">Information!B6</f>
        <v>10.0039124878401</v>
      </c>
      <c r="C44" s="41" t="n">
        <f aca="false">Reference_Values!B44</f>
        <v>10.0039124878401</v>
      </c>
      <c r="D44" s="42" t="n">
        <f aca="false">ABS(B44-C44)</f>
        <v>0</v>
      </c>
      <c r="E44" s="43" t="n">
        <v>1E-009</v>
      </c>
      <c r="F44" s="4" t="str">
        <f aca="false">IF(D44&lt;=E44,"PASS","FAIL")</f>
        <v>PASS</v>
      </c>
    </row>
    <row r="45" customFormat="false" ht="15" hidden="false" customHeight="false" outlineLevel="0" collapsed="false">
      <c r="A45" s="2" t="s">
        <v>427</v>
      </c>
      <c r="B45" s="15" t="n">
        <f aca="false">Information!B16</f>
        <v>4.8668342023335</v>
      </c>
      <c r="C45" s="41" t="n">
        <f aca="false">Reference_Values!B45</f>
        <v>4.8668342023335</v>
      </c>
      <c r="D45" s="42" t="n">
        <f aca="false">ABS(B45-C45)</f>
        <v>0</v>
      </c>
      <c r="E45" s="43" t="n">
        <v>1E-009</v>
      </c>
      <c r="F45" s="4" t="str">
        <f aca="false">IF(D45&lt;=E45,"PASS","FAIL")</f>
        <v>PASS</v>
      </c>
    </row>
    <row r="46" customFormat="false" ht="15" hidden="false" customHeight="false" outlineLevel="0" collapsed="false">
      <c r="A46" s="2" t="s">
        <v>429</v>
      </c>
      <c r="B46" s="15" t="n">
        <f aca="false">Information!B19</f>
        <v>0.0571480395183699</v>
      </c>
      <c r="C46" s="41" t="n">
        <f aca="false">Reference_Values!B46</f>
        <v>0.0571480395183699</v>
      </c>
      <c r="D46" s="42" t="n">
        <f aca="false">ABS(B46-C46)</f>
        <v>0</v>
      </c>
      <c r="E46" s="43" t="n">
        <v>1E-012</v>
      </c>
      <c r="F46" s="4" t="str">
        <f aca="false">IF(D46&lt;=E46,"PASS","FAIL")</f>
        <v>PASS</v>
      </c>
    </row>
    <row r="47" customFormat="false" ht="15" hidden="false" customHeight="false" outlineLevel="0" collapsed="false">
      <c r="A47" s="2" t="s">
        <v>431</v>
      </c>
      <c r="B47" s="15" t="n">
        <f aca="false">Information!B20</f>
        <v>10.4850608710364</v>
      </c>
      <c r="C47" s="41" t="n">
        <f aca="false">Reference_Values!B47</f>
        <v>10.4850608710364</v>
      </c>
      <c r="D47" s="42" t="n">
        <f aca="false">ABS(B47-C47)</f>
        <v>0</v>
      </c>
      <c r="E47" s="43" t="n">
        <v>1E-009</v>
      </c>
      <c r="F47" s="4" t="str">
        <f aca="false">IF(D47&lt;=E47,"PASS","FAIL")</f>
        <v>PASS</v>
      </c>
    </row>
    <row r="48" customFormat="false" ht="15" hidden="false" customHeight="false" outlineLevel="0" collapsed="false">
      <c r="A48" s="2" t="s">
        <v>433</v>
      </c>
      <c r="B48" s="15" t="n">
        <f aca="false">Information!B21</f>
        <v>6.32262909672778</v>
      </c>
      <c r="C48" s="41" t="n">
        <f aca="false">Reference_Values!B48</f>
        <v>6.32262909672778</v>
      </c>
      <c r="D48" s="42" t="n">
        <f aca="false">ABS(B48-C48)</f>
        <v>0</v>
      </c>
      <c r="E48" s="43" t="n">
        <v>1E-009</v>
      </c>
      <c r="F48" s="4" t="str">
        <f aca="false">IF(D48&lt;=E48,"PASS","FAIL")</f>
        <v>PASS</v>
      </c>
    </row>
    <row r="49" customFormat="false" ht="15" hidden="false" customHeight="false" outlineLevel="0" collapsed="false">
      <c r="A49" s="2" t="s">
        <v>435</v>
      </c>
      <c r="B49" s="15" t="n">
        <f aca="false">Information!B22</f>
        <v>4.11798179468523</v>
      </c>
      <c r="C49" s="41" t="n">
        <f aca="false">Reference_Values!B49</f>
        <v>4.11798179468523</v>
      </c>
      <c r="D49" s="42" t="n">
        <f aca="false">ABS(B49-C49)</f>
        <v>0</v>
      </c>
      <c r="E49" s="43" t="n">
        <v>1E-009</v>
      </c>
      <c r="F49" s="4" t="str">
        <f aca="false">IF(D49&lt;=E49,"PASS","FAIL")</f>
        <v>PASS</v>
      </c>
    </row>
    <row r="50" customFormat="false" ht="15" hidden="false" customHeight="false" outlineLevel="0" collapsed="false">
      <c r="A50" s="2" t="s">
        <v>436</v>
      </c>
      <c r="B50" s="15" t="n">
        <f aca="false">Information!B28</f>
        <v>28.1764296419628</v>
      </c>
      <c r="C50" s="41" t="n">
        <f aca="false">Reference_Values!B50</f>
        <v>28.1764296419628</v>
      </c>
      <c r="D50" s="42" t="n">
        <f aca="false">ABS(B50-C50)</f>
        <v>0</v>
      </c>
      <c r="E50" s="43" t="n">
        <v>1E-009</v>
      </c>
      <c r="F50" s="4" t="str">
        <f aca="false">IF(D50&lt;=E50,"PASS","FAIL")</f>
        <v>PASS</v>
      </c>
    </row>
    <row r="51" customFormat="false" ht="15" hidden="false" customHeight="false" outlineLevel="0" collapsed="false">
      <c r="A51" s="2" t="s">
        <v>437</v>
      </c>
      <c r="B51" s="15" t="n">
        <f aca="false">Information!B30</f>
        <v>2.29493313073604</v>
      </c>
      <c r="C51" s="41" t="n">
        <f aca="false">Reference_Values!B51</f>
        <v>2.29493313073604</v>
      </c>
      <c r="D51" s="42" t="n">
        <f aca="false">ABS(B51-C51)</f>
        <v>0</v>
      </c>
      <c r="E51" s="43" t="n">
        <v>1E-009</v>
      </c>
      <c r="F51" s="4" t="str">
        <f aca="false">IF(D51&lt;=E51,"PASS","FAIL")</f>
        <v>PASS</v>
      </c>
    </row>
    <row r="52" customFormat="false" ht="15" hidden="false" customHeight="false" outlineLevel="0" collapsed="false">
      <c r="A52" s="2" t="s">
        <v>438</v>
      </c>
      <c r="B52" s="15" t="n">
        <f aca="false">Information!B31</f>
        <v>0.0814486845884204</v>
      </c>
      <c r="C52" s="41" t="n">
        <f aca="false">Reference_Values!B52</f>
        <v>0.0814486845884201</v>
      </c>
      <c r="D52" s="42" t="n">
        <f aca="false">ABS(B52-C52)</f>
        <v>0</v>
      </c>
      <c r="E52" s="43" t="n">
        <v>1E-012</v>
      </c>
      <c r="F52" s="4" t="str">
        <f aca="false">IF(D52&lt;=E52,"PASS","FAIL")</f>
        <v>PASS</v>
      </c>
    </row>
    <row r="53" customFormat="false" ht="15" hidden="false" customHeight="false" outlineLevel="0" collapsed="false">
      <c r="A53" s="2" t="s">
        <v>440</v>
      </c>
      <c r="B53" s="15" t="n">
        <f aca="false">Hiring!B5</f>
        <v>0.000903721742949847</v>
      </c>
      <c r="C53" s="41" t="n">
        <f aca="false">Reference_Values!B53</f>
        <v>0.000903721742949847</v>
      </c>
      <c r="D53" s="42" t="n">
        <f aca="false">ABS(B53-C53)</f>
        <v>0</v>
      </c>
      <c r="E53" s="43" t="n">
        <v>1E-013</v>
      </c>
      <c r="F53" s="4" t="str">
        <f aca="false">IF(D53&lt;=E53,"PASS","FAIL")</f>
        <v>PASS</v>
      </c>
    </row>
    <row r="54" customFormat="false" ht="15" hidden="false" customHeight="false" outlineLevel="0" collapsed="false">
      <c r="A54" s="2" t="s">
        <v>442</v>
      </c>
      <c r="B54" s="15" t="n">
        <f aca="false">Hiring!B6</f>
        <v>4.33786436615926</v>
      </c>
      <c r="C54" s="41" t="n">
        <f aca="false">Reference_Values!B54</f>
        <v>4.33786436615926</v>
      </c>
      <c r="D54" s="42" t="n">
        <f aca="false">ABS(B54-C54)</f>
        <v>0</v>
      </c>
      <c r="E54" s="43" t="n">
        <v>1E-009</v>
      </c>
      <c r="F54" s="4" t="str">
        <f aca="false">IF(D54&lt;=E54,"PASS","FAIL")</f>
        <v>PASS</v>
      </c>
    </row>
    <row r="55" customFormat="false" ht="15" hidden="false" customHeight="false" outlineLevel="0" collapsed="false">
      <c r="A55" s="2" t="s">
        <v>443</v>
      </c>
      <c r="B55" s="15" t="n">
        <f aca="false">Hiring!B7</f>
        <v>0.203337392163716</v>
      </c>
      <c r="C55" s="41" t="n">
        <f aca="false">Reference_Values!B55</f>
        <v>0.203337392163716</v>
      </c>
      <c r="D55" s="42" t="n">
        <f aca="false">ABS(B55-C55)</f>
        <v>0</v>
      </c>
      <c r="E55" s="43" t="n">
        <v>1E-009</v>
      </c>
      <c r="F55" s="4" t="str">
        <f aca="false">IF(D55&lt;=E55,"PASS","FAIL")</f>
        <v>PASS</v>
      </c>
    </row>
    <row r="56" customFormat="false" ht="15" hidden="false" customHeight="false" outlineLevel="0" collapsed="false">
      <c r="A56" s="2" t="s">
        <v>445</v>
      </c>
      <c r="B56" s="15" t="n">
        <f aca="false">Hiring!B8</f>
        <v>2.13342785189551</v>
      </c>
      <c r="C56" s="41" t="n">
        <f aca="false">Reference_Values!B56</f>
        <v>2.13342785189551</v>
      </c>
      <c r="D56" s="42" t="n">
        <f aca="false">ABS(B56-C56)</f>
        <v>0</v>
      </c>
      <c r="E56" s="43" t="n">
        <v>1E-009</v>
      </c>
      <c r="F56" s="4" t="str">
        <f aca="false">IF(D56&lt;=E56,"PASS","FAIL")</f>
        <v>PASS</v>
      </c>
    </row>
    <row r="57" customFormat="false" ht="15" hidden="false" customHeight="false" outlineLevel="0" collapsed="false">
      <c r="A57" s="2" t="s">
        <v>447</v>
      </c>
      <c r="B57" s="15" t="n">
        <f aca="false">Hiring!B9</f>
        <v>11.170645281394</v>
      </c>
      <c r="C57" s="41" t="n">
        <f aca="false">Reference_Values!B57</f>
        <v>11.170645281394</v>
      </c>
      <c r="D57" s="42" t="n">
        <f aca="false">ABS(B57-C57)</f>
        <v>0</v>
      </c>
      <c r="E57" s="43" t="n">
        <v>1E-009</v>
      </c>
      <c r="F57" s="4" t="str">
        <f aca="false">IF(D57&lt;=E57,"PASS","FAIL")</f>
        <v>PASS</v>
      </c>
    </row>
    <row r="58" customFormat="false" ht="15" hidden="false" customHeight="false" outlineLevel="0" collapsed="false">
      <c r="A58" s="2" t="s">
        <v>449</v>
      </c>
      <c r="B58" s="15" t="n">
        <f aca="false">Beta</f>
        <v>0.938194305066935</v>
      </c>
      <c r="C58" s="41" t="n">
        <f aca="false">Reference_Values!B58</f>
        <v>0.938194305066936</v>
      </c>
      <c r="D58" s="42" t="n">
        <f aca="false">ABS(B58-C58)</f>
        <v>0</v>
      </c>
      <c r="E58" s="43" t="n">
        <v>1E-012</v>
      </c>
      <c r="F58" s="4" t="str">
        <f aca="false">IF(D58&lt;=E58,"PASS","FAIL")</f>
        <v>PASS</v>
      </c>
    </row>
    <row r="59" customFormat="false" ht="15" hidden="false" customHeight="false" outlineLevel="0" collapsed="false">
      <c r="A59" s="2" t="s">
        <v>451</v>
      </c>
      <c r="B59" s="15" t="n">
        <f aca="false">Hiring!E13</f>
        <v>4.16142098339816</v>
      </c>
      <c r="C59" s="41" t="n">
        <f aca="false">Reference_Values!B59</f>
        <v>4.16142098339816</v>
      </c>
      <c r="D59" s="42" t="n">
        <f aca="false">ABS(B59-C59)</f>
        <v>0</v>
      </c>
      <c r="E59" s="43" t="n">
        <v>1E-009</v>
      </c>
      <c r="F59" s="4" t="str">
        <f aca="false">IF(D59&lt;=E59,"PASS","FAIL")</f>
        <v>PASS</v>
      </c>
    </row>
    <row r="60" customFormat="false" ht="15" hidden="false" customHeight="false" outlineLevel="0" collapsed="false">
      <c r="A60" s="2" t="s">
        <v>453</v>
      </c>
      <c r="B60" s="15" t="n">
        <f aca="false">Hiring!F13</f>
        <v>0.000931573890463994</v>
      </c>
      <c r="C60" s="41" t="n">
        <f aca="false">Reference_Values!B60</f>
        <v>0.000931573890463994</v>
      </c>
      <c r="D60" s="42" t="n">
        <f aca="false">ABS(B60-C60)</f>
        <v>0</v>
      </c>
      <c r="E60" s="43" t="n">
        <v>1E-013</v>
      </c>
      <c r="F60" s="4" t="str">
        <f aca="false">IF(D60&lt;=E60,"PASS","FAIL")</f>
        <v>PASS</v>
      </c>
    </row>
    <row r="61" customFormat="false" ht="15" hidden="false" customHeight="false" outlineLevel="0" collapsed="false">
      <c r="A61" s="2" t="s">
        <v>455</v>
      </c>
      <c r="B61" s="15" t="n">
        <f aca="false">Hiring!G13</f>
        <v>11.5149176889495</v>
      </c>
      <c r="C61" s="41" t="n">
        <f aca="false">Reference_Values!B61</f>
        <v>11.5149176889495</v>
      </c>
      <c r="D61" s="42" t="n">
        <f aca="false">ABS(B61-C61)</f>
        <v>0</v>
      </c>
      <c r="E61" s="43" t="n">
        <v>1E-009</v>
      </c>
      <c r="F61" s="4" t="str">
        <f aca="false">IF(D61&lt;=E61,"PASS","FAIL")</f>
        <v>PASS</v>
      </c>
    </row>
    <row r="62" customFormat="false" ht="15" hidden="false" customHeight="false" outlineLevel="0" collapsed="false">
      <c r="A62" s="2" t="s">
        <v>457</v>
      </c>
      <c r="B62" s="15" t="n">
        <f aca="false">Hiring!E14</f>
        <v>3.68214515201215</v>
      </c>
      <c r="C62" s="41" t="n">
        <f aca="false">Reference_Values!B62</f>
        <v>3.68214515201215</v>
      </c>
      <c r="D62" s="42" t="n">
        <f aca="false">ABS(B62-C62)</f>
        <v>0</v>
      </c>
      <c r="E62" s="43" t="n">
        <v>1E-009</v>
      </c>
      <c r="F62" s="4" t="str">
        <f aca="false">IF(D62&lt;=E62,"PASS","FAIL")</f>
        <v>PASS</v>
      </c>
    </row>
    <row r="63" customFormat="false" ht="15" hidden="false" customHeight="false" outlineLevel="0" collapsed="false">
      <c r="A63" s="2" t="s">
        <v>459</v>
      </c>
      <c r="B63" s="15" t="n">
        <f aca="false">Hiring!F14</f>
        <v>0.00101668591394629</v>
      </c>
      <c r="C63" s="41" t="n">
        <f aca="false">Reference_Values!B63</f>
        <v>0.00101668591394629</v>
      </c>
      <c r="D63" s="42" t="n">
        <f aca="false">ABS(B63-C63)</f>
        <v>0</v>
      </c>
      <c r="E63" s="43" t="n">
        <v>1E-013</v>
      </c>
      <c r="F63" s="4" t="str">
        <f aca="false">IF(D63&lt;=E63,"PASS","FAIL")</f>
        <v>PASS</v>
      </c>
    </row>
    <row r="64" customFormat="false" ht="15" hidden="false" customHeight="false" outlineLevel="0" collapsed="false">
      <c r="A64" s="2" t="s">
        <v>461</v>
      </c>
      <c r="B64" s="15" t="n">
        <f aca="false">Hiring!G14</f>
        <v>12.5669630014801</v>
      </c>
      <c r="C64" s="41" t="n">
        <f aca="false">Reference_Values!B64</f>
        <v>12.5669630014801</v>
      </c>
      <c r="D64" s="42" t="n">
        <f aca="false">ABS(B64-C64)</f>
        <v>0</v>
      </c>
      <c r="E64" s="43" t="n">
        <v>1E-009</v>
      </c>
      <c r="F64" s="4" t="str">
        <f aca="false">IF(D64&lt;=E64,"PASS","FAIL")</f>
        <v>PASS</v>
      </c>
    </row>
    <row r="65" customFormat="false" ht="15" hidden="false" customHeight="false" outlineLevel="0" collapsed="false">
      <c r="A65" s="2" t="s">
        <v>463</v>
      </c>
      <c r="B65" s="15" t="n">
        <f aca="false">Hiring!H13</f>
        <v>11.5235966114608</v>
      </c>
      <c r="C65" s="41" t="n">
        <f aca="false">Reference_Values!B65</f>
        <v>11.5235966114608</v>
      </c>
      <c r="D65" s="42" t="n">
        <f aca="false">ABS(B65-C65)</f>
        <v>0</v>
      </c>
      <c r="E65" s="43" t="n">
        <v>1E-009</v>
      </c>
      <c r="F65" s="4" t="str">
        <f aca="false">IF(D65&lt;=E65,"PASS","FAIL")</f>
        <v>PASS</v>
      </c>
    </row>
    <row r="66" customFormat="false" ht="15" hidden="false" customHeight="false" outlineLevel="0" collapsed="false">
      <c r="A66" s="2" t="s">
        <v>465</v>
      </c>
      <c r="B66" s="15" t="n">
        <f aca="false">Hiring!H14</f>
        <v>12.7302874837429</v>
      </c>
      <c r="C66" s="41" t="n">
        <f aca="false">Reference_Values!B66</f>
        <v>12.7302874837429</v>
      </c>
      <c r="D66" s="42" t="n">
        <f aca="false">ABS(B66-C66)</f>
        <v>0</v>
      </c>
      <c r="E66" s="43" t="n">
        <v>1E-009</v>
      </c>
      <c r="F66" s="4" t="str">
        <f aca="false">IF(D66&lt;=E66,"PASS","FAIL")</f>
        <v>PASS</v>
      </c>
    </row>
    <row r="67" customFormat="false" ht="15" hidden="false" customHeight="false" outlineLevel="0" collapsed="false">
      <c r="A67" s="2" t="s">
        <v>467</v>
      </c>
      <c r="B67" s="15" t="n">
        <f aca="false">Hiring!I13</f>
        <v>0.00867892251129554</v>
      </c>
      <c r="C67" s="41" t="n">
        <f aca="false">Reference_Values!B67</f>
        <v>0.00867892251129554</v>
      </c>
      <c r="D67" s="42" t="n">
        <f aca="false">ABS(B67-C67)</f>
        <v>0</v>
      </c>
      <c r="E67" s="43" t="n">
        <v>1E-009</v>
      </c>
      <c r="F67" s="4" t="str">
        <f aca="false">IF(D67&lt;=E67,"PASS","FAIL")</f>
        <v>PASS</v>
      </c>
    </row>
    <row r="68" customFormat="false" ht="15" hidden="false" customHeight="false" outlineLevel="0" collapsed="false">
      <c r="A68" s="2" t="s">
        <v>469</v>
      </c>
      <c r="B68" s="15" t="n">
        <f aca="false">Hiring!I14</f>
        <v>0.163324482262787</v>
      </c>
      <c r="C68" s="41" t="n">
        <f aca="false">Reference_Values!B68</f>
        <v>0.163324482262787</v>
      </c>
      <c r="D68" s="42" t="n">
        <f aca="false">ABS(B68-C68)</f>
        <v>0</v>
      </c>
      <c r="E68" s="43" t="n">
        <v>1E-009</v>
      </c>
      <c r="F68" s="4" t="str">
        <f aca="false">IF(D68&lt;=E68,"PASS","FAIL")</f>
        <v>PASS</v>
      </c>
    </row>
    <row r="69" customFormat="false" ht="15" hidden="false" customHeight="false" outlineLevel="0" collapsed="false">
      <c r="A69" s="2" t="s">
        <v>471</v>
      </c>
      <c r="B69" s="15" t="n">
        <f aca="false">Hiring!B17</f>
        <v>0.00094136400922624</v>
      </c>
      <c r="C69" s="41" t="n">
        <f aca="false">Reference_Values!B69</f>
        <v>0.00094136400922624</v>
      </c>
      <c r="D69" s="42" t="n">
        <f aca="false">ABS(B69-C69)</f>
        <v>0</v>
      </c>
      <c r="E69" s="43" t="n">
        <v>1E-013</v>
      </c>
      <c r="F69" s="4" t="str">
        <f aca="false">IF(D69&lt;=E69,"PASS","FAIL")</f>
        <v>PASS</v>
      </c>
    </row>
    <row r="70" customFormat="false" ht="15" hidden="false" customHeight="false" outlineLevel="0" collapsed="false">
      <c r="A70" s="2" t="s">
        <v>472</v>
      </c>
      <c r="B70" s="15" t="n">
        <f aca="false">Hiring!B18</f>
        <v>4.51854724428595</v>
      </c>
      <c r="C70" s="41" t="n">
        <f aca="false">Reference_Values!B70</f>
        <v>4.51854724428595</v>
      </c>
      <c r="D70" s="42" t="n">
        <f aca="false">ABS(B70-C70)</f>
        <v>0</v>
      </c>
      <c r="E70" s="43" t="n">
        <v>1E-009</v>
      </c>
      <c r="F70" s="4" t="str">
        <f aca="false">IF(D70&lt;=E70,"PASS","FAIL")</f>
        <v>PASS</v>
      </c>
    </row>
    <row r="71" customFormat="false" ht="15" hidden="false" customHeight="false" outlineLevel="0" collapsed="false">
      <c r="A71" s="2" t="s">
        <v>474</v>
      </c>
      <c r="B71" s="15" t="n">
        <f aca="false">Hiring!F23</f>
        <v>4.65902616530473</v>
      </c>
      <c r="C71" s="41" t="n">
        <f aca="false">Reference_Values!B71</f>
        <v>4.65902616530473</v>
      </c>
      <c r="D71" s="42" t="n">
        <f aca="false">ABS(B71-C71)</f>
        <v>0</v>
      </c>
      <c r="E71" s="43" t="n">
        <v>1E-009</v>
      </c>
      <c r="F71" s="4" t="str">
        <f aca="false">IF(D71&lt;=E71,"PASS","FAIL")</f>
        <v>PASS</v>
      </c>
    </row>
    <row r="72" customFormat="false" ht="15" hidden="false" customHeight="false" outlineLevel="0" collapsed="false">
      <c r="A72" s="2" t="s">
        <v>476</v>
      </c>
      <c r="B72" s="15" t="n">
        <f aca="false">Hiring!F24</f>
        <v>5.07001632964462</v>
      </c>
      <c r="C72" s="41" t="n">
        <f aca="false">Reference_Values!B72</f>
        <v>5.07001632964462</v>
      </c>
      <c r="D72" s="42" t="n">
        <f aca="false">ABS(B72-C72)</f>
        <v>0</v>
      </c>
      <c r="E72" s="43" t="n">
        <v>1E-009</v>
      </c>
      <c r="F72" s="4" t="str">
        <f aca="false">IF(D72&lt;=E72,"PASS","FAIL")</f>
        <v>PASS</v>
      </c>
    </row>
    <row r="73" customFormat="false" ht="15" hidden="false" customHeight="false" outlineLevel="0" collapsed="false">
      <c r="A73" s="2" t="s">
        <v>478</v>
      </c>
      <c r="B73" s="15" t="n">
        <f aca="false">Hiring!F25</f>
        <v>5.62438279734186</v>
      </c>
      <c r="C73" s="41" t="n">
        <f aca="false">Reference_Values!B73</f>
        <v>5.62438279734186</v>
      </c>
      <c r="D73" s="42" t="n">
        <f aca="false">ABS(B73-C73)</f>
        <v>0</v>
      </c>
      <c r="E73" s="43" t="n">
        <v>1E-009</v>
      </c>
      <c r="F73" s="4" t="str">
        <f aca="false">IF(D73&lt;=E73,"PASS","FAIL")</f>
        <v>PASS</v>
      </c>
    </row>
    <row r="74" customFormat="false" ht="15" hidden="false" customHeight="false" outlineLevel="0" collapsed="false">
      <c r="A74" s="2" t="s">
        <v>480</v>
      </c>
      <c r="B74" s="15" t="n">
        <f aca="false">Hiring!F26</f>
        <v>11.2832103299206</v>
      </c>
      <c r="C74" s="41" t="n">
        <f aca="false">Reference_Values!B74</f>
        <v>11.2832103299206</v>
      </c>
      <c r="D74" s="42" t="n">
        <f aca="false">ABS(B74-C74)</f>
        <v>0</v>
      </c>
      <c r="E74" s="43" t="n">
        <v>1E-009</v>
      </c>
      <c r="F74" s="4" t="str">
        <f aca="false">IF(D74&lt;=E74,"PASS","FAIL")</f>
        <v>PASS</v>
      </c>
    </row>
    <row r="75" customFormat="false" ht="15" hidden="false" customHeight="false" outlineLevel="0" collapsed="false">
      <c r="A75" s="2" t="s">
        <v>482</v>
      </c>
      <c r="B75" s="15" t="n">
        <f aca="false">Hiring!F27</f>
        <v>20.620973927315</v>
      </c>
      <c r="C75" s="41" t="n">
        <f aca="false">Reference_Values!B75</f>
        <v>20.620973927315</v>
      </c>
      <c r="D75" s="42" t="n">
        <f aca="false">ABS(B75-C75)</f>
        <v>0</v>
      </c>
      <c r="E75" s="43" t="n">
        <v>1E-009</v>
      </c>
      <c r="F75" s="4" t="str">
        <f aca="false">IF(D75&lt;=E75,"PASS","FAIL")</f>
        <v>PASS</v>
      </c>
    </row>
    <row r="76" customFormat="false" ht="15" hidden="false" customHeight="false" outlineLevel="0" collapsed="false">
      <c r="A76" s="2" t="s">
        <v>484</v>
      </c>
      <c r="B76" s="15" t="n">
        <f aca="false">Hiring!E23</f>
        <v>9.70630451105152</v>
      </c>
      <c r="C76" s="41" t="n">
        <f aca="false">Reference_Values!B76</f>
        <v>9.70630451105152</v>
      </c>
      <c r="D76" s="42" t="n">
        <f aca="false">ABS(B76-C76)</f>
        <v>0</v>
      </c>
      <c r="E76" s="43" t="n">
        <v>1E-009</v>
      </c>
      <c r="F76" s="4" t="str">
        <f aca="false">IF(D76&lt;=E76,"PASS","FAIL")</f>
        <v>PASS</v>
      </c>
    </row>
    <row r="77" customFormat="false" ht="15" hidden="false" customHeight="false" outlineLevel="0" collapsed="false">
      <c r="A77" s="2" t="s">
        <v>486</v>
      </c>
      <c r="B77" s="15" t="n">
        <f aca="false">Hiring!E27</f>
        <v>42.9603623485729</v>
      </c>
      <c r="C77" s="41" t="n">
        <f aca="false">Reference_Values!B77</f>
        <v>42.9603623485728</v>
      </c>
      <c r="D77" s="42" t="n">
        <f aca="false">ABS(B77-C77)</f>
        <v>0</v>
      </c>
      <c r="E77" s="43" t="n">
        <v>1E-009</v>
      </c>
      <c r="F77" s="4" t="str">
        <f aca="false">IF(D77&lt;=E77,"PASS","FAIL")</f>
        <v>PASS</v>
      </c>
    </row>
    <row r="78" customFormat="false" ht="15" hidden="false" customHeight="false" outlineLevel="0" collapsed="false">
      <c r="A78" s="2" t="s">
        <v>488</v>
      </c>
      <c r="B78" s="15" t="n">
        <f aca="false">Hiring!B29</f>
        <v>6.4</v>
      </c>
      <c r="C78" s="41" t="n">
        <f aca="false">Reference_Values!B78</f>
        <v>6.4</v>
      </c>
      <c r="D78" s="42" t="n">
        <f aca="false">ABS(B78-C78)</f>
        <v>0</v>
      </c>
      <c r="E78" s="43" t="n">
        <v>1E-009</v>
      </c>
      <c r="F78" s="4" t="str">
        <f aca="false">IF(D78&lt;=E78,"PASS","FAIL")</f>
        <v>PASS</v>
      </c>
    </row>
    <row r="79" customFormat="false" ht="15" hidden="false" customHeight="false" outlineLevel="0" collapsed="false">
      <c r="A79" s="2" t="s">
        <v>490</v>
      </c>
      <c r="B79" s="15" t="n">
        <f aca="false">Hiring!B30</f>
        <v>6.55281398507987</v>
      </c>
      <c r="C79" s="41" t="n">
        <f aca="false">Reference_Values!B79</f>
        <v>6.55281398507987</v>
      </c>
      <c r="D79" s="42" t="n">
        <f aca="false">ABS(B79-C79)</f>
        <v>0</v>
      </c>
      <c r="E79" s="43" t="n">
        <v>1E-009</v>
      </c>
      <c r="F79" s="4" t="str">
        <f aca="false">IF(D79&lt;=E79,"PASS","FAIL")</f>
        <v>PASS</v>
      </c>
    </row>
    <row r="80" customFormat="false" ht="15" hidden="false" customHeight="false" outlineLevel="0" collapsed="false">
      <c r="A80" s="2" t="s">
        <v>336</v>
      </c>
      <c r="B80" s="15" t="n">
        <f aca="false">Hiring!B31</f>
        <v>0.00682161463295537</v>
      </c>
      <c r="C80" s="41" t="n">
        <f aca="false">Reference_Values!B80</f>
        <v>0.00682161463295537</v>
      </c>
      <c r="D80" s="42" t="n">
        <f aca="false">ABS(B80-C80)</f>
        <v>0</v>
      </c>
      <c r="E80" s="43" t="n">
        <v>1E-012</v>
      </c>
      <c r="F80" s="4" t="str">
        <f aca="false">IF(D80&lt;=E80,"PASS","FAIL")</f>
        <v>PASS</v>
      </c>
    </row>
    <row r="81" customFormat="false" ht="15" hidden="false" customHeight="false" outlineLevel="0" collapsed="false">
      <c r="A81" s="2" t="s">
        <v>492</v>
      </c>
      <c r="B81" s="15" t="n">
        <f aca="false">Hiring!B32</f>
        <v>32.7437502381858</v>
      </c>
      <c r="C81" s="41" t="n">
        <f aca="false">Reference_Values!B81</f>
        <v>32.7437502381858</v>
      </c>
      <c r="D81" s="42" t="n">
        <f aca="false">ABS(B81-C81)</f>
        <v>0</v>
      </c>
      <c r="E81" s="43" t="n">
        <v>1E-009</v>
      </c>
      <c r="F81" s="4" t="str">
        <f aca="false">IF(D81&lt;=E81,"PASS","FAIL")</f>
        <v>PASS</v>
      </c>
    </row>
    <row r="82" customFormat="false" ht="15" hidden="false" customHeight="false" outlineLevel="0" collapsed="false">
      <c r="A82" s="2" t="s">
        <v>493</v>
      </c>
      <c r="B82" s="15" t="n">
        <f aca="false">Hiring!I36</f>
        <v>11.170645281394</v>
      </c>
      <c r="C82" s="41" t="n">
        <f aca="false">Reference_Values!B82</f>
        <v>11.170645281394</v>
      </c>
      <c r="D82" s="42" t="n">
        <f aca="false">ABS(B82-C82)</f>
        <v>0</v>
      </c>
      <c r="E82" s="43" t="n">
        <v>1E-009</v>
      </c>
      <c r="F82" s="4" t="str">
        <f aca="false">IF(D82&lt;=E82,"PASS","FAIL")</f>
        <v>PASS</v>
      </c>
    </row>
    <row r="83" customFormat="false" ht="15" hidden="false" customHeight="false" outlineLevel="0" collapsed="false">
      <c r="A83" s="2" t="s">
        <v>495</v>
      </c>
      <c r="B83" s="15" t="n">
        <f aca="false">Hiring!I37</f>
        <v>11.170645281394</v>
      </c>
      <c r="C83" s="41" t="n">
        <f aca="false">Reference_Values!B83</f>
        <v>11.170645281394</v>
      </c>
      <c r="D83" s="42" t="n">
        <f aca="false">ABS(B83-C83)</f>
        <v>0</v>
      </c>
      <c r="E83" s="43" t="n">
        <v>1E-009</v>
      </c>
      <c r="F83" s="4" t="str">
        <f aca="false">IF(D83&lt;=E83,"PASS","FAIL")</f>
        <v>PASS</v>
      </c>
    </row>
    <row r="84" customFormat="false" ht="15" hidden="false" customHeight="false" outlineLevel="0" collapsed="false">
      <c r="A84" s="2" t="s">
        <v>497</v>
      </c>
      <c r="B84" s="15" t="n">
        <f aca="false">Hiring!I39</f>
        <v>11.170645281394</v>
      </c>
      <c r="C84" s="41" t="n">
        <f aca="false">Reference_Values!B84</f>
        <v>11.170645281394</v>
      </c>
      <c r="D84" s="42" t="n">
        <f aca="false">ABS(B84-C84)</f>
        <v>0</v>
      </c>
      <c r="E84" s="43" t="n">
        <v>1E-009</v>
      </c>
      <c r="F84" s="4" t="str">
        <f aca="false">IF(D84&lt;=E84,"PASS","FAIL")</f>
        <v>PASS</v>
      </c>
    </row>
    <row r="85" customFormat="false" ht="15" hidden="false" customHeight="false" outlineLevel="0" collapsed="false">
      <c r="A85" s="2" t="s">
        <v>498</v>
      </c>
      <c r="B85" s="15" t="n">
        <f aca="false">Hiring!I42</f>
        <v>13.1761249365405</v>
      </c>
      <c r="C85" s="41" t="n">
        <f aca="false">Reference_Values!B85</f>
        <v>13.1761249365405</v>
      </c>
      <c r="D85" s="42" t="n">
        <f aca="false">ABS(B85-C85)</f>
        <v>0</v>
      </c>
      <c r="E85" s="43" t="n">
        <v>1E-009</v>
      </c>
      <c r="F85" s="4" t="str">
        <f aca="false">IF(D85&lt;=E85,"PASS","FAIL")</f>
        <v>PASS</v>
      </c>
    </row>
    <row r="86" customFormat="false" ht="15" hidden="false" customHeight="false" outlineLevel="0" collapsed="false">
      <c r="A86" s="2" t="s">
        <v>500</v>
      </c>
      <c r="B86" s="15" t="n">
        <f aca="false">Hiring!I43</f>
        <v>13.286819500329</v>
      </c>
      <c r="C86" s="41" t="n">
        <f aca="false">Reference_Values!B86</f>
        <v>13.286819500329</v>
      </c>
      <c r="D86" s="42" t="n">
        <f aca="false">ABS(B86-C86)</f>
        <v>0</v>
      </c>
      <c r="E86" s="43" t="n">
        <v>1E-009</v>
      </c>
      <c r="F86" s="4" t="str">
        <f aca="false">IF(D86&lt;=E86,"PASS","FAIL")</f>
        <v>PASS</v>
      </c>
    </row>
    <row r="87" customFormat="false" ht="15" hidden="false" customHeight="false" outlineLevel="0" collapsed="false">
      <c r="A87" s="2" t="s">
        <v>502</v>
      </c>
      <c r="B87" s="15" t="n">
        <f aca="false">Hiring!I44</f>
        <v>13.3915983273471</v>
      </c>
      <c r="C87" s="41" t="n">
        <f aca="false">Reference_Values!B87</f>
        <v>13.3915983273471</v>
      </c>
      <c r="D87" s="42" t="n">
        <f aca="false">ABS(B87-C87)</f>
        <v>0</v>
      </c>
      <c r="E87" s="43" t="n">
        <v>1E-009</v>
      </c>
      <c r="F87" s="4" t="str">
        <f aca="false">IF(D87&lt;=E87,"PASS","FAIL")</f>
        <v>PASS</v>
      </c>
    </row>
    <row r="88" customFormat="false" ht="15" hidden="false" customHeight="false" outlineLevel="0" collapsed="false">
      <c r="A88" s="2" t="s">
        <v>504</v>
      </c>
      <c r="B88" s="15" t="n">
        <f aca="false">Hiring!I45</f>
        <v>13.7004124618278</v>
      </c>
      <c r="C88" s="41" t="n">
        <f aca="false">Reference_Values!B88</f>
        <v>13.7004124618278</v>
      </c>
      <c r="D88" s="42" t="n">
        <f aca="false">ABS(B88-C88)</f>
        <v>0</v>
      </c>
      <c r="E88" s="43" t="n">
        <v>1E-009</v>
      </c>
      <c r="F88" s="4" t="str">
        <f aca="false">IF(D88&lt;=E88,"PASS","FAIL")</f>
        <v>PASS</v>
      </c>
    </row>
    <row r="90" customFormat="false" ht="15" hidden="false" customHeight="false" outlineLevel="0" collapsed="false">
      <c r="A90" s="4" t="s">
        <v>510</v>
      </c>
      <c r="F90" s="4" t="str">
        <f aca="false">IF(COUNTIF(F2:F88,"PASS")=87,"ALL PASS","CHECK")</f>
        <v>ALL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2026-10-05T16:39:51Z</dcterms:created>
  <dc:creator>openpyxl</dc:creator>
  <dc:description/>
  <dc:language>en-US</dc:language>
  <cp:lastModifiedBy/>
  <dcterms:modified xsi:type="dcterms:W3CDTF">2026-10-05T16:39:51Z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