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Plan" sheetId="3" state="visible" r:id="rId5"/>
    <sheet name="Robust" sheetId="4" state="visible" r:id="rId6"/>
    <sheet name="Graded" sheetId="5" state="visible" r:id="rId7"/>
    <sheet name="Frontier" sheetId="6" state="visible" r:id="rId8"/>
    <sheet name="Rules" sheetId="7" state="visible" r:id="rId9"/>
    <sheet name="Reference_Values" sheetId="8" state="visible" r:id="rId10"/>
    <sheet name="Checks" sheetId="9" state="visible" r:id="rId11"/>
  </sheets>
  <definedNames>
    <definedName function="false" hidden="false" name="Alpha" vbProcedure="false">Declarations!$B$19</definedName>
    <definedName function="false" hidden="false" name="CapL" vbProcedure="false">Declarations!$B$29</definedName>
    <definedName function="false" hidden="false" name="Depth0" vbProcedure="false">Declarations!$B$8</definedName>
    <definedName function="false" hidden="false" name="DNever" vbProcedure="false">Declarations!$B$24</definedName>
    <definedName function="false" hidden="false" name="DPQ" vbProcedure="false">Declarations!$B$18</definedName>
    <definedName function="false" hidden="false" name="DUsual" vbProcedure="false">Declarations!$B$23</definedName>
    <definedName function="false" hidden="false" name="Fee" vbProcedure="false">Declarations!$B$16</definedName>
    <definedName function="false" hidden="false" name="FloorL" vbProcedure="false">Declarations!$B$10</definedName>
    <definedName function="false" hidden="false" name="GFull" vbProcedure="false">Declarations!$B$27</definedName>
    <definedName function="false" hidden="false" name="GNone" vbProcedure="false">Declarations!$B$28</definedName>
    <definedName function="false" hidden="false" name="Krel" vbProcedure="false">Declarations!$B$7</definedName>
    <definedName function="false" hidden="false" name="Liq0" vbProcedure="false">Declarations!$B$4</definedName>
    <definedName function="false" hidden="false" name="NPaths" vbProcedure="false">Declarations!$B$20</definedName>
    <definedName function="false" hidden="false" name="PerPt" vbProcedure="false">Declarations!$B$5</definedName>
    <definedName function="false" hidden="false" name="SJoint" vbProcedure="false">Declarations!$B$30</definedName>
    <definedName function="false" hidden="false" name="SNever" vbProcedure="false">Declarations!$B$26</definedName>
    <definedName function="false" hidden="false" name="SPlaus" vbProcedure="false">Declarations!$B$25</definedName>
    <definedName function="false" hidden="false" name="Tpk" vbProcedure="false">Declarations!$B$9</definedName>
    <definedName function="false" hidden="false" name="VQ" vbProcedure="false">Declarations!$B$17</definedName>
    <definedName function="false" hidden="false" name="Xinf" vbProcedure="false">Declarations!$B$6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<sst xmlns="http://schemas.openxmlformats.org/spreadsheetml/2006/main" count="710" uniqueCount="486">
  <si>
    <t xml:space="preserve">DCT Laboratory — Vol II, Ch 10: Neuro-Fuzzy Robust Enterprise Optimization</t>
  </si>
  <si>
    <t xml:space="preserve">Seed 26210 · Companion to DCT_V2_Ch10_Lab.ipynb and AXIOM Lab 2.10 (module AXIOM-10). Money in $ million.</t>
  </si>
  <si>
    <t xml:space="preserve">Worked Example 10.1, What Can Meridian Guarantee Without Odds?, with the book's declarations: Chapter 9's levers and floor; the engineering office's bound on deviations and the treasury's bound on a closure, crisp and in graded words; the board's graded goal for cost. Chances are judged under Chapter 9's law on the book's 100,000 paths (seed 8) and its 100,000 fresh paths (seed 26209).</t>
  </si>
  <si>
    <t xml:space="preserve">Declarations: the law, the levers and their prices, the offices' words, the board's goal, the bank's cap.</t>
  </si>
  <si>
    <t xml:space="preserve">Plan: the plan's margin above the floor and the lift of a quarter of delay, quarter by quarter; the binding quarter and the prices of a dollar by line and by delay (Section 10.2).</t>
  </si>
  <si>
    <t xml:space="preserve">Robust: packages robust on declared sets in closed form, with the binding quarter and a cap on the line (Proposition 10.1(ii); Steps 1-2 and 5); Proposition 10.3(iii)'s quiet-then-damage future.</t>
  </si>
  <si>
    <t xml:space="preserve">Graded: the 101 cuts of the offices' words, the graded price, the board's goal and the max-min choice (Theorem 10.2; Proposition 10.2; Figure 10.1; Step 3).</t>
  </si>
  <si>
    <t xml:space="preserve">Frontier: Chapter 9's cheapest package for each appetite and Table 10.3 (Theorem 10.1(iii); Figure 10.3; Step 4).</t>
  </si>
  <si>
    <t xml:space="preserve">Rules: the eight neuro-fuzzy rules, their conclusions and slopes, and the Sugeno output at any declaration against the exact robust cost (Theorem 10.3; Equation 10.2; Step 5).</t>
  </si>
  <si>
    <t xml:space="preserve">Engine values (green) are what needs Chapter 9's simulated paths (chances, the share of paths inside a set, the frontier's lines and delays) or the neuro-fuzzy training (widths, coefficients, the certification grid). Everything else is a formula.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</si>
  <si>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</si>
  <si>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</si>
  <si>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</si>
  <si>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</si>
  <si>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</si>
  <si>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</si>
  <si>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10.1, Step 1; Chapter 9's law and levers). Money in $ million.</t>
  </si>
  <si>
    <t xml:space="preserve">Quantity</t>
  </si>
  <si>
    <t xml:space="preserve">Value</t>
  </si>
  <si>
    <t xml:space="preserve">Source</t>
  </si>
  <si>
    <t xml:space="preserve">Liquidity today</t>
  </si>
  <si>
    <t xml:space="preserve">Meridian's state (Volume I, Chapter 1)</t>
  </si>
  <si>
    <t xml:space="preserve">$ million per index point</t>
  </si>
  <si>
    <t xml:space="preserve">Index 100 = $620 million</t>
  </si>
  <si>
    <t xml:space="preserve">Plan without the draw: long-run index</t>
  </si>
  <si>
    <t xml:space="preserve">The Chapter 1 plan relaxes from 100 toward 112</t>
  </si>
  <si>
    <t xml:space="preserve">  at the rate (a year)</t>
  </si>
  <si>
    <t xml:space="preserve">The draw's depth (index points)</t>
  </si>
  <si>
    <t xml:space="preserve">The digital program's draw, deepest at two years</t>
  </si>
  <si>
    <t xml:space="preserve">The draw is deepest at (years)</t>
  </si>
  <si>
    <t xml:space="preserve">Shape S(t) = (t/2) e^(1 - t/2)</t>
  </si>
  <si>
    <t xml:space="preserve">Floor</t>
  </si>
  <si>
    <t xml:space="preserve">The board's floor</t>
  </si>
  <si>
    <t xml:space="preserve">Persistence of a deviation a quarter</t>
  </si>
  <si>
    <t xml:space="preserve">E' = 0.6 E + w (Volume I, Chapter 8)</t>
  </si>
  <si>
    <t xml:space="preserve">Standard deviation of w, a quarter</t>
  </si>
  <si>
    <t xml:space="preserve">Funding-window closures a year</t>
  </si>
  <si>
    <t xml:space="preserve">About once a decade</t>
  </si>
  <si>
    <t xml:space="preserve">Closure size: mean</t>
  </si>
  <si>
    <t xml:space="preserve">Gamma-distributed, never recovered</t>
  </si>
  <si>
    <t xml:space="preserve">Closure size: standard deviation</t>
  </si>
  <si>
    <t xml:space="preserve">Line fees over the program, per $ of line</t>
  </si>
  <si>
    <t xml:space="preserve">The treasury</t>
  </si>
  <si>
    <t xml:space="preserve">A quarter of delay</t>
  </si>
  <si>
    <t xml:space="preserve">The transformation office</t>
  </si>
  <si>
    <t xml:space="preserve">Depth cut by a quarter of delay (points)</t>
  </si>
  <si>
    <t xml:space="preserve">The appetite</t>
  </si>
  <si>
    <t xml:space="preserve">At most a 5 percent chance of a breach in some quarter</t>
  </si>
  <si>
    <t xml:space="preserve">Paths (the book's, seed 8; fresh, seed 26209)</t>
  </si>
  <si>
    <t xml:space="preserve">Chapter 9's law</t>
  </si>
  <si>
    <t xml:space="preserve">The new declarations: bounds without odds, graded words, the board's goal (Worked Example 10.1, Steps 1-4)</t>
  </si>
  <si>
    <t xml:space="preserve">Deviations: usually within</t>
  </si>
  <si>
    <t xml:space="preserve">The engineering office: possibility 1 up to here</t>
  </si>
  <si>
    <t xml:space="preserve">Deviations: never beyond</t>
  </si>
  <si>
    <t xml:space="preserve">Possibility 0 beyond; the cut at alpha: 200 - 150 alpha</t>
  </si>
  <si>
    <t xml:space="preserve">A closure: most plausibly about</t>
  </si>
  <si>
    <t xml:space="preserve">The treasury: possibility 1 up to here</t>
  </si>
  <si>
    <t xml:space="preserve">A closure: never above</t>
  </si>
  <si>
    <t xml:space="preserve">Possibility 0 beyond; the cut at alpha: 300 - 180 alpha</t>
  </si>
  <si>
    <t xml:space="preserve">The board's goal: a guarantee should cost about ... or less</t>
  </si>
  <si>
    <t xml:space="preserve">Goal 1 up to here</t>
  </si>
  <si>
    <t xml:space="preserve">  and surely no more than</t>
  </si>
  <si>
    <t xml:space="preserve">Goal 0 beyond; linear between</t>
  </si>
  <si>
    <t xml:space="preserve">A bank's cap on the line</t>
  </si>
  <si>
    <t xml:space="preserve">Worked Example 10.1, Step 4</t>
  </si>
  <si>
    <t xml:space="preserve">Volume I's joint check: one closure of at most</t>
  </si>
  <si>
    <t xml:space="preserve">Volume I, Worked Example 13.1: the 90th percentile, at the deepest draw</t>
  </si>
  <si>
    <t xml:space="preserve">A closure's 90th percentile under the law</t>
  </si>
  <si>
    <t xml:space="preserve">Gamma with mean 120 and standard deviation 50: $187 million</t>
  </si>
  <si>
    <t xml:space="preserve">The plan's margin above the floor and the lift of a quarter of delay (Section 10.2; Proposition 10.1(ii); AXIOM Lab 2.10, step 1)</t>
  </si>
  <si>
    <t xml:space="preserve">On U(D, S) the floor holds in quarter k exactly when m_k + l_k phi - D - (S - l)^+ &gt;= 0. A line covers a dollar of closure for 3 cents; delay buys a dollar of liquidity in quarter k for 8 / l_k.</t>
  </si>
  <si>
    <t xml:space="preserve">Quarter k</t>
  </si>
  <si>
    <t xml:space="preserve">t (years)</t>
  </si>
  <si>
    <t xml:space="preserve">Plan index without the draw</t>
  </si>
  <si>
    <t xml:space="preserve">Without the draw ($m)</t>
  </si>
  <si>
    <t xml:space="preserve">The draw's shape S</t>
  </si>
  <si>
    <t xml:space="preserve">$m per point of depth</t>
  </si>
  <si>
    <t xml:space="preserve">Planned liquidity ($m)</t>
  </si>
  <si>
    <t xml:space="preserve">Margin above the floor, m_k</t>
  </si>
  <si>
    <t xml:space="preserve">Lift of a quarter of delay, l_k</t>
  </si>
  <si>
    <t xml:space="preserve">Delay's price a dollar of liquidity</t>
  </si>
  <si>
    <t xml:space="preserve">The plan's least margin above the floor</t>
  </si>
  <si>
    <t xml:space="preserve">$132 million</t>
  </si>
  <si>
    <t xml:space="preserve">  in quarter</t>
  </si>
  <si>
    <t xml:space="preserve">7: the binding quarter of the crisp set</t>
  </si>
  <si>
    <t xml:space="preserve">A quarter of delay lifts that quarter by</t>
  </si>
  <si>
    <t xml:space="preserve">$24.6 million</t>
  </si>
  <si>
    <t xml:space="preserve">The line's price a dollar of closure</t>
  </si>
  <si>
    <t xml:space="preserve">3 cents</t>
  </si>
  <si>
    <t xml:space="preserve">Delay's price a dollar of liquidity there</t>
  </si>
  <si>
    <t xml:space="preserve">About 33 cents</t>
  </si>
  <si>
    <t xml:space="preserve">Planned liquidity at its low point</t>
  </si>
  <si>
    <t xml:space="preserve">$482 million</t>
  </si>
  <si>
    <t xml:space="preserve">Robust packages on declared sets (Proposition 10.1(ii); Worked Example 10.1, Steps 1-2 and 5; AXIOM Lab 2.10, step 1)</t>
  </si>
  <si>
    <t xml:space="preserve">The least delay the deviations need, phi* = max(0, max_k (D - m_k)/l_k); the margin absorbs u* = min(S, min_k (m_k - D + l_k phi*)) of a closure; the line covers the rest, l = S - u*. With a cap on the line, u = S - cap and the delay carries it. The binding quarter is where (D + u - m_k)/l_k is largest.</t>
  </si>
  <si>
    <t xml:space="preserve">Declared set</t>
  </si>
  <si>
    <t xml:space="preserve">Cut alpha</t>
  </si>
  <si>
    <t xml:space="preserve">D: deviations' bound</t>
  </si>
  <si>
    <t xml:space="preserve">S: closure's bound</t>
  </si>
  <si>
    <t xml:space="preserve">Cap on the line</t>
  </si>
  <si>
    <t xml:space="preserve">Delay the deviations need</t>
  </si>
  <si>
    <t xml:space="preserve">Margin absorbs (no cap)</t>
  </si>
  <si>
    <t xml:space="preserve">Capped?</t>
  </si>
  <si>
    <t xml:space="preserve">Margin absorbs</t>
  </si>
  <si>
    <t xml:space="preserve">Line</t>
  </si>
  <si>
    <t xml:space="preserve">Delay</t>
  </si>
  <si>
    <t xml:space="preserve">Cost</t>
  </si>
  <si>
    <t xml:space="preserve">Need, q1</t>
  </si>
  <si>
    <t xml:space="preserve">Need, q2</t>
  </si>
  <si>
    <t xml:space="preserve">Need, q3</t>
  </si>
  <si>
    <t xml:space="preserve">Need, q4</t>
  </si>
  <si>
    <t xml:space="preserve">Need, q5</t>
  </si>
  <si>
    <t xml:space="preserve">Need, q6</t>
  </si>
  <si>
    <t xml:space="preserve">Need, q7</t>
  </si>
  <si>
    <t xml:space="preserve">Need, q8</t>
  </si>
  <si>
    <t xml:space="preserve">Need, q9</t>
  </si>
  <si>
    <t xml:space="preserve">Need, q10</t>
  </si>
  <si>
    <t xml:space="preserve">Need, q11</t>
  </si>
  <si>
    <t xml:space="preserve">Need, q12</t>
  </si>
  <si>
    <t xml:space="preserve">Binding quarter</t>
  </si>
  <si>
    <t xml:space="preserve">Paths in the set (engine)</t>
  </si>
  <si>
    <t xml:space="preserve">Breach under the law (engine)</t>
  </si>
  <si>
    <t xml:space="preserve">Fresh paths (engine)</t>
  </si>
  <si>
    <t xml:space="preserve">Volume I's joint check</t>
  </si>
  <si>
    <t xml:space="preserve">Crisp set (the 0.5-cut)</t>
  </si>
  <si>
    <t xml:space="preserve">Max-min choice</t>
  </si>
  <si>
    <t xml:space="preserve">Meeting 5% under the law</t>
  </si>
  <si>
    <t xml:space="preserve">95% of paths in the set</t>
  </si>
  <si>
    <t xml:space="preserve">The whole support (the 0-cut)</t>
  </si>
  <si>
    <t xml:space="preserve">The revision of Step 5</t>
  </si>
  <si>
    <t xml:space="preserve">The crisp set, the line capped</t>
  </si>
  <si>
    <t xml:space="preserve">The crisp set: deviations use, of the least margin</t>
  </si>
  <si>
    <t xml:space="preserve">$125 million of $132 million</t>
  </si>
  <si>
    <t xml:space="preserve">  the closure's first part fits in the rest</t>
  </si>
  <si>
    <t xml:space="preserve">$7 million</t>
  </si>
  <si>
    <t xml:space="preserve">  the line covers the remainder</t>
  </si>
  <si>
    <t xml:space="preserve">$203 million, no delay: $6.09 million</t>
  </si>
  <si>
    <t xml:space="preserve">  the set holds (engine)</t>
  </si>
  <si>
    <t xml:space="preserve">79 percent of the book's paths</t>
  </si>
  <si>
    <t xml:space="preserve">  so Theorem 10.1(iii) promised a chance of at most</t>
  </si>
  <si>
    <t xml:space="preserve">21 percent; under the law 8.6 percent</t>
  </si>
  <si>
    <t xml:space="preserve">Proposition 10.3(iii): quarter 7 on a future quiet through quarter 6, then deviations at -D and the closure, crisp package</t>
  </si>
  <si>
    <t xml:space="preserve">Exactly the floor: cash read before quarter 7 saw nothing, so a rule that reads cash saves nothing</t>
  </si>
  <si>
    <t xml:space="preserve">Volume I's joint check: the margin absorbs</t>
  </si>
  <si>
    <t xml:space="preserve">All of quarter 7's margin</t>
  </si>
  <si>
    <t xml:space="preserve">  breach under the law (engine)</t>
  </si>
  <si>
    <t xml:space="preserve">17.4 percent: its set left out the deviations, which alone breach 8.4 percent</t>
  </si>
  <si>
    <t xml:space="preserve">Change D, S or the cap in the blue cells: the package, its cost and the binding quarter recompute. The chances need Chapter 9's paths and stay the engine's.</t>
  </si>
  <si>
    <t xml:space="preserve">The offices' words cut by cut, the graded price, and the max-min choice (Theorem 10.2; Proposition 10.2; Figure 10.1; Worked Example 10.1, Step 3; AXIOM Lab 2.10, step 2)</t>
  </si>
  <si>
    <t xml:space="preserve">Cut at alpha: D = 200 - 150 alpha, S = 300 - 180 alpha (Theorem 10.2(i)); necessity of safety 1 - alpha (Theorem 10.2(ii)); the board's goal (20 - cost)/15, clipped to [0, 1]; the max-min choice maximizes the smaller of the goal and the necessity (Theorem 10.2(iii)), on the book's grid of 0.01.</t>
  </si>
  <si>
    <t xml:space="preserve">D</t>
  </si>
  <si>
    <t xml:space="preserve">S</t>
  </si>
  <si>
    <t xml:space="preserve">Goal for cost</t>
  </si>
  <si>
    <t xml:space="preserve">Necessity of safety</t>
  </si>
  <si>
    <t xml:space="preserve">Level: min(goal, necessity)</t>
  </si>
  <si>
    <t xml:space="preserve">Meets 5%: alpha</t>
  </si>
  <si>
    <t xml:space="preserve">Holds 95%: alpha</t>
  </si>
  <si>
    <t xml:space="preserve">'Very cheap': level</t>
  </si>
  <si>
    <t xml:space="preserve">'Somewhat cheap': level</t>
  </si>
  <si>
    <t xml:space="preserve">Max-min level</t>
  </si>
  <si>
    <t xml:space="preserve">0.62</t>
  </si>
  <si>
    <t xml:space="preserve">  at the cut</t>
  </si>
  <si>
    <t xml:space="preserve">0.38 (ties: the larger cut)</t>
  </si>
  <si>
    <t xml:space="preserve">  necessity of safety</t>
  </si>
  <si>
    <t xml:space="preserve">  goal for its cost</t>
  </si>
  <si>
    <t xml:space="preserve">0.630</t>
  </si>
  <si>
    <t xml:space="preserve">  cost</t>
  </si>
  <si>
    <t xml:space="preserve">$10.54 million; package on Robust</t>
  </si>
  <si>
    <t xml:space="preserve">Cheapest cut meeting 5% under the law</t>
  </si>
  <si>
    <t xml:space="preserve">0.35: $12.17 million</t>
  </si>
  <si>
    <t xml:space="preserve">First cut holding 95% of the paths</t>
  </si>
  <si>
    <t xml:space="preserve">0.08: $26.92 million (Theorem 10.1(iii))</t>
  </si>
  <si>
    <t xml:space="preserve">Graded price at possibility 1</t>
  </si>
  <si>
    <t xml:space="preserve">$1.14 million</t>
  </si>
  <si>
    <t xml:space="preserve">  at possibility 0</t>
  </si>
  <si>
    <t xml:space="preserve">$31.37 million</t>
  </si>
  <si>
    <t xml:space="preserve">  its 0.5-cut (Proposition 10.2(i))</t>
  </si>
  <si>
    <t xml:space="preserve">Step 2's crisp answer, $6.09 million</t>
  </si>
  <si>
    <t xml:space="preserve">  the crisp set's package (Robust)</t>
  </si>
  <si>
    <t xml:space="preserve">Steps where the price falls as the set grows</t>
  </si>
  <si>
    <t xml:space="preserve">None (Theorem 10.2(ii))</t>
  </si>
  <si>
    <t xml:space="preserve">Cuts whose chance exceeds the share of paths outside the set</t>
  </si>
  <si>
    <t xml:space="preserve">None (Theorem 10.1(iii))</t>
  </si>
  <si>
    <t xml:space="preserve">Largest standard error of a chance (points)</t>
  </si>
  <si>
    <t xml:space="preserve">Below 0.13 points</t>
  </si>
  <si>
    <t xml:space="preserve">Hedges: the level with a goal 'very cheap'</t>
  </si>
  <si>
    <t xml:space="preserve">The goal squared (the lab's illustration)</t>
  </si>
  <si>
    <t xml:space="preserve">  with a goal 'somewhat cheap'</t>
  </si>
  <si>
    <t xml:space="preserve">The goal's square root</t>
  </si>
  <si>
    <t xml:space="preserve">  a stronger goal can only lower the level: violations</t>
  </si>
  <si>
    <t xml:space="preserve">Proposition 10.2(iii)</t>
  </si>
  <si>
    <t xml:space="preserve">Chapter 9's frontier and Table 10.3: guarantees beside chances (Theorem 10.1(iii); Figure 10.3; Worked Example 10.1, Step 4; AXIOM Lab 2.10, step 3)</t>
  </si>
  <si>
    <t xml:space="preserve">For each appetite, Chapter 9's cheapest committed package under the law: the line on a $5 million grid and the delay continuous (engine, on the book's 100,000 paths); its cost is 0.03 l + 8 phi.</t>
  </si>
  <si>
    <t xml:space="preserve">Appetite</t>
  </si>
  <si>
    <t xml:space="preserve">Line (engine)</t>
  </si>
  <si>
    <t xml:space="preserve">Delay (engine)</t>
  </si>
  <si>
    <t xml:space="preserve">Fees</t>
  </si>
  <si>
    <t xml:space="preserve">Delay cost</t>
  </si>
  <si>
    <t xml:space="preserve">Table 10.3: packages robust on declared sets, and their chance of a breach under Chapter 9's law</t>
  </si>
  <si>
    <t xml:space="preserve">Set</t>
  </si>
  <si>
    <t xml:space="preserve">Breach (engine)</t>
  </si>
  <si>
    <t xml:space="preserve">Max-min choice (0.38-cut)</t>
  </si>
  <si>
    <t xml:space="preserve">Meeting 5% (0.35-cut)</t>
  </si>
  <si>
    <t xml:space="preserve">95% of paths (0.08-cut)</t>
  </si>
  <si>
    <t xml:space="preserve">The whole support (0-cut)</t>
  </si>
  <si>
    <t xml:space="preserve">Volume I's package (law)</t>
  </si>
  <si>
    <t xml:space="preserve">The max-min package costs more than Volume I's by</t>
  </si>
  <si>
    <t xml:space="preserve">$10.54 million against $10.44 million</t>
  </si>
  <si>
    <t xml:space="preserve">  and breaches more often by (points)</t>
  </si>
  <si>
    <t xml:space="preserve">5.6 percent against 5.0</t>
  </si>
  <si>
    <t xml:space="preserve">Meeting 5% with a cut costs more than Volume I's package by</t>
  </si>
  <si>
    <t xml:space="preserve">$12.17 million: the set is designed for the set, not the law</t>
  </si>
  <si>
    <t xml:space="preserve">A set holding 95% of the paths: cost</t>
  </si>
  <si>
    <t xml:space="preserve">$26.92 million for 0.8 percent: Theorem 10.1(iii) is conservative</t>
  </si>
  <si>
    <t xml:space="preserve">A $100 million cap on the line, the crisp set: delay</t>
  </si>
  <si>
    <t xml:space="preserve">4.3 quarters</t>
  </si>
  <si>
    <t xml:space="preserve">$37.23 million: the cap is worth negotiating</t>
  </si>
  <si>
    <t xml:space="preserve">The eight-rule neuro-fuzzy price surface (Theorem 10.3; Equation 10.2; Section 10.4; Worked Example 10.1, Step 5; AXIOM Lab 2.10, steps 4-5)</t>
  </si>
  <si>
    <t xml:space="preserve">Gaussian terms centred at the offices' anchors; each rule concludes theta0 + theta1 u + theta2 v, u = (D - 25)/225, v = S/350; the output is the firing-weighted average of the conclusions. Widths and conclusions come from the notebook's hybrid learning (engine); everything else is a formula.</t>
  </si>
  <si>
    <t xml:space="preserve">Normalized inputs</t>
  </si>
  <si>
    <t xml:space="preserve">Deviations' bound: low</t>
  </si>
  <si>
    <t xml:space="preserve">u = (D - low) / (high - low)</t>
  </si>
  <si>
    <t xml:space="preserve">Deviations' bound: high</t>
  </si>
  <si>
    <t xml:space="preserve">Closure's bound: low</t>
  </si>
  <si>
    <t xml:space="preserve">v = (S - low) / (high - low)</t>
  </si>
  <si>
    <t xml:space="preserve">Closure's bound: high</t>
  </si>
  <si>
    <t xml:space="preserve">Term</t>
  </si>
  <si>
    <t xml:space="preserve">Declaration</t>
  </si>
  <si>
    <t xml:space="preserve">Anchor ($m)</t>
  </si>
  <si>
    <t xml:space="preserve">Centre (normalized)</t>
  </si>
  <si>
    <t xml:space="preserve">Learned width (engine)</t>
  </si>
  <si>
    <t xml:space="preserve">mild</t>
  </si>
  <si>
    <t xml:space="preserve">deviations</t>
  </si>
  <si>
    <t xml:space="preserve">moderate</t>
  </si>
  <si>
    <t xml:space="preserve">severe</t>
  </si>
  <si>
    <t xml:space="preserve">extreme</t>
  </si>
  <si>
    <t xml:space="preserve">small</t>
  </si>
  <si>
    <t xml:space="preserve">closures</t>
  </si>
  <si>
    <t xml:space="preserve">large</t>
  </si>
  <si>
    <t xml:space="preserve">Rule</t>
  </si>
  <si>
    <t xml:space="preserve">Anchor D</t>
  </si>
  <si>
    <t xml:space="preserve">Anchor S</t>
  </si>
  <si>
    <t xml:space="preserve">u at anchor</t>
  </si>
  <si>
    <t xml:space="preserve">v at anchor</t>
  </si>
  <si>
    <t xml:space="preserve">theta0 (engine)</t>
  </si>
  <si>
    <t xml:space="preserve">theta1 (engine)</t>
  </si>
  <si>
    <t xml:space="preserve">theta2 (engine)</t>
  </si>
  <si>
    <t xml:space="preserve">Conclusion at anchor</t>
  </si>
  <si>
    <t xml:space="preserve">Exact: delay</t>
  </si>
  <si>
    <t xml:space="preserve">Exact: margin absorbs</t>
  </si>
  <si>
    <t xml:space="preserve">Exact cost at anchor</t>
  </si>
  <si>
    <t xml:space="preserve">Per $m of D</t>
  </si>
  <si>
    <t xml:space="preserve">Per $m of S</t>
  </si>
  <si>
    <t xml:space="preserve">Conclusion less exact</t>
  </si>
  <si>
    <t xml:space="preserve">mild-small</t>
  </si>
  <si>
    <t xml:space="preserve">mild-large</t>
  </si>
  <si>
    <t xml:space="preserve">moderate-small</t>
  </si>
  <si>
    <t xml:space="preserve">moderate-large</t>
  </si>
  <si>
    <t xml:space="preserve">severe-small</t>
  </si>
  <si>
    <t xml:space="preserve">severe-large</t>
  </si>
  <si>
    <t xml:space="preserve">extreme-small</t>
  </si>
  <si>
    <t xml:space="preserve">extreme-large</t>
  </si>
  <si>
    <t xml:space="preserve">Where the line is needed the rules charge about 3 cents a dollar of closure, the line's fee; the severe and extreme rules about 33 and 35 cents a dollar of deviation, the price of delay.</t>
  </si>
  <si>
    <t xml:space="preserve">The surface at any declaration (Equation 10.2), against the exact robust cost</t>
  </si>
  <si>
    <t xml:space="preserve">The largest error on the grid</t>
  </si>
  <si>
    <t xml:space="preserve">u</t>
  </si>
  <si>
    <t xml:space="preserve">v</t>
  </si>
  <si>
    <t xml:space="preserve">membership: deviations mild</t>
  </si>
  <si>
    <t xml:space="preserve">membership: deviations moderate</t>
  </si>
  <si>
    <t xml:space="preserve">membership: deviations severe</t>
  </si>
  <si>
    <t xml:space="preserve">membership: deviations extreme</t>
  </si>
  <si>
    <t xml:space="preserve">membership: closures small</t>
  </si>
  <si>
    <t xml:space="preserve">membership: closures large</t>
  </si>
  <si>
    <t xml:space="preserve">firing: mild-small</t>
  </si>
  <si>
    <t xml:space="preserve">firing: mild-large</t>
  </si>
  <si>
    <t xml:space="preserve">firing: moderate-small</t>
  </si>
  <si>
    <t xml:space="preserve">firing: moderate-large</t>
  </si>
  <si>
    <t xml:space="preserve">firing: severe-small</t>
  </si>
  <si>
    <t xml:space="preserve">firing: severe-large</t>
  </si>
  <si>
    <t xml:space="preserve">firing: extreme-small</t>
  </si>
  <si>
    <t xml:space="preserve">firing: extreme-large</t>
  </si>
  <si>
    <t xml:space="preserve">conclusion: mild-small</t>
  </si>
  <si>
    <t xml:space="preserve">conclusion: mild-large</t>
  </si>
  <si>
    <t xml:space="preserve">conclusion: moderate-small</t>
  </si>
  <si>
    <t xml:space="preserve">conclusion: moderate-large</t>
  </si>
  <si>
    <t xml:space="preserve">conclusion: severe-small</t>
  </si>
  <si>
    <t xml:space="preserve">conclusion: severe-large</t>
  </si>
  <si>
    <t xml:space="preserve">conclusion: extreme-small</t>
  </si>
  <si>
    <t xml:space="preserve">conclusion: extreme-large</t>
  </si>
  <si>
    <t xml:space="preserve">The surface: firing-weighted average of the conclusions</t>
  </si>
  <si>
    <t xml:space="preserve">Exact: the delay the deviations need</t>
  </si>
  <si>
    <t xml:space="preserve">Exact: the margin absorbs</t>
  </si>
  <si>
    <t xml:space="preserve">Exact: line</t>
  </si>
  <si>
    <t xml:space="preserve">Exact robust cost</t>
  </si>
  <si>
    <t xml:space="preserve">The surface less the exact cost</t>
  </si>
  <si>
    <t xml:space="preserve">Training and certification (engine: the notebook's hybrid learning and its grid check)</t>
  </si>
  <si>
    <t xml:space="preserve">Exact robust costs learned from (grid D 25-250 by S 0-350, spacing 25)</t>
  </si>
  <si>
    <t xml:space="preserve">Armijo steps on the widths</t>
  </si>
  <si>
    <t xml:space="preserve">Within [0.03, 0.6]</t>
  </si>
  <si>
    <t xml:space="preserve">Mean squared error at the start</t>
  </si>
  <si>
    <t xml:space="preserve">0.0802</t>
  </si>
  <si>
    <t xml:space="preserve">  after training</t>
  </si>
  <si>
    <t xml:space="preserve">0.00806</t>
  </si>
  <si>
    <t xml:space="preserve">Declarations certified (grid of spacing 5)</t>
  </si>
  <si>
    <t xml:space="preserve">3,266</t>
  </si>
  <si>
    <t xml:space="preserve">Root-mean-square error</t>
  </si>
  <si>
    <t xml:space="preserve">0.158</t>
  </si>
  <si>
    <t xml:space="preserve">Within $0.25 million</t>
  </si>
  <si>
    <t xml:space="preserve">93.5 percent</t>
  </si>
  <si>
    <t xml:space="preserve">Largest error</t>
  </si>
  <si>
    <t xml:space="preserve">0.954 at D 135, S 70, beside the corner; column C above recomputes it</t>
  </si>
  <si>
    <t xml:space="preserve">Six rules trained for accuracy alone: root-mean-square error</t>
  </si>
  <si>
    <t xml:space="preserve">0.183, about as accurate</t>
  </si>
  <si>
    <t xml:space="preserve">  their conclusions at their centres</t>
  </si>
  <si>
    <t xml:space="preserve">-0.03, 6.71, 58.64, -9.56, -19.49, 61.58</t>
  </si>
  <si>
    <t xml:space="preserve">From -19 to 62: no office could read them</t>
  </si>
  <si>
    <t xml:space="preserve">Checkpoint</t>
  </si>
  <si>
    <t xml:space="preserve">Engine value</t>
  </si>
  <si>
    <t xml:space="preserve">Meaning (where in the book)</t>
  </si>
  <si>
    <t xml:space="preserve">A closure's 90th percentile</t>
  </si>
  <si>
    <t xml:space="preserve">Section 10.1: $187 million</t>
  </si>
  <si>
    <t xml:space="preserve">The plan's least margin</t>
  </si>
  <si>
    <t xml:space="preserve">Quarter 7</t>
  </si>
  <si>
    <t xml:space="preserve">A quarter of delay lifts quarter 7 by</t>
  </si>
  <si>
    <t xml:space="preserve">Delay's price a dollar at quarter 7</t>
  </si>
  <si>
    <t xml:space="preserve">Plan's margin, quarter 1</t>
  </si>
  <si>
    <t xml:space="preserve">Online Appendix Example 10.B.2</t>
  </si>
  <si>
    <t xml:space="preserve">Plan's margin, quarter 2</t>
  </si>
  <si>
    <t xml:space="preserve">Plan's margin, quarter 3</t>
  </si>
  <si>
    <t xml:space="preserve">Plan's margin, quarter 4</t>
  </si>
  <si>
    <t xml:space="preserve">Plan's margin, quarter 5</t>
  </si>
  <si>
    <t xml:space="preserve">Plan's margin, quarter 6</t>
  </si>
  <si>
    <t xml:space="preserve">Plan's margin, quarter 7</t>
  </si>
  <si>
    <t xml:space="preserve">Plan's margin, quarter 8</t>
  </si>
  <si>
    <t xml:space="preserve">Plan's margin, quarter 9</t>
  </si>
  <si>
    <t xml:space="preserve">Plan's margin, quarter 10</t>
  </si>
  <si>
    <t xml:space="preserve">Plan's margin, quarter 11</t>
  </si>
  <si>
    <t xml:space="preserve">Plan's margin, quarter 12</t>
  </si>
  <si>
    <t xml:space="preserve">Joint check: line</t>
  </si>
  <si>
    <t xml:space="preserve">$55 million</t>
  </si>
  <si>
    <t xml:space="preserve">Joint check: delay</t>
  </si>
  <si>
    <t xml:space="preserve">No delay</t>
  </si>
  <si>
    <t xml:space="preserve">Joint check: cost</t>
  </si>
  <si>
    <t xml:space="preserve">$1.65 million</t>
  </si>
  <si>
    <t xml:space="preserve">Crisp set: the margin absorbs</t>
  </si>
  <si>
    <t xml:space="preserve">Crisp set: line</t>
  </si>
  <si>
    <t xml:space="preserve">$203 million</t>
  </si>
  <si>
    <t xml:space="preserve">Crisp set: delay</t>
  </si>
  <si>
    <t xml:space="preserve">Crisp set: cost</t>
  </si>
  <si>
    <t xml:space="preserve">$6.09 million</t>
  </si>
  <si>
    <t xml:space="preserve">Crisp set: binding quarter</t>
  </si>
  <si>
    <t xml:space="preserve">Crisp set: Theorem 10.1(iii) promised at most</t>
  </si>
  <si>
    <t xml:space="preserve">21 percent</t>
  </si>
  <si>
    <t xml:space="preserve">Proposition 10.3(iii): quarter 7 on the damage path</t>
  </si>
  <si>
    <t xml:space="preserve">The floor, $350 million</t>
  </si>
  <si>
    <t xml:space="preserve">The whole support: binding quarter</t>
  </si>
  <si>
    <t xml:space="preserve">Quarter 6 at the cuts 0 and 0.1</t>
  </si>
  <si>
    <t xml:space="preserve">Cut 1.0: line</t>
  </si>
  <si>
    <t xml:space="preserve">Cut 1.0: delay</t>
  </si>
  <si>
    <t xml:space="preserve">Cut 1.0: cost</t>
  </si>
  <si>
    <t xml:space="preserve">$1.14 million at 1 to $31.37 million at 0</t>
  </si>
  <si>
    <t xml:space="preserve">Cut 0.9: line</t>
  </si>
  <si>
    <t xml:space="preserve">Cut 0.9: delay</t>
  </si>
  <si>
    <t xml:space="preserve">Cut 0.9: cost</t>
  </si>
  <si>
    <t xml:space="preserve">Cut 0.8: line</t>
  </si>
  <si>
    <t xml:space="preserve">Cut 0.8: delay</t>
  </si>
  <si>
    <t xml:space="preserve">Cut 0.8: cost</t>
  </si>
  <si>
    <t xml:space="preserve">Cut 0.7: line</t>
  </si>
  <si>
    <t xml:space="preserve">Cut 0.7: delay</t>
  </si>
  <si>
    <t xml:space="preserve">Cut 0.7: cost</t>
  </si>
  <si>
    <t xml:space="preserve">Cut 0.6: line</t>
  </si>
  <si>
    <t xml:space="preserve">Cut 0.6: delay</t>
  </si>
  <si>
    <t xml:space="preserve">Cut 0.6: cost</t>
  </si>
  <si>
    <t xml:space="preserve">Cut 0.5: line</t>
  </si>
  <si>
    <t xml:space="preserve">Cut 0.5: delay</t>
  </si>
  <si>
    <t xml:space="preserve">Cut 0.5: cost</t>
  </si>
  <si>
    <t xml:space="preserve">Cut 0.4: line</t>
  </si>
  <si>
    <t xml:space="preserve">Cut 0.4: delay</t>
  </si>
  <si>
    <t xml:space="preserve">Cut 0.4: cost</t>
  </si>
  <si>
    <t xml:space="preserve">Cut 0.3: line</t>
  </si>
  <si>
    <t xml:space="preserve">Cut 0.3: delay</t>
  </si>
  <si>
    <t xml:space="preserve">Cut 0.3: cost</t>
  </si>
  <si>
    <t xml:space="preserve">Cut 0.2: line</t>
  </si>
  <si>
    <t xml:space="preserve">Cut 0.2: delay</t>
  </si>
  <si>
    <t xml:space="preserve">Cut 0.2: cost</t>
  </si>
  <si>
    <t xml:space="preserve">Cut 0.1: line</t>
  </si>
  <si>
    <t xml:space="preserve">Cut 0.1: delay</t>
  </si>
  <si>
    <t xml:space="preserve">Cut 0.1: cost</t>
  </si>
  <si>
    <t xml:space="preserve">Cut 0.0: line</t>
  </si>
  <si>
    <t xml:space="preserve">Cut 0.0: delay</t>
  </si>
  <si>
    <t xml:space="preserve">Cut 0.0: cost</t>
  </si>
  <si>
    <t xml:space="preserve">Graded price at possibility 0</t>
  </si>
  <si>
    <t xml:space="preserve">None</t>
  </si>
  <si>
    <t xml:space="preserve">Max-min: the cut</t>
  </si>
  <si>
    <t xml:space="preserve">0.38</t>
  </si>
  <si>
    <t xml:space="preserve">Max-min: necessity of safety</t>
  </si>
  <si>
    <t xml:space="preserve">Max-min: goal</t>
  </si>
  <si>
    <t xml:space="preserve">Max-min: D</t>
  </si>
  <si>
    <t xml:space="preserve">$143 million</t>
  </si>
  <si>
    <t xml:space="preserve">Max-min: S</t>
  </si>
  <si>
    <t xml:space="preserve">$232 million</t>
  </si>
  <si>
    <t xml:space="preserve">Max-min: line</t>
  </si>
  <si>
    <t xml:space="preserve">Max-min: delay</t>
  </si>
  <si>
    <t xml:space="preserve">0.45 quarter</t>
  </si>
  <si>
    <t xml:space="preserve">Max-min: cost</t>
  </si>
  <si>
    <t xml:space="preserve">$10.54 million</t>
  </si>
  <si>
    <t xml:space="preserve">Max-min: cost on the Graded sheet</t>
  </si>
  <si>
    <t xml:space="preserve">Hedges: violations</t>
  </si>
  <si>
    <t xml:space="preserve">Meeting 5%: the cut</t>
  </si>
  <si>
    <t xml:space="preserve">0.35</t>
  </si>
  <si>
    <t xml:space="preserve">Meeting 5%: delay</t>
  </si>
  <si>
    <t xml:space="preserve">0.63 quarter</t>
  </si>
  <si>
    <t xml:space="preserve">Meeting 5%: cost</t>
  </si>
  <si>
    <t xml:space="preserve">$12.17 million</t>
  </si>
  <si>
    <t xml:space="preserve">95% of paths: the cut</t>
  </si>
  <si>
    <t xml:space="preserve">0.08</t>
  </si>
  <si>
    <t xml:space="preserve">95% of paths: delay</t>
  </si>
  <si>
    <t xml:space="preserve">2.29 quarters</t>
  </si>
  <si>
    <t xml:space="preserve">95% of paths: cost</t>
  </si>
  <si>
    <t xml:space="preserve">$26.92 million</t>
  </si>
  <si>
    <t xml:space="preserve">A $100m cap: delay</t>
  </si>
  <si>
    <t xml:space="preserve">A $100m cap: cost</t>
  </si>
  <si>
    <t xml:space="preserve">$37.23 million</t>
  </si>
  <si>
    <t xml:space="preserve">Cuts whose chance exceeds 1 - coverage</t>
  </si>
  <si>
    <t xml:space="preserve">Largest standard error of a chance, points</t>
  </si>
  <si>
    <t xml:space="preserve">Frontier 1%: cost</t>
  </si>
  <si>
    <t xml:space="preserve">Frontier 2%: cost</t>
  </si>
  <si>
    <t xml:space="preserve">Frontier 3%: cost</t>
  </si>
  <si>
    <t xml:space="preserve">Frontier 4%: cost</t>
  </si>
  <si>
    <t xml:space="preserve">Frontier 5%: cost</t>
  </si>
  <si>
    <t xml:space="preserve">Frontier 6%: cost</t>
  </si>
  <si>
    <t xml:space="preserve">Frontier 8%: cost</t>
  </si>
  <si>
    <t xml:space="preserve">Frontier 10%: cost</t>
  </si>
  <si>
    <t xml:space="preserve">Frontier 12.5%: cost</t>
  </si>
  <si>
    <t xml:space="preserve">Frontier 15%: cost</t>
  </si>
  <si>
    <t xml:space="preserve">Rule mild-small: conclusion at its anchor</t>
  </si>
  <si>
    <t xml:space="preserve">Rule mild-small: exact cost at its anchor</t>
  </si>
  <si>
    <t xml:space="preserve">Rule mild-small: per $m of D</t>
  </si>
  <si>
    <t xml:space="preserve">Rule mild-small: per $m of S</t>
  </si>
  <si>
    <t xml:space="preserve">Rule mild-large: conclusion at its anchor</t>
  </si>
  <si>
    <t xml:space="preserve">Rule mild-large: exact cost at its anchor</t>
  </si>
  <si>
    <t xml:space="preserve">Rule mild-large: per $m of D</t>
  </si>
  <si>
    <t xml:space="preserve">Rule mild-large: per $m of S</t>
  </si>
  <si>
    <t xml:space="preserve">Rule moderate-small: conclusion at its anchor</t>
  </si>
  <si>
    <t xml:space="preserve">Rule moderate-small: exact cost at its anchor</t>
  </si>
  <si>
    <t xml:space="preserve">Rule moderate-small: per $m of D</t>
  </si>
  <si>
    <t xml:space="preserve">Rule moderate-small: per $m of S</t>
  </si>
  <si>
    <t xml:space="preserve">Rule moderate-large: conclusion at its anchor</t>
  </si>
  <si>
    <t xml:space="preserve">Rule moderate-large: exact cost at its anchor</t>
  </si>
  <si>
    <t xml:space="preserve">Rule moderate-large: per $m of D</t>
  </si>
  <si>
    <t xml:space="preserve">Rule moderate-large: per $m of S</t>
  </si>
  <si>
    <t xml:space="preserve">Rule severe-small: conclusion at its anchor</t>
  </si>
  <si>
    <t xml:space="preserve">Rule severe-small: exact cost at its anchor</t>
  </si>
  <si>
    <t xml:space="preserve">Rule severe-small: per $m of D</t>
  </si>
  <si>
    <t xml:space="preserve">Rule severe-small: per $m of S</t>
  </si>
  <si>
    <t xml:space="preserve">Rule severe-large: conclusion at its anchor</t>
  </si>
  <si>
    <t xml:space="preserve">Rule severe-large: exact cost at its anchor</t>
  </si>
  <si>
    <t xml:space="preserve">Rule severe-large: per $m of D</t>
  </si>
  <si>
    <t xml:space="preserve">Rule severe-large: per $m of S</t>
  </si>
  <si>
    <t xml:space="preserve">Rule extreme-small: conclusion at its anchor</t>
  </si>
  <si>
    <t xml:space="preserve">Rule extreme-small: exact cost at its anchor</t>
  </si>
  <si>
    <t xml:space="preserve">Rule extreme-small: per $m of D</t>
  </si>
  <si>
    <t xml:space="preserve">Rule extreme-small: per $m of S</t>
  </si>
  <si>
    <t xml:space="preserve">Rule extreme-large: conclusion at its anchor</t>
  </si>
  <si>
    <t xml:space="preserve">Rule extreme-large: exact cost at its anchor</t>
  </si>
  <si>
    <t xml:space="preserve">Rule extreme-large: per $m of D</t>
  </si>
  <si>
    <t xml:space="preserve">Rule extreme-large: per $m of S</t>
  </si>
  <si>
    <t xml:space="preserve">Revision (140, 230): the surface</t>
  </si>
  <si>
    <t xml:space="preserve">Step 5: $8.99 million</t>
  </si>
  <si>
    <t xml:space="preserve">Revision (140, 230): exact cost</t>
  </si>
  <si>
    <t xml:space="preserve">$9.52 million</t>
  </si>
  <si>
    <t xml:space="preserve">Revision (140, 230): line</t>
  </si>
  <si>
    <t xml:space="preserve">$230 million</t>
  </si>
  <si>
    <t xml:space="preserve">Revision (140, 230): delay</t>
  </si>
  <si>
    <t xml:space="preserve">0.33 quarter</t>
  </si>
  <si>
    <t xml:space="preserve">Revision (140, 230): the surface on Robust's exact cost</t>
  </si>
  <si>
    <t xml:space="preserve">The same exact solve</t>
  </si>
  <si>
    <t xml:space="preserve">At (135, 70): the surface</t>
  </si>
  <si>
    <t xml:space="preserve">The certification's worst point</t>
  </si>
  <si>
    <t xml:space="preserve">At (135, 70): the surface's error</t>
  </si>
  <si>
    <t xml:space="preserve">$0.95 million, at the corner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</si>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</sst>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"/>
    <numFmt numFmtId="167" formatCode="0.00"/>
    <numFmt numFmtId="168" formatCode="#,##0"/>
    <numFmt numFmtId="169" formatCode="0.000"/>
    <numFmt numFmtId="170" formatCode="0.0000"/>
    <numFmt numFmtId="171" formatCode="0.0%"/>
    <numFmt numFmtId="172" formatCode="0.00%"/>
    <numFmt numFmtId="173" formatCode="\+0.00;\-0.00"/>
    <numFmt numFmtId="174" formatCode="0.000000"/>
    <numFmt numFmtId="175" formatCode="0.00000"/>
    <numFmt numFmtId="176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5.0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23.8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s">
        <v>19</v>
      </c>
    </row>
    <row r="4" customFormat="false" ht="15" hidden="false" customHeight="false" outlineLevel="0" collapsed="false">
      <c r="A4" s="2" t="s">
        <v>20</v>
      </c>
      <c r="B4" s="9" t="n">
        <v>620</v>
      </c>
      <c r="C4" s="10" t="s">
        <v>21</v>
      </c>
    </row>
    <row r="5" customFormat="false" ht="15" hidden="false" customHeight="false" outlineLevel="0" collapsed="false">
      <c r="A5" s="2" t="s">
        <v>22</v>
      </c>
      <c r="B5" s="11" t="n">
        <f aca="false">B4/100</f>
        <v>6.2</v>
      </c>
      <c r="C5" s="10" t="s">
        <v>23</v>
      </c>
    </row>
    <row r="6" customFormat="false" ht="15" hidden="false" customHeight="false" outlineLevel="0" collapsed="false">
      <c r="A6" s="2" t="s">
        <v>24</v>
      </c>
      <c r="B6" s="9" t="n">
        <v>112</v>
      </c>
      <c r="C6" s="10" t="s">
        <v>25</v>
      </c>
    </row>
    <row r="7" customFormat="false" ht="15" hidden="false" customHeight="false" outlineLevel="0" collapsed="false">
      <c r="A7" s="2" t="s">
        <v>26</v>
      </c>
      <c r="B7" s="12" t="n">
        <v>0.35</v>
      </c>
    </row>
    <row r="8" customFormat="false" ht="15" hidden="false" customHeight="false" outlineLevel="0" collapsed="false">
      <c r="A8" s="2" t="s">
        <v>27</v>
      </c>
      <c r="B8" s="9" t="n">
        <v>28</v>
      </c>
      <c r="C8" s="10" t="s">
        <v>28</v>
      </c>
    </row>
    <row r="9" customFormat="false" ht="15" hidden="false" customHeight="false" outlineLevel="0" collapsed="false">
      <c r="A9" s="2" t="s">
        <v>29</v>
      </c>
      <c r="B9" s="13" t="n">
        <v>2</v>
      </c>
      <c r="C9" s="10" t="s">
        <v>30</v>
      </c>
    </row>
    <row r="10" customFormat="false" ht="15" hidden="false" customHeight="false" outlineLevel="0" collapsed="false">
      <c r="A10" s="2" t="s">
        <v>31</v>
      </c>
      <c r="B10" s="9" t="n">
        <v>350</v>
      </c>
      <c r="C10" s="10" t="s">
        <v>32</v>
      </c>
    </row>
    <row r="11" customFormat="false" ht="15" hidden="false" customHeight="false" outlineLevel="0" collapsed="false">
      <c r="A11" s="2" t="s">
        <v>33</v>
      </c>
      <c r="B11" s="12" t="n">
        <v>0.6</v>
      </c>
      <c r="C11" s="10" t="s">
        <v>34</v>
      </c>
    </row>
    <row r="12" customFormat="false" ht="15" hidden="false" customHeight="false" outlineLevel="0" collapsed="false">
      <c r="A12" s="2" t="s">
        <v>35</v>
      </c>
      <c r="B12" s="9" t="n">
        <v>50</v>
      </c>
    </row>
    <row r="13" customFormat="false" ht="15" hidden="false" customHeight="false" outlineLevel="0" collapsed="false">
      <c r="A13" s="2" t="s">
        <v>36</v>
      </c>
      <c r="B13" s="12" t="n">
        <v>0.1</v>
      </c>
      <c r="C13" s="10" t="s">
        <v>37</v>
      </c>
    </row>
    <row r="14" customFormat="false" ht="15" hidden="false" customHeight="false" outlineLevel="0" collapsed="false">
      <c r="A14" s="2" t="s">
        <v>38</v>
      </c>
      <c r="B14" s="9" t="n">
        <v>120</v>
      </c>
      <c r="C14" s="10" t="s">
        <v>39</v>
      </c>
    </row>
    <row r="15" customFormat="false" ht="15" hidden="false" customHeight="false" outlineLevel="0" collapsed="false">
      <c r="A15" s="2" t="s">
        <v>40</v>
      </c>
      <c r="B15" s="9" t="n">
        <v>50</v>
      </c>
    </row>
    <row r="16" customFormat="false" ht="15" hidden="false" customHeight="false" outlineLevel="0" collapsed="false">
      <c r="A16" s="2" t="s">
        <v>41</v>
      </c>
      <c r="B16" s="12" t="n">
        <v>0.03</v>
      </c>
      <c r="C16" s="10" t="s">
        <v>42</v>
      </c>
    </row>
    <row r="17" customFormat="false" ht="15" hidden="false" customHeight="false" outlineLevel="0" collapsed="false">
      <c r="A17" s="2" t="s">
        <v>43</v>
      </c>
      <c r="B17" s="13" t="n">
        <v>8</v>
      </c>
      <c r="C17" s="10" t="s">
        <v>44</v>
      </c>
    </row>
    <row r="18" customFormat="false" ht="15" hidden="false" customHeight="false" outlineLevel="0" collapsed="false">
      <c r="A18" s="2" t="s">
        <v>45</v>
      </c>
      <c r="B18" s="9" t="n">
        <v>4</v>
      </c>
    </row>
    <row r="19" customFormat="false" ht="15" hidden="false" customHeight="false" outlineLevel="0" collapsed="false">
      <c r="A19" s="2" t="s">
        <v>46</v>
      </c>
      <c r="B19" s="12" t="n">
        <v>0.05</v>
      </c>
      <c r="C19" s="10" t="s">
        <v>47</v>
      </c>
    </row>
    <row r="20" customFormat="false" ht="15" hidden="false" customHeight="false" outlineLevel="0" collapsed="false">
      <c r="A20" s="2" t="s">
        <v>48</v>
      </c>
      <c r="B20" s="14" t="n">
        <v>100000</v>
      </c>
      <c r="C20" s="10" t="s">
        <v>49</v>
      </c>
    </row>
    <row r="22" customFormat="false" ht="15" hidden="false" customHeight="false" outlineLevel="0" collapsed="false">
      <c r="A22" s="4" t="s">
        <v>50</v>
      </c>
    </row>
    <row r="23" customFormat="false" ht="15" hidden="false" customHeight="false" outlineLevel="0" collapsed="false">
      <c r="A23" s="2" t="s">
        <v>51</v>
      </c>
      <c r="B23" s="9" t="n">
        <v>50</v>
      </c>
      <c r="C23" s="10" t="s">
        <v>52</v>
      </c>
    </row>
    <row r="24" customFormat="false" ht="15" hidden="false" customHeight="false" outlineLevel="0" collapsed="false">
      <c r="A24" s="2" t="s">
        <v>53</v>
      </c>
      <c r="B24" s="9" t="n">
        <v>200</v>
      </c>
      <c r="C24" s="10" t="s">
        <v>54</v>
      </c>
    </row>
    <row r="25" customFormat="false" ht="15" hidden="false" customHeight="false" outlineLevel="0" collapsed="false">
      <c r="A25" s="2" t="s">
        <v>55</v>
      </c>
      <c r="B25" s="9" t="n">
        <v>120</v>
      </c>
      <c r="C25" s="10" t="s">
        <v>56</v>
      </c>
    </row>
    <row r="26" customFormat="false" ht="15" hidden="false" customHeight="false" outlineLevel="0" collapsed="false">
      <c r="A26" s="2" t="s">
        <v>57</v>
      </c>
      <c r="B26" s="9" t="n">
        <v>300</v>
      </c>
      <c r="C26" s="10" t="s">
        <v>58</v>
      </c>
    </row>
    <row r="27" customFormat="false" ht="15" hidden="false" customHeight="false" outlineLevel="0" collapsed="false">
      <c r="A27" s="2" t="s">
        <v>59</v>
      </c>
      <c r="B27" s="9" t="n">
        <v>5</v>
      </c>
      <c r="C27" s="10" t="s">
        <v>60</v>
      </c>
    </row>
    <row r="28" customFormat="false" ht="15" hidden="false" customHeight="false" outlineLevel="0" collapsed="false">
      <c r="A28" s="2" t="s">
        <v>61</v>
      </c>
      <c r="B28" s="9" t="n">
        <v>20</v>
      </c>
      <c r="C28" s="10" t="s">
        <v>62</v>
      </c>
    </row>
    <row r="29" customFormat="false" ht="15" hidden="false" customHeight="false" outlineLevel="0" collapsed="false">
      <c r="A29" s="2" t="s">
        <v>63</v>
      </c>
      <c r="B29" s="9" t="n">
        <v>100</v>
      </c>
      <c r="C29" s="10" t="s">
        <v>64</v>
      </c>
    </row>
    <row r="30" customFormat="false" ht="15" hidden="false" customHeight="false" outlineLevel="0" collapsed="false">
      <c r="A30" s="2" t="s">
        <v>65</v>
      </c>
      <c r="B30" s="9" t="n">
        <v>187</v>
      </c>
      <c r="C30" s="10" t="s">
        <v>66</v>
      </c>
    </row>
    <row r="31" customFormat="false" ht="15" hidden="false" customHeight="false" outlineLevel="0" collapsed="false">
      <c r="A31" s="2" t="s">
        <v>67</v>
      </c>
      <c r="B31" s="11" t="n">
        <f aca="false">GAMMAINV(0.9,(B14/B15)^2,B15^2/B14)</f>
        <v>186.866976370664</v>
      </c>
      <c r="C31" s="1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10" t="s">
        <v>70</v>
      </c>
    </row>
    <row r="4" customFormat="false" ht="35.05" hidden="false" customHeight="false" outlineLevel="0" collapsed="false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8" t="s">
        <v>80</v>
      </c>
    </row>
    <row r="5" customFormat="false" ht="15" hidden="false" customHeight="false" outlineLevel="0" collapsed="false">
      <c r="A5" s="15" t="n">
        <v>1</v>
      </c>
      <c r="B5" s="16" t="n">
        <f aca="false">A5/4</f>
        <v>0.25</v>
      </c>
      <c r="C5" s="17" t="n">
        <f aca="false">Xinf+(100-Xinf)*EXP(-Krel*B5)</f>
        <v>101.005373540189</v>
      </c>
      <c r="D5" s="16" t="n">
        <f aca="false">PerPt*C5</f>
        <v>626.233315949175</v>
      </c>
      <c r="E5" s="18" t="n">
        <f aca="false">(B5/Tpk)*EXP(1-B5/Tpk)</f>
        <v>0.299859411745887</v>
      </c>
      <c r="F5" s="18" t="n">
        <f aca="false">PerPt*E5</f>
        <v>1.8591283528245</v>
      </c>
      <c r="G5" s="16" t="n">
        <f aca="false">D5-Depth0*F5</f>
        <v>574.177722070089</v>
      </c>
      <c r="H5" s="11" t="n">
        <f aca="false">G5-FloorL</f>
        <v>224.177722070089</v>
      </c>
      <c r="I5" s="16" t="n">
        <f aca="false">DPQ*F5</f>
        <v>7.436513411298</v>
      </c>
      <c r="J5" s="17" t="n">
        <f aca="false">VQ/I5</f>
        <v>1.07577295400905</v>
      </c>
    </row>
    <row r="6" customFormat="false" ht="15" hidden="false" customHeight="false" outlineLevel="0" collapsed="false">
      <c r="A6" s="15" t="n">
        <v>2</v>
      </c>
      <c r="B6" s="16" t="n">
        <f aca="false">A6/4</f>
        <v>0.5</v>
      </c>
      <c r="C6" s="17" t="n">
        <f aca="false">Xinf+(100-Xinf)*EXP(-Krel*B6)</f>
        <v>101.92651575077</v>
      </c>
      <c r="D6" s="16" t="n">
        <f aca="false">PerPt*C6</f>
        <v>631.944397654771</v>
      </c>
      <c r="E6" s="18" t="n">
        <f aca="false">(B6/Tpk)*EXP(1-B6/Tpk)</f>
        <v>0.529250004153169</v>
      </c>
      <c r="F6" s="18" t="n">
        <f aca="false">PerPt*E6</f>
        <v>3.28135002574965</v>
      </c>
      <c r="G6" s="16" t="n">
        <f aca="false">D6-Depth0*F6</f>
        <v>540.066596933781</v>
      </c>
      <c r="H6" s="11" t="n">
        <f aca="false">G6-FloorL</f>
        <v>190.066596933781</v>
      </c>
      <c r="I6" s="16" t="n">
        <f aca="false">DPQ*F6</f>
        <v>13.1254001029986</v>
      </c>
      <c r="J6" s="17" t="n">
        <f aca="false">VQ/I6</f>
        <v>0.609505229343245</v>
      </c>
    </row>
    <row r="7" customFormat="false" ht="15" hidden="false" customHeight="false" outlineLevel="0" collapsed="false">
      <c r="A7" s="15" t="n">
        <v>3</v>
      </c>
      <c r="B7" s="16" t="n">
        <f aca="false">A7/4</f>
        <v>0.75</v>
      </c>
      <c r="C7" s="17" t="n">
        <f aca="false">Xinf+(100-Xinf)*EXP(-Krel*B7)</f>
        <v>102.770483627577</v>
      </c>
      <c r="D7" s="16" t="n">
        <f aca="false">PerPt*C7</f>
        <v>637.176998490978</v>
      </c>
      <c r="E7" s="18" t="n">
        <f aca="false">(B7/Tpk)*EXP(1-B7/Tpk)</f>
        <v>0.700592234037083</v>
      </c>
      <c r="F7" s="18" t="n">
        <f aca="false">PerPt*E7</f>
        <v>4.34367185102992</v>
      </c>
      <c r="G7" s="16" t="n">
        <f aca="false">D7-Depth0*F7</f>
        <v>515.554186662141</v>
      </c>
      <c r="H7" s="11" t="n">
        <f aca="false">G7-FloorL</f>
        <v>165.554186662141</v>
      </c>
      <c r="I7" s="16" t="n">
        <f aca="false">DPQ*F7</f>
        <v>17.3746874041197</v>
      </c>
      <c r="J7" s="17" t="n">
        <f aca="false">VQ/I7</f>
        <v>0.460439938510959</v>
      </c>
    </row>
    <row r="8" customFormat="false" ht="15" hidden="false" customHeight="false" outlineLevel="0" collapsed="false">
      <c r="A8" s="15" t="n">
        <v>4</v>
      </c>
      <c r="B8" s="16" t="n">
        <f aca="false">A8/4</f>
        <v>1</v>
      </c>
      <c r="C8" s="17" t="n">
        <f aca="false">Xinf+(100-Xinf)*EXP(-Krel*B8)</f>
        <v>103.543742923375</v>
      </c>
      <c r="D8" s="16" t="n">
        <f aca="false">PerPt*C8</f>
        <v>641.971206124928</v>
      </c>
      <c r="E8" s="18" t="n">
        <f aca="false">(B8/Tpk)*EXP(1-B8/Tpk)</f>
        <v>0.824360635350064</v>
      </c>
      <c r="F8" s="18" t="n">
        <f aca="false">PerPt*E8</f>
        <v>5.1110359391704</v>
      </c>
      <c r="G8" s="16" t="n">
        <f aca="false">D8-Depth0*F8</f>
        <v>498.862199828157</v>
      </c>
      <c r="H8" s="11" t="n">
        <f aca="false">G8-FloorL</f>
        <v>148.862199828157</v>
      </c>
      <c r="I8" s="16" t="n">
        <f aca="false">DPQ*F8</f>
        <v>20.4441437566816</v>
      </c>
      <c r="J8" s="17" t="n">
        <f aca="false">VQ/I8</f>
        <v>0.391310103040409</v>
      </c>
    </row>
    <row r="9" customFormat="false" ht="15" hidden="false" customHeight="false" outlineLevel="0" collapsed="false">
      <c r="A9" s="15" t="n">
        <v>5</v>
      </c>
      <c r="B9" s="16" t="n">
        <f aca="false">A9/4</f>
        <v>1.25</v>
      </c>
      <c r="C9" s="17" t="n">
        <f aca="false">Xinf+(100-Xinf)*EXP(-Krel*B9)</f>
        <v>104.252217682865</v>
      </c>
      <c r="D9" s="16" t="n">
        <f aca="false">PerPt*C9</f>
        <v>646.363749633765</v>
      </c>
      <c r="E9" s="18" t="n">
        <f aca="false">(B9/Tpk)*EXP(1-B9/Tpk)</f>
        <v>0.909369634136376</v>
      </c>
      <c r="F9" s="18" t="n">
        <f aca="false">PerPt*E9</f>
        <v>5.63809173164553</v>
      </c>
      <c r="G9" s="16" t="n">
        <f aca="false">D9-Depth0*F9</f>
        <v>488.49718114769</v>
      </c>
      <c r="H9" s="11" t="n">
        <f aca="false">G9-FloorL</f>
        <v>138.49718114769</v>
      </c>
      <c r="I9" s="16" t="n">
        <f aca="false">DPQ*F9</f>
        <v>22.5523669265821</v>
      </c>
      <c r="J9" s="17" t="n">
        <f aca="false">VQ/I9</f>
        <v>0.354729950343728</v>
      </c>
    </row>
    <row r="10" customFormat="false" ht="15" hidden="false" customHeight="false" outlineLevel="0" collapsed="false">
      <c r="A10" s="15" t="n">
        <v>6</v>
      </c>
      <c r="B10" s="16" t="n">
        <f aca="false">A10/4</f>
        <v>1.5</v>
      </c>
      <c r="C10" s="17" t="n">
        <f aca="false">Xinf+(100-Xinf)*EXP(-Krel*B10)</f>
        <v>104.901335627598</v>
      </c>
      <c r="D10" s="16" t="n">
        <f aca="false">PerPt*C10</f>
        <v>650.388280891109</v>
      </c>
      <c r="E10" s="18" t="n">
        <f aca="false">(B10/Tpk)*EXP(1-B10/Tpk)</f>
        <v>0.963019062515806</v>
      </c>
      <c r="F10" s="18" t="n">
        <f aca="false">PerPt*E10</f>
        <v>5.970718187598</v>
      </c>
      <c r="G10" s="16" t="n">
        <f aca="false">D10-Depth0*F10</f>
        <v>483.208171638365</v>
      </c>
      <c r="H10" s="11" t="n">
        <f aca="false">G10-FloorL</f>
        <v>133.208171638365</v>
      </c>
      <c r="I10" s="16" t="n">
        <f aca="false">DPQ*F10</f>
        <v>23.882872750392</v>
      </c>
      <c r="J10" s="17" t="n">
        <f aca="false">VQ/I10</f>
        <v>0.334968078740389</v>
      </c>
    </row>
    <row r="11" customFormat="false" ht="15" hidden="false" customHeight="false" outlineLevel="0" collapsed="false">
      <c r="A11" s="15" t="n">
        <v>7</v>
      </c>
      <c r="B11" s="16" t="n">
        <f aca="false">A11/4</f>
        <v>1.75</v>
      </c>
      <c r="C11" s="17" t="n">
        <f aca="false">Xinf+(100-Xinf)*EXP(-Krel*B11)</f>
        <v>105.49606973849</v>
      </c>
      <c r="D11" s="16" t="n">
        <f aca="false">PerPt*C11</f>
        <v>654.075632378636</v>
      </c>
      <c r="E11" s="18" t="n">
        <f aca="false">(B11/Tpk)*EXP(1-B11/Tpk)</f>
        <v>0.991504896433473</v>
      </c>
      <c r="F11" s="18" t="n">
        <f aca="false">PerPt*E11</f>
        <v>6.14733035788753</v>
      </c>
      <c r="G11" s="16" t="n">
        <f aca="false">D11-Depth0*F11</f>
        <v>481.950382357786</v>
      </c>
      <c r="H11" s="11" t="n">
        <f aca="false">G11-FloorL</f>
        <v>131.950382357786</v>
      </c>
      <c r="I11" s="16" t="n">
        <f aca="false">DPQ*F11</f>
        <v>24.5893214315501</v>
      </c>
      <c r="J11" s="17" t="n">
        <f aca="false">VQ/I11</f>
        <v>0.325344480215519</v>
      </c>
    </row>
    <row r="12" customFormat="false" ht="15" hidden="false" customHeight="false" outlineLevel="0" collapsed="false">
      <c r="A12" s="15" t="n">
        <v>8</v>
      </c>
      <c r="B12" s="16" t="n">
        <f aca="false">A12/4</f>
        <v>2</v>
      </c>
      <c r="C12" s="17" t="n">
        <f aca="false">Xinf+(100-Xinf)*EXP(-Krel*B12)</f>
        <v>106.040976354503</v>
      </c>
      <c r="D12" s="16" t="n">
        <f aca="false">PerPt*C12</f>
        <v>657.454053397919</v>
      </c>
      <c r="E12" s="18" t="n">
        <f aca="false">(B12/Tpk)*EXP(1-B12/Tpk)</f>
        <v>1</v>
      </c>
      <c r="F12" s="18" t="n">
        <f aca="false">PerPt*E12</f>
        <v>6.2</v>
      </c>
      <c r="G12" s="16" t="n">
        <f aca="false">D12-Depth0*F12</f>
        <v>483.854053397919</v>
      </c>
      <c r="H12" s="11" t="n">
        <f aca="false">G12-FloorL</f>
        <v>133.854053397919</v>
      </c>
      <c r="I12" s="16" t="n">
        <f aca="false">DPQ*F12</f>
        <v>24.8</v>
      </c>
      <c r="J12" s="17" t="n">
        <f aca="false">VQ/I12</f>
        <v>0.32258064516129</v>
      </c>
    </row>
    <row r="13" customFormat="false" ht="15" hidden="false" customHeight="false" outlineLevel="0" collapsed="false">
      <c r="A13" s="15" t="n">
        <v>9</v>
      </c>
      <c r="B13" s="16" t="n">
        <f aca="false">A13/4</f>
        <v>2.25</v>
      </c>
      <c r="C13" s="17" t="n">
        <f aca="false">Xinf+(100-Xinf)*EXP(-Krel*B13)</f>
        <v>106.540230079382</v>
      </c>
      <c r="D13" s="16" t="n">
        <f aca="false">PerPt*C13</f>
        <v>660.549426492168</v>
      </c>
      <c r="E13" s="18" t="n">
        <f aca="false">(B13/Tpk)*EXP(1-B13/Tpk)</f>
        <v>0.99280901540767</v>
      </c>
      <c r="F13" s="18" t="n">
        <f aca="false">PerPt*E13</f>
        <v>6.15541589552755</v>
      </c>
      <c r="G13" s="16" t="n">
        <f aca="false">D13-Depth0*F13</f>
        <v>488.197781417396</v>
      </c>
      <c r="H13" s="11" t="n">
        <f aca="false">G13-FloorL</f>
        <v>138.197781417396</v>
      </c>
      <c r="I13" s="16" t="n">
        <f aca="false">DPQ*F13</f>
        <v>24.6216635821102</v>
      </c>
      <c r="J13" s="17" t="n">
        <f aca="false">VQ/I13</f>
        <v>0.324917119158947</v>
      </c>
    </row>
    <row r="14" customFormat="false" ht="15" hidden="false" customHeight="false" outlineLevel="0" collapsed="false">
      <c r="A14" s="15" t="n">
        <v>10</v>
      </c>
      <c r="B14" s="16" t="n">
        <f aca="false">A14/4</f>
        <v>2.5</v>
      </c>
      <c r="C14" s="17" t="n">
        <f aca="false">Xinf+(100-Xinf)*EXP(-Krel*B14)</f>
        <v>106.997655763858</v>
      </c>
      <c r="D14" s="16" t="n">
        <f aca="false">PerPt*C14</f>
        <v>663.385465735919</v>
      </c>
      <c r="E14" s="18" t="n">
        <f aca="false">(B14/Tpk)*EXP(1-B14/Tpk)</f>
        <v>0.973500978839256</v>
      </c>
      <c r="F14" s="18" t="n">
        <f aca="false">PerPt*E14</f>
        <v>6.03570606880339</v>
      </c>
      <c r="G14" s="16" t="n">
        <f aca="false">D14-Depth0*F14</f>
        <v>494.385695809424</v>
      </c>
      <c r="H14" s="11" t="n">
        <f aca="false">G14-FloorL</f>
        <v>144.385695809424</v>
      </c>
      <c r="I14" s="16" t="n">
        <f aca="false">DPQ*F14</f>
        <v>24.1428242752136</v>
      </c>
      <c r="J14" s="17" t="n">
        <f aca="false">VQ/I14</f>
        <v>0.331361397854901</v>
      </c>
    </row>
    <row r="15" customFormat="false" ht="15" hidden="false" customHeight="false" outlineLevel="0" collapsed="false">
      <c r="A15" s="15" t="n">
        <v>11</v>
      </c>
      <c r="B15" s="16" t="n">
        <f aca="false">A15/4</f>
        <v>2.75</v>
      </c>
      <c r="C15" s="17" t="n">
        <f aca="false">Xinf+(100-Xinf)*EXP(-Krel*B15)</f>
        <v>107.416757808353</v>
      </c>
      <c r="D15" s="16" t="n">
        <f aca="false">PerPt*C15</f>
        <v>665.983898411786</v>
      </c>
      <c r="E15" s="18" t="n">
        <f aca="false">(B15/Tpk)*EXP(1-B15/Tpk)</f>
        <v>0.945022758337587</v>
      </c>
      <c r="F15" s="18" t="n">
        <f aca="false">PerPt*E15</f>
        <v>5.85914110169304</v>
      </c>
      <c r="G15" s="16" t="n">
        <f aca="false">D15-Depth0*F15</f>
        <v>501.927947564381</v>
      </c>
      <c r="H15" s="11" t="n">
        <f aca="false">G15-FloorL</f>
        <v>151.927947564381</v>
      </c>
      <c r="I15" s="16" t="n">
        <f aca="false">DPQ*F15</f>
        <v>23.4365644067722</v>
      </c>
      <c r="J15" s="17" t="n">
        <f aca="false">VQ/I15</f>
        <v>0.34134695944122</v>
      </c>
    </row>
    <row r="16" customFormat="false" ht="15" hidden="false" customHeight="false" outlineLevel="0" collapsed="false">
      <c r="A16" s="15" t="n">
        <v>12</v>
      </c>
      <c r="B16" s="16" t="n">
        <f aca="false">A16/4</f>
        <v>3</v>
      </c>
      <c r="C16" s="17" t="n">
        <f aca="false">Xinf+(100-Xinf)*EXP(-Krel*B16)</f>
        <v>107.800747010666</v>
      </c>
      <c r="D16" s="16" t="n">
        <f aca="false">PerPt*C16</f>
        <v>668.36463146613</v>
      </c>
      <c r="E16" s="18" t="n">
        <f aca="false">(B16/Tpk)*EXP(1-B16/Tpk)</f>
        <v>0.90979598956895</v>
      </c>
      <c r="F16" s="18" t="n">
        <f aca="false">PerPt*E16</f>
        <v>5.64073513532749</v>
      </c>
      <c r="G16" s="16" t="n">
        <f aca="false">D16-Depth0*F16</f>
        <v>510.42404767696</v>
      </c>
      <c r="H16" s="11" t="n">
        <f aca="false">G16-FloorL</f>
        <v>160.42404767696</v>
      </c>
      <c r="I16" s="16" t="n">
        <f aca="false">DPQ*F16</f>
        <v>22.56294054131</v>
      </c>
      <c r="J16" s="17" t="n">
        <f aca="false">VQ/I16</f>
        <v>0.35456371412906</v>
      </c>
    </row>
    <row r="19" customFormat="false" ht="15" hidden="false" customHeight="false" outlineLevel="0" collapsed="false">
      <c r="A19" s="2" t="s">
        <v>81</v>
      </c>
      <c r="B19" s="11" t="n">
        <f aca="false">MIN(H5:H16)</f>
        <v>131.950382357786</v>
      </c>
      <c r="C19" s="10" t="s">
        <v>82</v>
      </c>
    </row>
    <row r="20" customFormat="false" ht="15" hidden="false" customHeight="false" outlineLevel="0" collapsed="false">
      <c r="A20" s="2" t="s">
        <v>83</v>
      </c>
      <c r="B20" s="15" t="n">
        <f aca="false">MATCH(B19,H5:H16,0)</f>
        <v>7</v>
      </c>
      <c r="C20" s="10" t="s">
        <v>84</v>
      </c>
    </row>
    <row r="21" customFormat="false" ht="15" hidden="false" customHeight="false" outlineLevel="0" collapsed="false">
      <c r="A21" s="2" t="s">
        <v>85</v>
      </c>
      <c r="B21" s="11" t="n">
        <f aca="false">INDEX(I5:I16,B20)</f>
        <v>24.5893214315501</v>
      </c>
      <c r="C21" s="10" t="s">
        <v>86</v>
      </c>
    </row>
    <row r="22" customFormat="false" ht="15" hidden="false" customHeight="false" outlineLevel="0" collapsed="false">
      <c r="A22" s="2" t="s">
        <v>87</v>
      </c>
      <c r="B22" s="16" t="n">
        <f aca="false">Fee</f>
        <v>0.03</v>
      </c>
      <c r="C22" s="10" t="s">
        <v>88</v>
      </c>
    </row>
    <row r="23" customFormat="false" ht="15" hidden="false" customHeight="false" outlineLevel="0" collapsed="false">
      <c r="A23" s="2" t="s">
        <v>89</v>
      </c>
      <c r="B23" s="17" t="n">
        <f aca="false">VQ/B21</f>
        <v>0.325344480215519</v>
      </c>
      <c r="C23" s="10" t="s">
        <v>90</v>
      </c>
    </row>
    <row r="24" customFormat="false" ht="15" hidden="false" customHeight="false" outlineLevel="0" collapsed="false">
      <c r="A24" s="2" t="s">
        <v>91</v>
      </c>
      <c r="B24" s="15" t="n">
        <f aca="false">MIN(G5:G16)</f>
        <v>481.950382357786</v>
      </c>
      <c r="C24" s="1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24" min="13" style="0" width="8"/>
    <col collapsed="false" customWidth="true" hidden="false" outlineLevel="0" max="25" min="25" style="0" width="10"/>
    <col collapsed="false" customWidth="true" hidden="false" outlineLevel="0" max="26" min="26" style="0" width="13"/>
    <col collapsed="false" customWidth="true" hidden="false" outlineLevel="0" max="27" min="27" style="0" width="14"/>
    <col collapsed="false" customWidth="true" hidden="false" outlineLevel="0" max="28" min="28" style="0" width="13"/>
  </cols>
  <sheetData>
    <row r="1" customFormat="false" ht="15" hidden="false" customHeight="false" outlineLevel="0" collapsed="false">
      <c r="A1" s="1" t="s">
        <v>93</v>
      </c>
    </row>
    <row r="2" customFormat="false" ht="15" hidden="false" customHeight="false" outlineLevel="0" collapsed="false">
      <c r="A2" s="10" t="s">
        <v>94</v>
      </c>
    </row>
    <row r="4" customFormat="false" ht="35.05" hidden="false" customHeight="false" outlineLevel="0" collapsed="false">
      <c r="A4" s="8" t="s">
        <v>95</v>
      </c>
      <c r="B4" s="8" t="s">
        <v>96</v>
      </c>
      <c r="C4" s="8" t="s">
        <v>97</v>
      </c>
      <c r="D4" s="8" t="s">
        <v>98</v>
      </c>
      <c r="E4" s="8" t="s">
        <v>99</v>
      </c>
      <c r="F4" s="8" t="s">
        <v>100</v>
      </c>
      <c r="G4" s="8" t="s">
        <v>101</v>
      </c>
      <c r="H4" s="8" t="s">
        <v>102</v>
      </c>
      <c r="I4" s="8" t="s">
        <v>103</v>
      </c>
      <c r="J4" s="8" t="s">
        <v>104</v>
      </c>
      <c r="K4" s="8" t="s">
        <v>105</v>
      </c>
      <c r="L4" s="8" t="s">
        <v>106</v>
      </c>
      <c r="M4" s="8" t="s">
        <v>107</v>
      </c>
      <c r="N4" s="8" t="s">
        <v>108</v>
      </c>
      <c r="O4" s="8" t="s">
        <v>109</v>
      </c>
      <c r="P4" s="8" t="s">
        <v>110</v>
      </c>
      <c r="Q4" s="8" t="s">
        <v>111</v>
      </c>
      <c r="R4" s="8" t="s">
        <v>112</v>
      </c>
      <c r="S4" s="8" t="s">
        <v>113</v>
      </c>
      <c r="T4" s="8" t="s">
        <v>114</v>
      </c>
      <c r="U4" s="8" t="s">
        <v>115</v>
      </c>
      <c r="V4" s="8" t="s">
        <v>116</v>
      </c>
      <c r="W4" s="8" t="s">
        <v>117</v>
      </c>
      <c r="X4" s="8" t="s">
        <v>118</v>
      </c>
      <c r="Y4" s="8" t="s">
        <v>119</v>
      </c>
      <c r="Z4" s="8" t="s">
        <v>120</v>
      </c>
      <c r="AA4" s="8" t="s">
        <v>121</v>
      </c>
      <c r="AB4" s="8" t="s">
        <v>122</v>
      </c>
    </row>
    <row r="5" customFormat="false" ht="15" hidden="false" customHeight="false" outlineLevel="0" collapsed="false">
      <c r="A5" s="4" t="s">
        <v>123</v>
      </c>
      <c r="C5" s="13" t="n">
        <v>0</v>
      </c>
      <c r="D5" s="19" t="n">
        <f aca="false">SJoint</f>
        <v>187</v>
      </c>
      <c r="F5" s="18" t="n">
        <f aca="false">MAX(0,(C5-Plan!$H$5)/Plan!$I$5,(C5-Plan!$H$6)/Plan!$I$6,(C5-Plan!$H$7)/Plan!$I$7,(C5-Plan!$H$8)/Plan!$I$8,(C5-Plan!$H$9)/Plan!$I$9,(C5-Plan!$H$10)/Plan!$I$10,(C5-Plan!$H$11)/Plan!$I$11,(C5-Plan!$H$12)/Plan!$I$12,(C5-Plan!$H$13)/Plan!$I$13,(C5-Plan!$H$14)/Plan!$I$14,(C5-Plan!$H$15)/Plan!$I$15,(C5-Plan!$H$16)/Plan!$I$16)</f>
        <v>0</v>
      </c>
      <c r="G5" s="16" t="n">
        <f aca="false">MIN(D5,Plan!$H$5-C5+Plan!$I$5*F5,Plan!$H$6-C5+Plan!$I$6*F5,Plan!$H$7-C5+Plan!$I$7*F5,Plan!$H$8-C5+Plan!$I$8*F5,Plan!$H$9-C5+Plan!$I$9*F5,Plan!$H$10-C5+Plan!$I$10*F5,Plan!$H$11-C5+Plan!$I$11*F5,Plan!$H$12-C5+Plan!$I$12*F5,Plan!$H$13-C5+Plan!$I$13*F5,Plan!$H$14-C5+Plan!$I$14*F5,Plan!$H$15-C5+Plan!$I$15*F5,Plan!$H$16-C5+Plan!$I$16*F5)</f>
        <v>131.950382357786</v>
      </c>
      <c r="H5" s="15" t="n">
        <f aca="false">IF(ISNUMBER(E5),IF(D5-G5&gt;E5,1,0),0)</f>
        <v>0</v>
      </c>
      <c r="I5" s="16" t="n">
        <f aca="false">IF(H5=1,D5-E5,G5)</f>
        <v>131.950382357786</v>
      </c>
      <c r="J5" s="16" t="n">
        <f aca="false">D5-I5</f>
        <v>55.0496176422145</v>
      </c>
      <c r="K5" s="18" t="n">
        <f aca="false">IF(H5=1,MAX(0,(C5+I5-Plan!$H$5)/Plan!$I$5,(C5+I5-Plan!$H$6)/Plan!$I$6,(C5+I5-Plan!$H$7)/Plan!$I$7,(C5+I5-Plan!$H$8)/Plan!$I$8,(C5+I5-Plan!$H$9)/Plan!$I$9,(C5+I5-Plan!$H$10)/Plan!$I$10,(C5+I5-Plan!$H$11)/Plan!$I$11,(C5+I5-Plan!$H$12)/Plan!$I$12,(C5+I5-Plan!$H$13)/Plan!$I$13,(C5+I5-Plan!$H$14)/Plan!$I$14,(C5+I5-Plan!$H$15)/Plan!$I$15,(C5+I5-Plan!$H$16)/Plan!$I$16),F5)</f>
        <v>0</v>
      </c>
      <c r="L5" s="18" t="n">
        <f aca="false">Fee*J5+VQ*K5</f>
        <v>1.65148852926643</v>
      </c>
      <c r="M5" s="17" t="n">
        <f aca="false">(C5+I5-Plan!$H$5)/Plan!$I$5</f>
        <v>-12.4019597103376</v>
      </c>
      <c r="N5" s="17" t="n">
        <f aca="false">(C5+I5-Plan!$H$6)/Plan!$I$6</f>
        <v>-4.42776708671291</v>
      </c>
      <c r="O5" s="17" t="n">
        <f aca="false">(C5+I5-Plan!$H$7)/Plan!$I$7</f>
        <v>-1.93406669845395</v>
      </c>
      <c r="P5" s="17" t="n">
        <f aca="false">(C5+I5-Plan!$H$8)/Plan!$I$8</f>
        <v>-0.827220629616434</v>
      </c>
      <c r="Q5" s="17" t="n">
        <f aca="false">(C5+I5-Plan!$H$9)/Plan!$I$9</f>
        <v>-0.290293201206651</v>
      </c>
      <c r="R5" s="17" t="n">
        <f aca="false">(C5+I5-Plan!$H$10)/Plan!$I$10</f>
        <v>-0.0526649073469947</v>
      </c>
      <c r="S5" s="17" t="n">
        <f aca="false">(C5+I5-Plan!$H$11)/Plan!$I$11</f>
        <v>0</v>
      </c>
      <c r="T5" s="17" t="n">
        <f aca="false">(C5+I5-Plan!$H$12)/Plan!$I$12</f>
        <v>-0.076760929037647</v>
      </c>
      <c r="U5" s="17" t="n">
        <f aca="false">(C5+I5-Plan!$H$13)/Plan!$I$13</f>
        <v>-0.253735863085635</v>
      </c>
      <c r="V5" s="17" t="n">
        <f aca="false">(C5+I5-Plan!$H$14)/Plan!$I$14</f>
        <v>-0.51507285601235</v>
      </c>
      <c r="W5" s="17" t="n">
        <f aca="false">(C5+I5-Plan!$H$15)/Plan!$I$15</f>
        <v>-0.852410142538763</v>
      </c>
      <c r="X5" s="17" t="n">
        <f aca="false">(C5+I5-Plan!$H$16)/Plan!$I$16</f>
        <v>-1.2619660663043</v>
      </c>
      <c r="Y5" s="15" t="n">
        <f aca="false">MATCH(MAX(M5:X5),M5:X5,0)</f>
        <v>7</v>
      </c>
      <c r="Z5" s="20" t="n">
        <v>0.01488</v>
      </c>
      <c r="AA5" s="21" t="n">
        <v>0.17388</v>
      </c>
      <c r="AB5" s="21" t="n">
        <v>0.17124</v>
      </c>
    </row>
    <row r="6" customFormat="false" ht="15" hidden="false" customHeight="false" outlineLevel="0" collapsed="false">
      <c r="A6" s="4" t="s">
        <v>124</v>
      </c>
      <c r="B6" s="12" t="n">
        <v>0.5</v>
      </c>
      <c r="C6" s="11" t="n">
        <f aca="false">DNever-(DNever-DUsual)*B6</f>
        <v>125</v>
      </c>
      <c r="D6" s="11" t="n">
        <f aca="false">SNever-(SNever-SPlaus)*B6</f>
        <v>210</v>
      </c>
      <c r="F6" s="18" t="n">
        <f aca="false">MAX(0,(C6-Plan!$H$5)/Plan!$I$5,(C6-Plan!$H$6)/Plan!$I$6,(C6-Plan!$H$7)/Plan!$I$7,(C6-Plan!$H$8)/Plan!$I$8,(C6-Plan!$H$9)/Plan!$I$9,(C6-Plan!$H$10)/Plan!$I$10,(C6-Plan!$H$11)/Plan!$I$11,(C6-Plan!$H$12)/Plan!$I$12,(C6-Plan!$H$13)/Plan!$I$13,(C6-Plan!$H$14)/Plan!$I$14,(C6-Plan!$H$15)/Plan!$I$15,(C6-Plan!$H$16)/Plan!$I$16)</f>
        <v>0</v>
      </c>
      <c r="G6" s="16" t="n">
        <f aca="false">MIN(D6,Plan!$H$5-C6+Plan!$I$5*F6,Plan!$H$6-C6+Plan!$I$6*F6,Plan!$H$7-C6+Plan!$I$7*F6,Plan!$H$8-C6+Plan!$I$8*F6,Plan!$H$9-C6+Plan!$I$9*F6,Plan!$H$10-C6+Plan!$I$10*F6,Plan!$H$11-C6+Plan!$I$11*F6,Plan!$H$12-C6+Plan!$I$12*F6,Plan!$H$13-C6+Plan!$I$13*F6,Plan!$H$14-C6+Plan!$I$14*F6,Plan!$H$15-C6+Plan!$I$15*F6,Plan!$H$16-C6+Plan!$I$16*F6)</f>
        <v>6.95038235778554</v>
      </c>
      <c r="H6" s="15" t="n">
        <f aca="false">IF(ISNUMBER(E6),IF(D6-G6&gt;E6,1,0),0)</f>
        <v>0</v>
      </c>
      <c r="I6" s="16" t="n">
        <f aca="false">IF(H6=1,D6-E6,G6)</f>
        <v>6.95038235778554</v>
      </c>
      <c r="J6" s="16" t="n">
        <f aca="false">D6-I6</f>
        <v>203.049617642214</v>
      </c>
      <c r="K6" s="18" t="n">
        <f aca="false">IF(H6=1,MAX(0,(C6+I6-Plan!$H$5)/Plan!$I$5,(C6+I6-Plan!$H$6)/Plan!$I$6,(C6+I6-Plan!$H$7)/Plan!$I$7,(C6+I6-Plan!$H$8)/Plan!$I$8,(C6+I6-Plan!$H$9)/Plan!$I$9,(C6+I6-Plan!$H$10)/Plan!$I$10,(C6+I6-Plan!$H$11)/Plan!$I$11,(C6+I6-Plan!$H$12)/Plan!$I$12,(C6+I6-Plan!$H$13)/Plan!$I$13,(C6+I6-Plan!$H$14)/Plan!$I$14,(C6+I6-Plan!$H$15)/Plan!$I$15,(C6+I6-Plan!$H$16)/Plan!$I$16),F6)</f>
        <v>0</v>
      </c>
      <c r="L6" s="18" t="n">
        <f aca="false">Fee*J6+VQ*K6</f>
        <v>6.09148852926643</v>
      </c>
      <c r="M6" s="17" t="n">
        <f aca="false">(C6+I6-Plan!$H$5)/Plan!$I$5</f>
        <v>-12.4019597103376</v>
      </c>
      <c r="N6" s="17" t="n">
        <f aca="false">(C6+I6-Plan!$H$6)/Plan!$I$6</f>
        <v>-4.42776708671291</v>
      </c>
      <c r="O6" s="17" t="n">
        <f aca="false">(C6+I6-Plan!$H$7)/Plan!$I$7</f>
        <v>-1.93406669845395</v>
      </c>
      <c r="P6" s="17" t="n">
        <f aca="false">(C6+I6-Plan!$H$8)/Plan!$I$8</f>
        <v>-0.827220629616434</v>
      </c>
      <c r="Q6" s="17" t="n">
        <f aca="false">(C6+I6-Plan!$H$9)/Plan!$I$9</f>
        <v>-0.290293201206651</v>
      </c>
      <c r="R6" s="17" t="n">
        <f aca="false">(C6+I6-Plan!$H$10)/Plan!$I$10</f>
        <v>-0.0526649073469947</v>
      </c>
      <c r="S6" s="17" t="n">
        <f aca="false">(C6+I6-Plan!$H$11)/Plan!$I$11</f>
        <v>0</v>
      </c>
      <c r="T6" s="17" t="n">
        <f aca="false">(C6+I6-Plan!$H$12)/Plan!$I$12</f>
        <v>-0.076760929037647</v>
      </c>
      <c r="U6" s="17" t="n">
        <f aca="false">(C6+I6-Plan!$H$13)/Plan!$I$13</f>
        <v>-0.253735863085635</v>
      </c>
      <c r="V6" s="17" t="n">
        <f aca="false">(C6+I6-Plan!$H$14)/Plan!$I$14</f>
        <v>-0.51507285601235</v>
      </c>
      <c r="W6" s="17" t="n">
        <f aca="false">(C6+I6-Plan!$H$15)/Plan!$I$15</f>
        <v>-0.852410142538763</v>
      </c>
      <c r="X6" s="17" t="n">
        <f aca="false">(C6+I6-Plan!$H$16)/Plan!$I$16</f>
        <v>-1.2619660663043</v>
      </c>
      <c r="Y6" s="15" t="n">
        <f aca="false">MATCH(MAX(M6:X6),M6:X6,0)</f>
        <v>7</v>
      </c>
      <c r="Z6" s="20" t="n">
        <v>0.78907</v>
      </c>
      <c r="AA6" s="21" t="n">
        <v>0.08645</v>
      </c>
      <c r="AB6" s="21" t="n">
        <v>0.08435</v>
      </c>
    </row>
    <row r="7" customFormat="false" ht="15" hidden="false" customHeight="false" outlineLevel="0" collapsed="false">
      <c r="A7" s="4" t="s">
        <v>125</v>
      </c>
      <c r="B7" s="22" t="n">
        <f aca="false">Graded!$U$7</f>
        <v>0.38</v>
      </c>
      <c r="C7" s="11" t="n">
        <f aca="false">DNever-(DNever-DUsual)*B7</f>
        <v>143</v>
      </c>
      <c r="D7" s="11" t="n">
        <f aca="false">SNever-(SNever-SPlaus)*B7</f>
        <v>231.6</v>
      </c>
      <c r="F7" s="18" t="n">
        <f aca="false">MAX(0,(C7-Plan!$H$5)/Plan!$I$5,(C7-Plan!$H$6)/Plan!$I$6,(C7-Plan!$H$7)/Plan!$I$7,(C7-Plan!$H$8)/Plan!$I$8,(C7-Plan!$H$9)/Plan!$I$9,(C7-Plan!$H$10)/Plan!$I$10,(C7-Plan!$H$11)/Plan!$I$11,(C7-Plan!$H$12)/Plan!$I$12,(C7-Plan!$H$13)/Plan!$I$13,(C7-Plan!$H$14)/Plan!$I$14,(C7-Plan!$H$15)/Plan!$I$15,(C7-Plan!$H$16)/Plan!$I$16)</f>
        <v>0.449366513548311</v>
      </c>
      <c r="G7" s="16" t="n">
        <f aca="false">MIN(D7,Plan!$H$5-C7+Plan!$I$5*F7,Plan!$H$6-C7+Plan!$I$6*F7,Plan!$H$7-C7+Plan!$I$7*F7,Plan!$H$8-C7+Plan!$I$8*F7,Plan!$H$9-C7+Plan!$I$9*F7,Plan!$H$10-C7+Plan!$I$10*F7,Plan!$H$11-C7+Plan!$I$11*F7,Plan!$H$12-C7+Plan!$I$12*F7,Plan!$H$13-C7+Plan!$I$13*F7,Plan!$H$14-C7+Plan!$I$14*F7,Plan!$H$15-C7+Plan!$I$15*F7,Plan!$H$16-C7+Plan!$I$16*F7)</f>
        <v>0</v>
      </c>
      <c r="H7" s="15" t="n">
        <f aca="false">IF(ISNUMBER(E7),IF(D7-G7&gt;E7,1,0),0)</f>
        <v>0</v>
      </c>
      <c r="I7" s="16" t="n">
        <f aca="false">IF(H7=1,D7-E7,G7)</f>
        <v>0</v>
      </c>
      <c r="J7" s="16" t="n">
        <f aca="false">D7-I7</f>
        <v>231.6</v>
      </c>
      <c r="K7" s="18" t="n">
        <f aca="false">IF(H7=1,MAX(0,(C7+I7-Plan!$H$5)/Plan!$I$5,(C7+I7-Plan!$H$6)/Plan!$I$6,(C7+I7-Plan!$H$7)/Plan!$I$7,(C7+I7-Plan!$H$8)/Plan!$I$8,(C7+I7-Plan!$H$9)/Plan!$I$9,(C7+I7-Plan!$H$10)/Plan!$I$10,(C7+I7-Plan!$H$11)/Plan!$I$11,(C7+I7-Plan!$H$12)/Plan!$I$12,(C7+I7-Plan!$H$13)/Plan!$I$13,(C7+I7-Plan!$H$14)/Plan!$I$14,(C7+I7-Plan!$H$15)/Plan!$I$15,(C7+I7-Plan!$H$16)/Plan!$I$16),F7)</f>
        <v>0.449366513548311</v>
      </c>
      <c r="L7" s="18" t="n">
        <f aca="false">Fee*J7+VQ*K7</f>
        <v>10.5429321083865</v>
      </c>
      <c r="M7" s="17" t="n">
        <f aca="false">(C7+I7-Plan!$H$5)/Plan!$I$5</f>
        <v>-10.9160997338832</v>
      </c>
      <c r="N7" s="17" t="n">
        <f aca="false">(C7+I7-Plan!$H$6)/Plan!$I$6</f>
        <v>-3.58591711981628</v>
      </c>
      <c r="O7" s="17" t="n">
        <f aca="false">(C7+I7-Plan!$H$7)/Plan!$I$7</f>
        <v>-1.29810603998509</v>
      </c>
      <c r="P7" s="17" t="n">
        <f aca="false">(C7+I7-Plan!$H$8)/Plan!$I$8</f>
        <v>-0.286742252349927</v>
      </c>
      <c r="Q7" s="17" t="n">
        <f aca="false">(C7+I7-Plan!$H$9)/Plan!$I$9</f>
        <v>0.199660588485838</v>
      </c>
      <c r="R7" s="17" t="n">
        <f aca="false">(C7+I7-Plan!$H$10)/Plan!$I$10</f>
        <v>0.409993741706566</v>
      </c>
      <c r="S7" s="17" t="n">
        <f aca="false">(C7+I7-Plan!$H$11)/Plan!$I$11</f>
        <v>0.449366513548311</v>
      </c>
      <c r="T7" s="17" t="n">
        <f aca="false">(C7+I7-Plan!$H$12)/Plan!$I$12</f>
        <v>0.368788169438742</v>
      </c>
      <c r="U7" s="17" t="n">
        <f aca="false">(C7+I7-Plan!$H$13)/Plan!$I$13</f>
        <v>0.19504037842889</v>
      </c>
      <c r="V7" s="17" t="n">
        <f aca="false">(C7+I7-Plan!$H$14)/Plan!$I$14</f>
        <v>-0.0573957625515551</v>
      </c>
      <c r="W7" s="17" t="n">
        <f aca="false">(C7+I7-Plan!$H$15)/Plan!$I$15</f>
        <v>-0.380940969394017</v>
      </c>
      <c r="X7" s="17" t="n">
        <f aca="false">(C7+I7-Plan!$H$16)/Plan!$I$16</f>
        <v>-0.772241882438108</v>
      </c>
      <c r="Y7" s="15" t="n">
        <f aca="false">MATCH(MAX(M7:X7),M7:X7,0)</f>
        <v>7</v>
      </c>
      <c r="Z7" s="20" t="n">
        <v>0.87036</v>
      </c>
      <c r="AA7" s="21" t="n">
        <v>0.05637</v>
      </c>
      <c r="AB7" s="21" t="n">
        <v>0.05508</v>
      </c>
    </row>
    <row r="8" customFormat="false" ht="15" hidden="false" customHeight="false" outlineLevel="0" collapsed="false">
      <c r="A8" s="4" t="s">
        <v>126</v>
      </c>
      <c r="B8" s="22" t="n">
        <f aca="false">Graded!$U$12</f>
        <v>0.35</v>
      </c>
      <c r="C8" s="11" t="n">
        <f aca="false">DNever-(DNever-DUsual)*B8</f>
        <v>147.5</v>
      </c>
      <c r="D8" s="11" t="n">
        <f aca="false">SNever-(SNever-SPlaus)*B8</f>
        <v>237</v>
      </c>
      <c r="F8" s="18" t="n">
        <f aca="false">MAX(0,(C8-Plan!$H$5)/Plan!$I$5,(C8-Plan!$H$6)/Plan!$I$6,(C8-Plan!$H$7)/Plan!$I$7,(C8-Plan!$H$8)/Plan!$I$8,(C8-Plan!$H$9)/Plan!$I$9,(C8-Plan!$H$10)/Plan!$I$10,(C8-Plan!$H$11)/Plan!$I$11,(C8-Plan!$H$12)/Plan!$I$12,(C8-Plan!$H$13)/Plan!$I$13,(C8-Plan!$H$14)/Plan!$I$14,(C8-Plan!$H$15)/Plan!$I$15,(C8-Plan!$H$16)/Plan!$I$16)</f>
        <v>0.632372783669541</v>
      </c>
      <c r="G8" s="16" t="n">
        <f aca="false">MIN(D8,Plan!$H$5-C8+Plan!$I$5*F8,Plan!$H$6-C8+Plan!$I$6*F8,Plan!$H$7-C8+Plan!$I$7*F8,Plan!$H$8-C8+Plan!$I$8*F8,Plan!$H$9-C8+Plan!$I$9*F8,Plan!$H$10-C8+Plan!$I$10*F8,Plan!$H$11-C8+Plan!$I$11*F8,Plan!$H$12-C8+Plan!$I$12*F8,Plan!$H$13-C8+Plan!$I$13*F8,Plan!$H$14-C8+Plan!$I$14*F8,Plan!$H$15-C8+Plan!$I$15*F8,Plan!$H$16-C8+Plan!$I$16*F8)</f>
        <v>0</v>
      </c>
      <c r="H8" s="15" t="n">
        <f aca="false">IF(ISNUMBER(E8),IF(D8-G8&gt;E8,1,0),0)</f>
        <v>0</v>
      </c>
      <c r="I8" s="16" t="n">
        <f aca="false">IF(H8=1,D8-E8,G8)</f>
        <v>0</v>
      </c>
      <c r="J8" s="16" t="n">
        <f aca="false">D8-I8</f>
        <v>237</v>
      </c>
      <c r="K8" s="18" t="n">
        <f aca="false">IF(H8=1,MAX(0,(C8+I8-Plan!$H$5)/Plan!$I$5,(C8+I8-Plan!$H$6)/Plan!$I$6,(C8+I8-Plan!$H$7)/Plan!$I$7,(C8+I8-Plan!$H$8)/Plan!$I$8,(C8+I8-Plan!$H$9)/Plan!$I$9,(C8+I8-Plan!$H$10)/Plan!$I$10,(C8+I8-Plan!$H$11)/Plan!$I$11,(C8+I8-Plan!$H$12)/Plan!$I$12,(C8+I8-Plan!$H$13)/Plan!$I$13,(C8+I8-Plan!$H$14)/Plan!$I$14,(C8+I8-Plan!$H$15)/Plan!$I$15,(C8+I8-Plan!$H$16)/Plan!$I$16),F8)</f>
        <v>0.632372783669541</v>
      </c>
      <c r="L8" s="18" t="n">
        <f aca="false">Fee*J8+VQ*K8</f>
        <v>12.1689822693563</v>
      </c>
      <c r="M8" s="17" t="n">
        <f aca="false">(C8+I8-Plan!$H$5)/Plan!$I$5</f>
        <v>-10.3109774472531</v>
      </c>
      <c r="N8" s="17" t="n">
        <f aca="false">(C8+I8-Plan!$H$6)/Plan!$I$6</f>
        <v>-3.2430704283107</v>
      </c>
      <c r="O8" s="17" t="n">
        <f aca="false">(C8+I8-Plan!$H$7)/Plan!$I$7</f>
        <v>-1.03910857457268</v>
      </c>
      <c r="P8" s="17" t="n">
        <f aca="false">(C8+I8-Plan!$H$8)/Plan!$I$8</f>
        <v>-0.0666303193896971</v>
      </c>
      <c r="Q8" s="17" t="n">
        <f aca="false">(C8+I8-Plan!$H$9)/Plan!$I$9</f>
        <v>0.399196185554185</v>
      </c>
      <c r="R8" s="17" t="n">
        <f aca="false">(C8+I8-Plan!$H$10)/Plan!$I$10</f>
        <v>0.598413285998035</v>
      </c>
      <c r="S8" s="17" t="n">
        <f aca="false">(C8+I8-Plan!$H$11)/Plan!$I$11</f>
        <v>0.632372783669541</v>
      </c>
      <c r="T8" s="17" t="n">
        <f aca="false">(C8+I8-Plan!$H$12)/Plan!$I$12</f>
        <v>0.550239782341968</v>
      </c>
      <c r="U8" s="17" t="n">
        <f aca="false">(C8+I8-Plan!$H$13)/Plan!$I$13</f>
        <v>0.377806257955797</v>
      </c>
      <c r="V8" s="17" t="n">
        <f aca="false">(C8+I8-Plan!$H$14)/Plan!$I$14</f>
        <v>0.128995023741827</v>
      </c>
      <c r="W8" s="17" t="n">
        <f aca="false">(C8+I8-Plan!$H$15)/Plan!$I$15</f>
        <v>-0.188933304708331</v>
      </c>
      <c r="X8" s="17" t="n">
        <f aca="false">(C8+I8-Plan!$H$16)/Plan!$I$16</f>
        <v>-0.572799793240511</v>
      </c>
      <c r="Y8" s="15" t="n">
        <f aca="false">MATCH(MAX(M8:X8),M8:X8,0)</f>
        <v>7</v>
      </c>
      <c r="Z8" s="20" t="n">
        <v>0.88533</v>
      </c>
      <c r="AA8" s="21" t="n">
        <v>0.04712</v>
      </c>
      <c r="AB8" s="21" t="n">
        <v>0.04617</v>
      </c>
    </row>
    <row r="9" customFormat="false" ht="15" hidden="false" customHeight="false" outlineLevel="0" collapsed="false">
      <c r="A9" s="4" t="s">
        <v>127</v>
      </c>
      <c r="B9" s="22" t="n">
        <f aca="false">Graded!$U$13</f>
        <v>0.08</v>
      </c>
      <c r="C9" s="11" t="n">
        <f aca="false">DNever-(DNever-DUsual)*B9</f>
        <v>188</v>
      </c>
      <c r="D9" s="11" t="n">
        <f aca="false">SNever-(SNever-SPlaus)*B9</f>
        <v>285.6</v>
      </c>
      <c r="F9" s="18" t="n">
        <f aca="false">MAX(0,(C9-Plan!$H$5)/Plan!$I$5,(C9-Plan!$H$6)/Plan!$I$6,(C9-Plan!$H$7)/Plan!$I$7,(C9-Plan!$H$8)/Plan!$I$8,(C9-Plan!$H$9)/Plan!$I$9,(C9-Plan!$H$10)/Plan!$I$10,(C9-Plan!$H$11)/Plan!$I$11,(C9-Plan!$H$12)/Plan!$I$12,(C9-Plan!$H$13)/Plan!$I$13,(C9-Plan!$H$14)/Plan!$I$14,(C9-Plan!$H$15)/Plan!$I$15,(C9-Plan!$H$16)/Plan!$I$16)</f>
        <v>2.29418918462126</v>
      </c>
      <c r="G9" s="16" t="n">
        <f aca="false">MIN(D9,Plan!$H$5-C9+Plan!$I$5*F9,Plan!$H$6-C9+Plan!$I$6*F9,Plan!$H$7-C9+Plan!$I$7*F9,Plan!$H$8-C9+Plan!$I$8*F9,Plan!$H$9-C9+Plan!$I$9*F9,Plan!$H$10-C9+Plan!$I$10*F9,Plan!$H$11-C9+Plan!$I$11*F9,Plan!$H$12-C9+Plan!$I$12*F9,Plan!$H$13-C9+Plan!$I$13*F9,Plan!$H$14-C9+Plan!$I$14*F9,Plan!$H$15-C9+Plan!$I$15*F9,Plan!$H$16-C9+Plan!$I$16*F9)</f>
        <v>0</v>
      </c>
      <c r="H9" s="15" t="n">
        <f aca="false">IF(ISNUMBER(E9),IF(D9-G9&gt;E9,1,0),0)</f>
        <v>0</v>
      </c>
      <c r="I9" s="16" t="n">
        <f aca="false">IF(H9=1,D9-E9,G9)</f>
        <v>0</v>
      </c>
      <c r="J9" s="16" t="n">
        <f aca="false">D9-I9</f>
        <v>285.6</v>
      </c>
      <c r="K9" s="18" t="n">
        <f aca="false">IF(H9=1,MAX(0,(C9+I9-Plan!$H$5)/Plan!$I$5,(C9+I9-Plan!$H$6)/Plan!$I$6,(C9+I9-Plan!$H$7)/Plan!$I$7,(C9+I9-Plan!$H$8)/Plan!$I$8,(C9+I9-Plan!$H$9)/Plan!$I$9,(C9+I9-Plan!$H$10)/Plan!$I$10,(C9+I9-Plan!$H$11)/Plan!$I$11,(C9+I9-Plan!$H$12)/Plan!$I$12,(C9+I9-Plan!$H$13)/Plan!$I$13,(C9+I9-Plan!$H$14)/Plan!$I$14,(C9+I9-Plan!$H$15)/Plan!$I$15,(C9+I9-Plan!$H$16)/Plan!$I$16),F9)</f>
        <v>2.29418918462126</v>
      </c>
      <c r="L9" s="18" t="n">
        <f aca="false">Fee*J9+VQ*K9</f>
        <v>26.92151347697</v>
      </c>
      <c r="M9" s="17" t="n">
        <f aca="false">(C9+I9-Plan!$H$5)/Plan!$I$5</f>
        <v>-4.86487686758224</v>
      </c>
      <c r="N9" s="17" t="n">
        <f aca="false">(C9+I9-Plan!$H$6)/Plan!$I$6</f>
        <v>-0.157450204760525</v>
      </c>
      <c r="O9" s="17" t="n">
        <f aca="false">(C9+I9-Plan!$H$7)/Plan!$I$7</f>
        <v>1.29186861413905</v>
      </c>
      <c r="P9" s="17" t="n">
        <f aca="false">(C9+I9-Plan!$H$8)/Plan!$I$8</f>
        <v>1.91437707725237</v>
      </c>
      <c r="Q9" s="17" t="n">
        <f aca="false">(C9+I9-Plan!$H$9)/Plan!$I$9</f>
        <v>2.19501655916931</v>
      </c>
      <c r="R9" s="17" t="n">
        <f aca="false">(C9+I9-Plan!$H$10)/Plan!$I$10</f>
        <v>2.29418918462126</v>
      </c>
      <c r="S9" s="17" t="n">
        <f aca="false">(C9+I9-Plan!$H$11)/Plan!$I$11</f>
        <v>2.27942921476061</v>
      </c>
      <c r="T9" s="17" t="n">
        <f aca="false">(C9+I9-Plan!$H$12)/Plan!$I$12</f>
        <v>2.183304298471</v>
      </c>
      <c r="U9" s="17" t="n">
        <f aca="false">(C9+I9-Plan!$H$13)/Plan!$I$13</f>
        <v>2.02269917369796</v>
      </c>
      <c r="V9" s="17" t="n">
        <f aca="false">(C9+I9-Plan!$H$14)/Plan!$I$14</f>
        <v>1.80651210038226</v>
      </c>
      <c r="W9" s="17" t="n">
        <f aca="false">(C9+I9-Plan!$H$15)/Plan!$I$15</f>
        <v>1.53913567746285</v>
      </c>
      <c r="X9" s="17" t="n">
        <f aca="false">(C9+I9-Plan!$H$16)/Plan!$I$16</f>
        <v>1.22217900953785</v>
      </c>
      <c r="Y9" s="15" t="n">
        <f aca="false">MATCH(MAX(M9:X9),M9:X9,0)</f>
        <v>6</v>
      </c>
      <c r="Z9" s="20" t="n">
        <v>0.95021</v>
      </c>
      <c r="AA9" s="21" t="n">
        <v>0.00757</v>
      </c>
      <c r="AB9" s="21" t="n">
        <v>0.00731</v>
      </c>
    </row>
    <row r="10" customFormat="false" ht="15" hidden="false" customHeight="false" outlineLevel="0" collapsed="false">
      <c r="A10" s="4" t="s">
        <v>128</v>
      </c>
      <c r="B10" s="12" t="n">
        <v>0</v>
      </c>
      <c r="C10" s="11" t="n">
        <f aca="false">DNever-(DNever-DUsual)*B10</f>
        <v>200</v>
      </c>
      <c r="D10" s="11" t="n">
        <f aca="false">SNever-(SNever-SPlaus)*B10</f>
        <v>300</v>
      </c>
      <c r="F10" s="18" t="n">
        <f aca="false">MAX(0,(C10-Plan!$H$5)/Plan!$I$5,(C10-Plan!$H$6)/Plan!$I$6,(C10-Plan!$H$7)/Plan!$I$7,(C10-Plan!$H$8)/Plan!$I$8,(C10-Plan!$H$9)/Plan!$I$9,(C10-Plan!$H$10)/Plan!$I$10,(C10-Plan!$H$11)/Plan!$I$11,(C10-Plan!$H$12)/Plan!$I$12,(C10-Plan!$H$13)/Plan!$I$13,(C10-Plan!$H$14)/Plan!$I$14,(C10-Plan!$H$15)/Plan!$I$15,(C10-Plan!$H$16)/Plan!$I$16)</f>
        <v>2.79664130273184</v>
      </c>
      <c r="G10" s="16" t="n">
        <f aca="false">MIN(D10,Plan!$H$5-C10+Plan!$I$5*F10,Plan!$H$6-C10+Plan!$I$6*F10,Plan!$H$7-C10+Plan!$I$7*F10,Plan!$H$8-C10+Plan!$I$8*F10,Plan!$H$9-C10+Plan!$I$9*F10,Plan!$H$10-C10+Plan!$I$10*F10,Plan!$H$11-C10+Plan!$I$11*F10,Plan!$H$12-C10+Plan!$I$12*F10,Plan!$H$13-C10+Plan!$I$13*F10,Plan!$H$14-C10+Plan!$I$14*F10,Plan!$H$15-C10+Plan!$I$15*F10,Plan!$H$16-C10+Plan!$I$16*F10)</f>
        <v>0</v>
      </c>
      <c r="H10" s="15" t="n">
        <f aca="false">IF(ISNUMBER(E10),IF(D10-G10&gt;E10,1,0),0)</f>
        <v>0</v>
      </c>
      <c r="I10" s="16" t="n">
        <f aca="false">IF(H10=1,D10-E10,G10)</f>
        <v>0</v>
      </c>
      <c r="J10" s="16" t="n">
        <f aca="false">D10-I10</f>
        <v>300</v>
      </c>
      <c r="K10" s="18" t="n">
        <f aca="false">IF(H10=1,MAX(0,(C10+I10-Plan!$H$5)/Plan!$I$5,(C10+I10-Plan!$H$6)/Plan!$I$6,(C10+I10-Plan!$H$7)/Plan!$I$7,(C10+I10-Plan!$H$8)/Plan!$I$8,(C10+I10-Plan!$H$9)/Plan!$I$9,(C10+I10-Plan!$H$10)/Plan!$I$10,(C10+I10-Plan!$H$11)/Plan!$I$11,(C10+I10-Plan!$H$12)/Plan!$I$12,(C10+I10-Plan!$H$13)/Plan!$I$13,(C10+I10-Plan!$H$14)/Plan!$I$14,(C10+I10-Plan!$H$15)/Plan!$I$15,(C10+I10-Plan!$H$16)/Plan!$I$16),F10)</f>
        <v>2.79664130273184</v>
      </c>
      <c r="L10" s="18" t="n">
        <f aca="false">Fee*J10+VQ*K10</f>
        <v>31.3731304218547</v>
      </c>
      <c r="M10" s="17" t="n">
        <f aca="false">(C10+I10-Plan!$H$5)/Plan!$I$5</f>
        <v>-3.25121743656866</v>
      </c>
      <c r="N10" s="17" t="n">
        <f aca="false">(C10+I10-Plan!$H$6)/Plan!$I$6</f>
        <v>0.756807639254342</v>
      </c>
      <c r="O10" s="17" t="n">
        <f aca="false">(C10+I10-Plan!$H$7)/Plan!$I$7</f>
        <v>1.98252852190549</v>
      </c>
      <c r="P10" s="17" t="n">
        <f aca="false">(C10+I10-Plan!$H$8)/Plan!$I$8</f>
        <v>2.50134223181298</v>
      </c>
      <c r="Q10" s="17" t="n">
        <f aca="false">(C10+I10-Plan!$H$9)/Plan!$I$9</f>
        <v>2.7271114846849</v>
      </c>
      <c r="R10" s="17" t="n">
        <f aca="false">(C10+I10-Plan!$H$10)/Plan!$I$10</f>
        <v>2.79664130273184</v>
      </c>
      <c r="S10" s="17" t="n">
        <f aca="false">(C10+I10-Plan!$H$11)/Plan!$I$11</f>
        <v>2.76744593508388</v>
      </c>
      <c r="T10" s="17" t="n">
        <f aca="false">(C10+I10-Plan!$H$12)/Plan!$I$12</f>
        <v>2.66717526621294</v>
      </c>
      <c r="U10" s="17" t="n">
        <f aca="false">(C10+I10-Plan!$H$13)/Plan!$I$13</f>
        <v>2.51007485243638</v>
      </c>
      <c r="V10" s="17" t="n">
        <f aca="false">(C10+I10-Plan!$H$14)/Plan!$I$14</f>
        <v>2.30355419716461</v>
      </c>
      <c r="W10" s="17" t="n">
        <f aca="false">(C10+I10-Plan!$H$15)/Plan!$I$15</f>
        <v>2.05115611662468</v>
      </c>
      <c r="X10" s="17" t="n">
        <f aca="false">(C10+I10-Plan!$H$16)/Plan!$I$16</f>
        <v>1.75402458073144</v>
      </c>
      <c r="Y10" s="15" t="n">
        <f aca="false">MATCH(MAX(M10:X10),M10:X10,0)</f>
        <v>6</v>
      </c>
      <c r="Z10" s="20" t="n">
        <v>0.95581</v>
      </c>
      <c r="AA10" s="21" t="n">
        <v>0.00393</v>
      </c>
      <c r="AB10" s="21" t="n">
        <v>0.00394</v>
      </c>
    </row>
    <row r="11" customFormat="false" ht="15" hidden="false" customHeight="false" outlineLevel="0" collapsed="false">
      <c r="A11" s="4" t="s">
        <v>129</v>
      </c>
      <c r="C11" s="13" t="n">
        <v>140</v>
      </c>
      <c r="D11" s="13" t="n">
        <v>230</v>
      </c>
      <c r="F11" s="18" t="n">
        <f aca="false">MAX(0,(C11-Plan!$H$5)/Plan!$I$5,(C11-Plan!$H$6)/Plan!$I$6,(C11-Plan!$H$7)/Plan!$I$7,(C11-Plan!$H$8)/Plan!$I$8,(C11-Plan!$H$9)/Plan!$I$9,(C11-Plan!$H$10)/Plan!$I$10,(C11-Plan!$H$11)/Plan!$I$11,(C11-Plan!$H$12)/Plan!$I$12,(C11-Plan!$H$13)/Plan!$I$13,(C11-Plan!$H$14)/Plan!$I$14,(C11-Plan!$H$15)/Plan!$I$15,(C11-Plan!$H$16)/Plan!$I$16)</f>
        <v>0.327362333467492</v>
      </c>
      <c r="G11" s="16" t="n">
        <f aca="false">MIN(D11,Plan!$H$5-C11+Plan!$I$5*F11,Plan!$H$6-C11+Plan!$I$6*F11,Plan!$H$7-C11+Plan!$I$7*F11,Plan!$H$8-C11+Plan!$I$8*F11,Plan!$H$9-C11+Plan!$I$9*F11,Plan!$H$10-C11+Plan!$I$10*F11,Plan!$H$11-C11+Plan!$I$11*F11,Plan!$H$12-C11+Plan!$I$12*F11,Plan!$H$13-C11+Plan!$I$13*F11,Plan!$H$14-C11+Plan!$I$14*F11,Plan!$H$15-C11+Plan!$I$15*F11,Plan!$H$16-C11+Plan!$I$16*F11)</f>
        <v>0</v>
      </c>
      <c r="H11" s="15" t="n">
        <f aca="false">IF(ISNUMBER(E11),IF(D11-G11&gt;E11,1,0),0)</f>
        <v>0</v>
      </c>
      <c r="I11" s="16" t="n">
        <f aca="false">IF(H11=1,D11-E11,G11)</f>
        <v>0</v>
      </c>
      <c r="J11" s="16" t="n">
        <f aca="false">D11-I11</f>
        <v>230</v>
      </c>
      <c r="K11" s="18" t="n">
        <f aca="false">IF(H11=1,MAX(0,(C11+I11-Plan!$H$5)/Plan!$I$5,(C11+I11-Plan!$H$6)/Plan!$I$6,(C11+I11-Plan!$H$7)/Plan!$I$7,(C11+I11-Plan!$H$8)/Plan!$I$8,(C11+I11-Plan!$H$9)/Plan!$I$9,(C11+I11-Plan!$H$10)/Plan!$I$10,(C11+I11-Plan!$H$11)/Plan!$I$11,(C11+I11-Plan!$H$12)/Plan!$I$12,(C11+I11-Plan!$H$13)/Plan!$I$13,(C11+I11-Plan!$H$14)/Plan!$I$14,(C11+I11-Plan!$H$15)/Plan!$I$15,(C11+I11-Plan!$H$16)/Plan!$I$16),F11)</f>
        <v>0.327362333467492</v>
      </c>
      <c r="L11" s="18" t="n">
        <f aca="false">Fee*J11+VQ*K11</f>
        <v>9.51889866773993</v>
      </c>
      <c r="M11" s="17" t="n">
        <f aca="false">(C11+I11-Plan!$H$5)/Plan!$I$5</f>
        <v>-11.3195145916366</v>
      </c>
      <c r="N11" s="17" t="n">
        <f aca="false">(C11+I11-Plan!$H$6)/Plan!$I$6</f>
        <v>-3.81448158081999</v>
      </c>
      <c r="O11" s="17" t="n">
        <f aca="false">(C11+I11-Plan!$H$7)/Plan!$I$7</f>
        <v>-1.4707710169267</v>
      </c>
      <c r="P11" s="17" t="n">
        <f aca="false">(C11+I11-Plan!$H$8)/Plan!$I$8</f>
        <v>-0.43348354099008</v>
      </c>
      <c r="Q11" s="17" t="n">
        <f aca="false">(C11+I11-Plan!$H$9)/Plan!$I$9</f>
        <v>0.0666368571069399</v>
      </c>
      <c r="R11" s="17" t="n">
        <f aca="false">(C11+I11-Plan!$H$10)/Plan!$I$10</f>
        <v>0.28438071217892</v>
      </c>
      <c r="S11" s="17" t="n">
        <f aca="false">(C11+I11-Plan!$H$11)/Plan!$I$11</f>
        <v>0.327362333467492</v>
      </c>
      <c r="T11" s="17" t="n">
        <f aca="false">(C11+I11-Plan!$H$12)/Plan!$I$12</f>
        <v>0.247820427503259</v>
      </c>
      <c r="U11" s="17" t="n">
        <f aca="false">(C11+I11-Plan!$H$13)/Plan!$I$13</f>
        <v>0.0731964587442847</v>
      </c>
      <c r="V11" s="17" t="n">
        <f aca="false">(C11+I11-Plan!$H$14)/Plan!$I$14</f>
        <v>-0.181656286747143</v>
      </c>
      <c r="W11" s="17" t="n">
        <f aca="false">(C11+I11-Plan!$H$15)/Plan!$I$15</f>
        <v>-0.508946079184475</v>
      </c>
      <c r="X11" s="17" t="n">
        <f aca="false">(C11+I11-Plan!$H$16)/Plan!$I$16</f>
        <v>-0.905203275236505</v>
      </c>
      <c r="Y11" s="15" t="n">
        <f aca="false">MATCH(MAX(M11:X11),M11:X11,0)</f>
        <v>7</v>
      </c>
      <c r="Z11" s="20" t="n">
        <v>0.85976</v>
      </c>
      <c r="AA11" s="21" t="n">
        <v>0.06332</v>
      </c>
      <c r="AB11" s="21" t="n">
        <v>0.06137</v>
      </c>
    </row>
    <row r="12" customFormat="false" ht="15" hidden="false" customHeight="false" outlineLevel="0" collapsed="false">
      <c r="A12" s="4" t="s">
        <v>130</v>
      </c>
      <c r="B12" s="12" t="n">
        <v>0.5</v>
      </c>
      <c r="C12" s="11" t="n">
        <f aca="false">DNever-(DNever-DUsual)*B12</f>
        <v>125</v>
      </c>
      <c r="D12" s="11" t="n">
        <f aca="false">SNever-(SNever-SPlaus)*B12</f>
        <v>210</v>
      </c>
      <c r="E12" s="23" t="n">
        <f aca="false">CapL</f>
        <v>100</v>
      </c>
      <c r="F12" s="18" t="n">
        <f aca="false">MAX(0,(C12-Plan!$H$5)/Plan!$I$5,(C12-Plan!$H$6)/Plan!$I$6,(C12-Plan!$H$7)/Plan!$I$7,(C12-Plan!$H$8)/Plan!$I$8,(C12-Plan!$H$9)/Plan!$I$9,(C12-Plan!$H$10)/Plan!$I$10,(C12-Plan!$H$11)/Plan!$I$11,(C12-Plan!$H$12)/Plan!$I$12,(C12-Plan!$H$13)/Plan!$I$13,(C12-Plan!$H$14)/Plan!$I$14,(C12-Plan!$H$15)/Plan!$I$15,(C12-Plan!$H$16)/Plan!$I$16)</f>
        <v>0</v>
      </c>
      <c r="G12" s="16" t="n">
        <f aca="false">MIN(D12,Plan!$H$5-C12+Plan!$I$5*F12,Plan!$H$6-C12+Plan!$I$6*F12,Plan!$H$7-C12+Plan!$I$7*F12,Plan!$H$8-C12+Plan!$I$8*F12,Plan!$H$9-C12+Plan!$I$9*F12,Plan!$H$10-C12+Plan!$I$10*F12,Plan!$H$11-C12+Plan!$I$11*F12,Plan!$H$12-C12+Plan!$I$12*F12,Plan!$H$13-C12+Plan!$I$13*F12,Plan!$H$14-C12+Plan!$I$14*F12,Plan!$H$15-C12+Plan!$I$15*F12,Plan!$H$16-C12+Plan!$I$16*F12)</f>
        <v>6.95038235778554</v>
      </c>
      <c r="H12" s="15" t="n">
        <f aca="false">IF(ISNUMBER(E12),IF(D12-G12&gt;E12,1,0),0)</f>
        <v>1</v>
      </c>
      <c r="I12" s="16" t="n">
        <f aca="false">IF(H12=1,D12-E12,G12)</f>
        <v>110</v>
      </c>
      <c r="J12" s="16" t="n">
        <f aca="false">D12-I12</f>
        <v>100</v>
      </c>
      <c r="K12" s="18" t="n">
        <f aca="false">IF(H12=1,MAX(0,(C12+I12-Plan!$H$5)/Plan!$I$5,(C12+I12-Plan!$H$6)/Plan!$I$6,(C12+I12-Plan!$H$7)/Plan!$I$7,(C12+I12-Plan!$H$8)/Plan!$I$8,(C12+I12-Plan!$H$9)/Plan!$I$9,(C12+I12-Plan!$H$10)/Plan!$I$10,(C12+I12-Plan!$H$11)/Plan!$I$11,(C12+I12-Plan!$H$12)/Plan!$I$12,(C12+I12-Plan!$H$13)/Plan!$I$13,(C12+I12-Plan!$H$14)/Plan!$I$14,(C12+I12-Plan!$H$15)/Plan!$I$15,(C12+I12-Plan!$H$16)/Plan!$I$16),F12)</f>
        <v>4.27905501743871</v>
      </c>
      <c r="L12" s="18" t="n">
        <f aca="false">Fee*J12+VQ*K12</f>
        <v>37.2324401395097</v>
      </c>
      <c r="M12" s="17" t="n">
        <f aca="false">(C12+I12-Plan!$H$5)/Plan!$I$5</f>
        <v>1.45528923722095</v>
      </c>
      <c r="N12" s="17" t="n">
        <f aca="false">(C12+I12-Plan!$H$6)/Plan!$I$6</f>
        <v>3.42339301763104</v>
      </c>
      <c r="O12" s="17" t="n">
        <f aca="false">(C12+I12-Plan!$H$7)/Plan!$I$7</f>
        <v>3.99695325289094</v>
      </c>
      <c r="P12" s="17" t="n">
        <f aca="false">(C12+I12-Plan!$H$8)/Plan!$I$8</f>
        <v>4.21332393261477</v>
      </c>
      <c r="Q12" s="17" t="n">
        <f aca="false">(C12+I12-Plan!$H$9)/Plan!$I$9</f>
        <v>4.27905501743871</v>
      </c>
      <c r="R12" s="17" t="n">
        <f aca="false">(C12+I12-Plan!$H$10)/Plan!$I$10</f>
        <v>4.26212664722104</v>
      </c>
      <c r="S12" s="17" t="n">
        <f aca="false">(C12+I12-Plan!$H$11)/Plan!$I$11</f>
        <v>4.19082803602678</v>
      </c>
      <c r="T12" s="17" t="n">
        <f aca="false">(C12+I12-Plan!$H$12)/Plan!$I$12</f>
        <v>4.07846558879358</v>
      </c>
      <c r="U12" s="17" t="n">
        <f aca="false">(C12+I12-Plan!$H$13)/Plan!$I$13</f>
        <v>3.93158724875678</v>
      </c>
      <c r="V12" s="17" t="n">
        <f aca="false">(C12+I12-Plan!$H$14)/Plan!$I$14</f>
        <v>3.75326031277981</v>
      </c>
      <c r="W12" s="17" t="n">
        <f aca="false">(C12+I12-Plan!$H$15)/Plan!$I$15</f>
        <v>3.54454906418002</v>
      </c>
      <c r="X12" s="17" t="n">
        <f aca="false">(C12+I12-Plan!$H$16)/Plan!$I$16</f>
        <v>3.30524083004608</v>
      </c>
      <c r="Y12" s="15" t="n">
        <f aca="false">MATCH(MAX(M12:X12),M12:X12,0)</f>
        <v>5</v>
      </c>
      <c r="Z12" s="20" t="n">
        <v>0.78907</v>
      </c>
      <c r="AA12" s="21" t="n">
        <v>0.00643</v>
      </c>
      <c r="AB12" s="21" t="n">
        <v>0.00664</v>
      </c>
    </row>
    <row r="14" customFormat="false" ht="15" hidden="false" customHeight="false" outlineLevel="0" collapsed="false">
      <c r="A14" s="2" t="s">
        <v>131</v>
      </c>
      <c r="B14" s="15" t="n">
        <f aca="false">C6</f>
        <v>125</v>
      </c>
      <c r="C14" s="10" t="s">
        <v>132</v>
      </c>
    </row>
    <row r="15" customFormat="false" ht="15" hidden="false" customHeight="false" outlineLevel="0" collapsed="false">
      <c r="A15" s="2" t="s">
        <v>133</v>
      </c>
      <c r="B15" s="11" t="n">
        <f aca="false">I6</f>
        <v>6.95038235778554</v>
      </c>
      <c r="C15" s="10" t="s">
        <v>134</v>
      </c>
    </row>
    <row r="16" customFormat="false" ht="15" hidden="false" customHeight="false" outlineLevel="0" collapsed="false">
      <c r="A16" s="2" t="s">
        <v>135</v>
      </c>
      <c r="B16" s="11" t="n">
        <f aca="false">J6</f>
        <v>203.049617642214</v>
      </c>
      <c r="C16" s="10" t="s">
        <v>136</v>
      </c>
    </row>
    <row r="17" customFormat="false" ht="15" hidden="false" customHeight="false" outlineLevel="0" collapsed="false">
      <c r="A17" s="2" t="s">
        <v>137</v>
      </c>
      <c r="B17" s="24" t="n">
        <f aca="false">Z6</f>
        <v>0.78907</v>
      </c>
      <c r="C17" s="10" t="s">
        <v>138</v>
      </c>
    </row>
    <row r="18" customFormat="false" ht="15" hidden="false" customHeight="false" outlineLevel="0" collapsed="false">
      <c r="A18" s="2" t="s">
        <v>139</v>
      </c>
      <c r="B18" s="25" t="n">
        <f aca="false">1-B17</f>
        <v>0.21093</v>
      </c>
      <c r="C18" s="10" t="s">
        <v>140</v>
      </c>
    </row>
    <row r="19" customFormat="false" ht="15" hidden="false" customHeight="false" outlineLevel="0" collapsed="false">
      <c r="A19" s="2" t="s">
        <v>141</v>
      </c>
      <c r="B19" s="16" t="n">
        <f aca="false">FloorL+Plan!$H$11+Plan!$I$11*K6-C6-MAX(D6-J6,0)</f>
        <v>350</v>
      </c>
      <c r="C19" s="10" t="s">
        <v>142</v>
      </c>
    </row>
    <row r="20" customFormat="false" ht="15" hidden="false" customHeight="false" outlineLevel="0" collapsed="false">
      <c r="A20" s="2" t="s">
        <v>143</v>
      </c>
      <c r="B20" s="11" t="n">
        <f aca="false">I5</f>
        <v>131.950382357786</v>
      </c>
      <c r="C20" s="10" t="s">
        <v>144</v>
      </c>
    </row>
    <row r="21" customFormat="false" ht="15" hidden="false" customHeight="false" outlineLevel="0" collapsed="false">
      <c r="A21" s="2" t="s">
        <v>145</v>
      </c>
      <c r="B21" s="24" t="n">
        <f aca="false">AA5</f>
        <v>0.17388</v>
      </c>
      <c r="C21" s="10" t="s">
        <v>146</v>
      </c>
    </row>
    <row r="23" customFormat="false" ht="15" hidden="false" customHeight="false" outlineLevel="0" collapsed="false">
      <c r="A23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8" min="6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3"/>
    <col collapsed="false" customWidth="true" hidden="false" outlineLevel="0" max="20" min="20" style="0" width="52"/>
    <col collapsed="false" customWidth="true" hidden="false" outlineLevel="0" max="21" min="21" style="0" width="12"/>
    <col collapsed="false" customWidth="true" hidden="false" outlineLevel="0" max="22" min="22" style="0" width="40"/>
  </cols>
  <sheetData>
    <row r="1" customFormat="false" ht="1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10" t="s">
        <v>149</v>
      </c>
    </row>
    <row r="5" customFormat="false" ht="35.05" hidden="false" customHeight="false" outlineLevel="0" collapsed="false">
      <c r="A5" s="8" t="s">
        <v>96</v>
      </c>
      <c r="B5" s="8" t="s">
        <v>150</v>
      </c>
      <c r="C5" s="8" t="s">
        <v>151</v>
      </c>
      <c r="D5" s="8" t="s">
        <v>105</v>
      </c>
      <c r="E5" s="8" t="s">
        <v>103</v>
      </c>
      <c r="F5" s="8" t="s">
        <v>104</v>
      </c>
      <c r="G5" s="8" t="s">
        <v>105</v>
      </c>
      <c r="H5" s="8" t="s">
        <v>106</v>
      </c>
      <c r="I5" s="8" t="s">
        <v>152</v>
      </c>
      <c r="J5" s="8" t="s">
        <v>153</v>
      </c>
      <c r="K5" s="8" t="s">
        <v>154</v>
      </c>
      <c r="L5" s="8" t="s">
        <v>120</v>
      </c>
      <c r="M5" s="8" t="s">
        <v>121</v>
      </c>
      <c r="N5" s="8" t="s">
        <v>122</v>
      </c>
      <c r="O5" s="8" t="s">
        <v>155</v>
      </c>
      <c r="P5" s="8" t="s">
        <v>156</v>
      </c>
      <c r="Q5" s="8" t="s">
        <v>157</v>
      </c>
      <c r="R5" s="8" t="s">
        <v>158</v>
      </c>
    </row>
    <row r="6" customFormat="false" ht="15" hidden="false" customHeight="false" outlineLevel="0" collapsed="false">
      <c r="A6" s="16" t="n">
        <v>0</v>
      </c>
      <c r="B6" s="11" t="n">
        <f aca="false">DNever-(DNever-DUsual)*A6</f>
        <v>200</v>
      </c>
      <c r="C6" s="11" t="n">
        <f aca="false">SNever-(SNever-SPlaus)*A6</f>
        <v>300</v>
      </c>
      <c r="D6" s="18" t="n">
        <f aca="false">MAX(0,(B6-Plan!$H$5)/Plan!$I$5,(B6-Plan!$H$6)/Plan!$I$6,(B6-Plan!$H$7)/Plan!$I$7,(B6-Plan!$H$8)/Plan!$I$8,(B6-Plan!$H$9)/Plan!$I$9,(B6-Plan!$H$10)/Plan!$I$10,(B6-Plan!$H$11)/Plan!$I$11,(B6-Plan!$H$12)/Plan!$I$12,(B6-Plan!$H$13)/Plan!$I$13,(B6-Plan!$H$14)/Plan!$I$14,(B6-Plan!$H$15)/Plan!$I$15,(B6-Plan!$H$16)/Plan!$I$16)</f>
        <v>2.79664130273184</v>
      </c>
      <c r="E6" s="16" t="n">
        <f aca="false">MIN(C6,Plan!$H$5-B6+Plan!$I$5*D6,Plan!$H$6-B6+Plan!$I$6*D6,Plan!$H$7-B6+Plan!$I$7*D6,Plan!$H$8-B6+Plan!$I$8*D6,Plan!$H$9-B6+Plan!$I$9*D6,Plan!$H$10-B6+Plan!$I$10*D6,Plan!$H$11-B6+Plan!$I$11*D6,Plan!$H$12-B6+Plan!$I$12*D6,Plan!$H$13-B6+Plan!$I$13*D6,Plan!$H$14-B6+Plan!$I$14*D6,Plan!$H$15-B6+Plan!$I$15*D6,Plan!$H$16-B6+Plan!$I$16*D6)</f>
        <v>0</v>
      </c>
      <c r="F6" s="11" t="n">
        <f aca="false">C6-E6</f>
        <v>300</v>
      </c>
      <c r="G6" s="17" t="n">
        <f aca="false">D6</f>
        <v>2.79664130273184</v>
      </c>
      <c r="H6" s="16" t="n">
        <f aca="false">Fee*F6+VQ*G6</f>
        <v>31.3731304218547</v>
      </c>
      <c r="I6" s="17" t="n">
        <f aca="false">MAX(0,MIN(1,(GNone-H6)/(GNone-GFull)))</f>
        <v>0</v>
      </c>
      <c r="J6" s="16" t="n">
        <f aca="false">1-A6</f>
        <v>1</v>
      </c>
      <c r="K6" s="17" t="n">
        <f aca="false">MIN(I6,J6)</f>
        <v>0</v>
      </c>
      <c r="L6" s="20" t="n">
        <v>0.95581</v>
      </c>
      <c r="M6" s="21" t="n">
        <v>0.00393</v>
      </c>
      <c r="N6" s="21" t="n">
        <v>0.00394</v>
      </c>
      <c r="O6" s="16" t="n">
        <f aca="false">IF(M6&lt;=Alpha,A6,-1)</f>
        <v>0</v>
      </c>
      <c r="P6" s="16" t="n">
        <f aca="false">IF(L6&gt;=0.95,A6,-1)</f>
        <v>0</v>
      </c>
      <c r="Q6" s="17" t="n">
        <f aca="false">MIN(I6^2,J6)</f>
        <v>0</v>
      </c>
      <c r="R6" s="17" t="n">
        <f aca="false">MIN(SQRT(I6),J6)</f>
        <v>0</v>
      </c>
      <c r="T6" s="2" t="s">
        <v>159</v>
      </c>
      <c r="U6" s="17" t="n">
        <f aca="false">MAX(K6:K106)</f>
        <v>0.62</v>
      </c>
      <c r="V6" s="10" t="s">
        <v>160</v>
      </c>
    </row>
    <row r="7" customFormat="false" ht="15" hidden="false" customHeight="false" outlineLevel="0" collapsed="false">
      <c r="A7" s="16" t="n">
        <v>0.01</v>
      </c>
      <c r="B7" s="11" t="n">
        <f aca="false">DNever-(DNever-DUsual)*A7</f>
        <v>198.5</v>
      </c>
      <c r="C7" s="11" t="n">
        <f aca="false">SNever-(SNever-SPlaus)*A7</f>
        <v>298.2</v>
      </c>
      <c r="D7" s="18" t="n">
        <f aca="false">MAX(0,(B7-Plan!$H$5)/Plan!$I$5,(B7-Plan!$H$6)/Plan!$I$6,(B7-Plan!$H$7)/Plan!$I$7,(B7-Plan!$H$8)/Plan!$I$8,(B7-Plan!$H$9)/Plan!$I$9,(B7-Plan!$H$10)/Plan!$I$10,(B7-Plan!$H$11)/Plan!$I$11,(B7-Plan!$H$12)/Plan!$I$12,(B7-Plan!$H$13)/Plan!$I$13,(B7-Plan!$H$14)/Plan!$I$14,(B7-Plan!$H$15)/Plan!$I$15,(B7-Plan!$H$16)/Plan!$I$16)</f>
        <v>2.73383478796802</v>
      </c>
      <c r="E7" s="16" t="n">
        <f aca="false">MIN(C7,Plan!$H$5-B7+Plan!$I$5*D7,Plan!$H$6-B7+Plan!$I$6*D7,Plan!$H$7-B7+Plan!$I$7*D7,Plan!$H$8-B7+Plan!$I$8*D7,Plan!$H$9-B7+Plan!$I$9*D7,Plan!$H$10-B7+Plan!$I$10*D7,Plan!$H$11-B7+Plan!$I$11*D7,Plan!$H$12-B7+Plan!$I$12*D7,Plan!$H$13-B7+Plan!$I$13*D7,Plan!$H$14-B7+Plan!$I$14*D7,Plan!$H$15-B7+Plan!$I$15*D7,Plan!$H$16-B7+Plan!$I$16*D7)</f>
        <v>0</v>
      </c>
      <c r="F7" s="11" t="n">
        <f aca="false">C7-E7</f>
        <v>298.2</v>
      </c>
      <c r="G7" s="17" t="n">
        <f aca="false">D7</f>
        <v>2.73383478796802</v>
      </c>
      <c r="H7" s="16" t="n">
        <f aca="false">Fee*F7+VQ*G7</f>
        <v>30.8166783037441</v>
      </c>
      <c r="I7" s="17" t="n">
        <f aca="false">MAX(0,MIN(1,(GNone-H7)/(GNone-GFull)))</f>
        <v>0</v>
      </c>
      <c r="J7" s="16" t="n">
        <f aca="false">1-A7</f>
        <v>0.99</v>
      </c>
      <c r="K7" s="17" t="n">
        <f aca="false">MIN(I7,J7)</f>
        <v>0</v>
      </c>
      <c r="L7" s="20" t="n">
        <v>0.9552</v>
      </c>
      <c r="M7" s="21" t="n">
        <v>0.00423</v>
      </c>
      <c r="N7" s="21" t="n">
        <v>0.00418</v>
      </c>
      <c r="O7" s="16" t="n">
        <f aca="false">IF(M7&lt;=Alpha,A7,-1)</f>
        <v>0.01</v>
      </c>
      <c r="P7" s="16" t="n">
        <f aca="false">IF(L7&gt;=0.95,A7,-1)</f>
        <v>0.01</v>
      </c>
      <c r="Q7" s="17" t="n">
        <f aca="false">MIN(I7^2,J7)</f>
        <v>0</v>
      </c>
      <c r="R7" s="17" t="n">
        <f aca="false">MIN(SQRT(I7),J7)</f>
        <v>0</v>
      </c>
      <c r="T7" s="2" t="s">
        <v>161</v>
      </c>
      <c r="U7" s="16" t="n">
        <f aca="false">INDEX(A6:A106,MATCH(U6,K6:K106,0))</f>
        <v>0.38</v>
      </c>
      <c r="V7" s="10" t="s">
        <v>162</v>
      </c>
    </row>
    <row r="8" customFormat="false" ht="15" hidden="false" customHeight="false" outlineLevel="0" collapsed="false">
      <c r="A8" s="16" t="n">
        <v>0.02</v>
      </c>
      <c r="B8" s="11" t="n">
        <f aca="false">DNever-(DNever-DUsual)*A8</f>
        <v>197</v>
      </c>
      <c r="C8" s="11" t="n">
        <f aca="false">SNever-(SNever-SPlaus)*A8</f>
        <v>296.4</v>
      </c>
      <c r="D8" s="18" t="n">
        <f aca="false">MAX(0,(B8-Plan!$H$5)/Plan!$I$5,(B8-Plan!$H$6)/Plan!$I$6,(B8-Plan!$H$7)/Plan!$I$7,(B8-Plan!$H$8)/Plan!$I$8,(B8-Plan!$H$9)/Plan!$I$9,(B8-Plan!$H$10)/Plan!$I$10,(B8-Plan!$H$11)/Plan!$I$11,(B8-Plan!$H$12)/Plan!$I$12,(B8-Plan!$H$13)/Plan!$I$13,(B8-Plan!$H$14)/Plan!$I$14,(B8-Plan!$H$15)/Plan!$I$15,(B8-Plan!$H$16)/Plan!$I$16)</f>
        <v>2.67102827320419</v>
      </c>
      <c r="E8" s="16" t="n">
        <f aca="false">MIN(C8,Plan!$H$5-B8+Plan!$I$5*D8,Plan!$H$6-B8+Plan!$I$6*D8,Plan!$H$7-B8+Plan!$I$7*D8,Plan!$H$8-B8+Plan!$I$8*D8,Plan!$H$9-B8+Plan!$I$9*D8,Plan!$H$10-B8+Plan!$I$10*D8,Plan!$H$11-B8+Plan!$I$11*D8,Plan!$H$12-B8+Plan!$I$12*D8,Plan!$H$13-B8+Plan!$I$13*D8,Plan!$H$14-B8+Plan!$I$14*D8,Plan!$H$15-B8+Plan!$I$15*D8,Plan!$H$16-B8+Plan!$I$16*D8)</f>
        <v>0</v>
      </c>
      <c r="F8" s="11" t="n">
        <f aca="false">C8-E8</f>
        <v>296.4</v>
      </c>
      <c r="G8" s="17" t="n">
        <f aca="false">D8</f>
        <v>2.67102827320419</v>
      </c>
      <c r="H8" s="16" t="n">
        <f aca="false">Fee*F8+VQ*G8</f>
        <v>30.2602261856335</v>
      </c>
      <c r="I8" s="17" t="n">
        <f aca="false">MAX(0,MIN(1,(GNone-H8)/(GNone-GFull)))</f>
        <v>0</v>
      </c>
      <c r="J8" s="16" t="n">
        <f aca="false">1-A8</f>
        <v>0.98</v>
      </c>
      <c r="K8" s="17" t="n">
        <f aca="false">MIN(I8,J8)</f>
        <v>0</v>
      </c>
      <c r="L8" s="20" t="n">
        <v>0.9546</v>
      </c>
      <c r="M8" s="21" t="n">
        <v>0.00459</v>
      </c>
      <c r="N8" s="21" t="n">
        <v>0.00461</v>
      </c>
      <c r="O8" s="16" t="n">
        <f aca="false">IF(M8&lt;=Alpha,A8,-1)</f>
        <v>0.02</v>
      </c>
      <c r="P8" s="16" t="n">
        <f aca="false">IF(L8&gt;=0.95,A8,-1)</f>
        <v>0.02</v>
      </c>
      <c r="Q8" s="17" t="n">
        <f aca="false">MIN(I8^2,J8)</f>
        <v>0</v>
      </c>
      <c r="R8" s="17" t="n">
        <f aca="false">MIN(SQRT(I8),J8)</f>
        <v>0</v>
      </c>
      <c r="T8" s="2" t="s">
        <v>163</v>
      </c>
      <c r="U8" s="16" t="n">
        <f aca="false">1-U7</f>
        <v>0.62</v>
      </c>
      <c r="V8" s="10" t="s">
        <v>160</v>
      </c>
    </row>
    <row r="9" customFormat="false" ht="15" hidden="false" customHeight="false" outlineLevel="0" collapsed="false">
      <c r="A9" s="16" t="n">
        <v>0.03</v>
      </c>
      <c r="B9" s="11" t="n">
        <f aca="false">DNever-(DNever-DUsual)*A9</f>
        <v>195.5</v>
      </c>
      <c r="C9" s="11" t="n">
        <f aca="false">SNever-(SNever-SPlaus)*A9</f>
        <v>294.6</v>
      </c>
      <c r="D9" s="18" t="n">
        <f aca="false">MAX(0,(B9-Plan!$H$5)/Plan!$I$5,(B9-Plan!$H$6)/Plan!$I$6,(B9-Plan!$H$7)/Plan!$I$7,(B9-Plan!$H$8)/Plan!$I$8,(B9-Plan!$H$9)/Plan!$I$9,(B9-Plan!$H$10)/Plan!$I$10,(B9-Plan!$H$11)/Plan!$I$11,(B9-Plan!$H$12)/Plan!$I$12,(B9-Plan!$H$13)/Plan!$I$13,(B9-Plan!$H$14)/Plan!$I$14,(B9-Plan!$H$15)/Plan!$I$15,(B9-Plan!$H$16)/Plan!$I$16)</f>
        <v>2.60822175844037</v>
      </c>
      <c r="E9" s="16" t="n">
        <f aca="false">MIN(C9,Plan!$H$5-B9+Plan!$I$5*D9,Plan!$H$6-B9+Plan!$I$6*D9,Plan!$H$7-B9+Plan!$I$7*D9,Plan!$H$8-B9+Plan!$I$8*D9,Plan!$H$9-B9+Plan!$I$9*D9,Plan!$H$10-B9+Plan!$I$10*D9,Plan!$H$11-B9+Plan!$I$11*D9,Plan!$H$12-B9+Plan!$I$12*D9,Plan!$H$13-B9+Plan!$I$13*D9,Plan!$H$14-B9+Plan!$I$14*D9,Plan!$H$15-B9+Plan!$I$15*D9,Plan!$H$16-B9+Plan!$I$16*D9)</f>
        <v>0</v>
      </c>
      <c r="F9" s="11" t="n">
        <f aca="false">C9-E9</f>
        <v>294.6</v>
      </c>
      <c r="G9" s="17" t="n">
        <f aca="false">D9</f>
        <v>2.60822175844037</v>
      </c>
      <c r="H9" s="16" t="n">
        <f aca="false">Fee*F9+VQ*G9</f>
        <v>29.703774067523</v>
      </c>
      <c r="I9" s="17" t="n">
        <f aca="false">MAX(0,MIN(1,(GNone-H9)/(GNone-GFull)))</f>
        <v>0</v>
      </c>
      <c r="J9" s="16" t="n">
        <f aca="false">1-A9</f>
        <v>0.97</v>
      </c>
      <c r="K9" s="17" t="n">
        <f aca="false">MIN(I9,J9)</f>
        <v>0</v>
      </c>
      <c r="L9" s="20" t="n">
        <v>0.95389</v>
      </c>
      <c r="M9" s="21" t="n">
        <v>0.00506</v>
      </c>
      <c r="N9" s="21" t="n">
        <v>0.00498</v>
      </c>
      <c r="O9" s="16" t="n">
        <f aca="false">IF(M9&lt;=Alpha,A9,-1)</f>
        <v>0.03</v>
      </c>
      <c r="P9" s="16" t="n">
        <f aca="false">IF(L9&gt;=0.95,A9,-1)</f>
        <v>0.03</v>
      </c>
      <c r="Q9" s="17" t="n">
        <f aca="false">MIN(I9^2,J9)</f>
        <v>0</v>
      </c>
      <c r="R9" s="17" t="n">
        <f aca="false">MIN(SQRT(I9),J9)</f>
        <v>0</v>
      </c>
      <c r="T9" s="2" t="s">
        <v>164</v>
      </c>
      <c r="U9" s="17" t="n">
        <f aca="false">INDEX(I6:I106,MATCH(U7,A6:A106,0))</f>
        <v>0.630471192774234</v>
      </c>
      <c r="V9" s="10" t="s">
        <v>165</v>
      </c>
    </row>
    <row r="10" customFormat="false" ht="15" hidden="false" customHeight="false" outlineLevel="0" collapsed="false">
      <c r="A10" s="16" t="n">
        <v>0.04</v>
      </c>
      <c r="B10" s="11" t="n">
        <f aca="false">DNever-(DNever-DUsual)*A10</f>
        <v>194</v>
      </c>
      <c r="C10" s="11" t="n">
        <f aca="false">SNever-(SNever-SPlaus)*A10</f>
        <v>292.8</v>
      </c>
      <c r="D10" s="18" t="n">
        <f aca="false">MAX(0,(B10-Plan!$H$5)/Plan!$I$5,(B10-Plan!$H$6)/Plan!$I$6,(B10-Plan!$H$7)/Plan!$I$7,(B10-Plan!$H$8)/Plan!$I$8,(B10-Plan!$H$9)/Plan!$I$9,(B10-Plan!$H$10)/Plan!$I$10,(B10-Plan!$H$11)/Plan!$I$11,(B10-Plan!$H$12)/Plan!$I$12,(B10-Plan!$H$13)/Plan!$I$13,(B10-Plan!$H$14)/Plan!$I$14,(B10-Plan!$H$15)/Plan!$I$15,(B10-Plan!$H$16)/Plan!$I$16)</f>
        <v>2.54541524367655</v>
      </c>
      <c r="E10" s="16" t="n">
        <f aca="false">MIN(C10,Plan!$H$5-B10+Plan!$I$5*D10,Plan!$H$6-B10+Plan!$I$6*D10,Plan!$H$7-B10+Plan!$I$7*D10,Plan!$H$8-B10+Plan!$I$8*D10,Plan!$H$9-B10+Plan!$I$9*D10,Plan!$H$10-B10+Plan!$I$10*D10,Plan!$H$11-B10+Plan!$I$11*D10,Plan!$H$12-B10+Plan!$I$12*D10,Plan!$H$13-B10+Plan!$I$13*D10,Plan!$H$14-B10+Plan!$I$14*D10,Plan!$H$15-B10+Plan!$I$15*D10,Plan!$H$16-B10+Plan!$I$16*D10)</f>
        <v>0</v>
      </c>
      <c r="F10" s="11" t="n">
        <f aca="false">C10-E10</f>
        <v>292.8</v>
      </c>
      <c r="G10" s="17" t="n">
        <f aca="false">D10</f>
        <v>2.54541524367655</v>
      </c>
      <c r="H10" s="16" t="n">
        <f aca="false">Fee*F10+VQ*G10</f>
        <v>29.1473219494124</v>
      </c>
      <c r="I10" s="17" t="n">
        <f aca="false">MAX(0,MIN(1,(GNone-H10)/(GNone-GFull)))</f>
        <v>0</v>
      </c>
      <c r="J10" s="16" t="n">
        <f aca="false">1-A10</f>
        <v>0.96</v>
      </c>
      <c r="K10" s="17" t="n">
        <f aca="false">MIN(I10,J10)</f>
        <v>0</v>
      </c>
      <c r="L10" s="20" t="n">
        <v>0.95319</v>
      </c>
      <c r="M10" s="21" t="n">
        <v>0.00557</v>
      </c>
      <c r="N10" s="21" t="n">
        <v>0.00539</v>
      </c>
      <c r="O10" s="16" t="n">
        <f aca="false">IF(M10&lt;=Alpha,A10,-1)</f>
        <v>0.04</v>
      </c>
      <c r="P10" s="16" t="n">
        <f aca="false">IF(L10&gt;=0.95,A10,-1)</f>
        <v>0.04</v>
      </c>
      <c r="Q10" s="17" t="n">
        <f aca="false">MIN(I10^2,J10)</f>
        <v>0</v>
      </c>
      <c r="R10" s="17" t="n">
        <f aca="false">MIN(SQRT(I10),J10)</f>
        <v>0</v>
      </c>
      <c r="T10" s="2" t="s">
        <v>166</v>
      </c>
      <c r="U10" s="16" t="n">
        <f aca="false">INDEX(H6:H106,MATCH(U7,A6:A106,0))</f>
        <v>10.5429321083865</v>
      </c>
      <c r="V10" s="10" t="s">
        <v>167</v>
      </c>
    </row>
    <row r="11" customFormat="false" ht="15" hidden="false" customHeight="false" outlineLevel="0" collapsed="false">
      <c r="A11" s="16" t="n">
        <v>0.05</v>
      </c>
      <c r="B11" s="11" t="n">
        <f aca="false">DNever-(DNever-DUsual)*A11</f>
        <v>192.5</v>
      </c>
      <c r="C11" s="11" t="n">
        <f aca="false">SNever-(SNever-SPlaus)*A11</f>
        <v>291</v>
      </c>
      <c r="D11" s="18" t="n">
        <f aca="false">MAX(0,(B11-Plan!$H$5)/Plan!$I$5,(B11-Plan!$H$6)/Plan!$I$6,(B11-Plan!$H$7)/Plan!$I$7,(B11-Plan!$H$8)/Plan!$I$8,(B11-Plan!$H$9)/Plan!$I$9,(B11-Plan!$H$10)/Plan!$I$10,(B11-Plan!$H$11)/Plan!$I$11,(B11-Plan!$H$12)/Plan!$I$12,(B11-Plan!$H$13)/Plan!$I$13,(B11-Plan!$H$14)/Plan!$I$14,(B11-Plan!$H$15)/Plan!$I$15,(B11-Plan!$H$16)/Plan!$I$16)</f>
        <v>2.48260872891272</v>
      </c>
      <c r="E11" s="16" t="n">
        <f aca="false">MIN(C11,Plan!$H$5-B11+Plan!$I$5*D11,Plan!$H$6-B11+Plan!$I$6*D11,Plan!$H$7-B11+Plan!$I$7*D11,Plan!$H$8-B11+Plan!$I$8*D11,Plan!$H$9-B11+Plan!$I$9*D11,Plan!$H$10-B11+Plan!$I$10*D11,Plan!$H$11-B11+Plan!$I$11*D11,Plan!$H$12-B11+Plan!$I$12*D11,Plan!$H$13-B11+Plan!$I$13*D11,Plan!$H$14-B11+Plan!$I$14*D11,Plan!$H$15-B11+Plan!$I$15*D11,Plan!$H$16-B11+Plan!$I$16*D11)</f>
        <v>0</v>
      </c>
      <c r="F11" s="11" t="n">
        <f aca="false">C11-E11</f>
        <v>291</v>
      </c>
      <c r="G11" s="17" t="n">
        <f aca="false">D11</f>
        <v>2.48260872891272</v>
      </c>
      <c r="H11" s="16" t="n">
        <f aca="false">Fee*F11+VQ*G11</f>
        <v>28.5908698313018</v>
      </c>
      <c r="I11" s="17" t="n">
        <f aca="false">MAX(0,MIN(1,(GNone-H11)/(GNone-GFull)))</f>
        <v>0</v>
      </c>
      <c r="J11" s="16" t="n">
        <f aca="false">1-A11</f>
        <v>0.95</v>
      </c>
      <c r="K11" s="17" t="n">
        <f aca="false">MIN(I11,J11)</f>
        <v>0</v>
      </c>
      <c r="L11" s="20" t="n">
        <v>0.95273</v>
      </c>
      <c r="M11" s="21" t="n">
        <v>0.0061</v>
      </c>
      <c r="N11" s="21" t="n">
        <v>0.00583</v>
      </c>
      <c r="O11" s="16" t="n">
        <f aca="false">IF(M11&lt;=Alpha,A11,-1)</f>
        <v>0.05</v>
      </c>
      <c r="P11" s="16" t="n">
        <f aca="false">IF(L11&gt;=0.95,A11,-1)</f>
        <v>0.05</v>
      </c>
      <c r="Q11" s="17" t="n">
        <f aca="false">MIN(I11^2,J11)</f>
        <v>0</v>
      </c>
      <c r="R11" s="17" t="n">
        <f aca="false">MIN(SQRT(I11),J11)</f>
        <v>0</v>
      </c>
    </row>
    <row r="12" customFormat="false" ht="15" hidden="false" customHeight="false" outlineLevel="0" collapsed="false">
      <c r="A12" s="16" t="n">
        <v>0.06</v>
      </c>
      <c r="B12" s="11" t="n">
        <f aca="false">DNever-(DNever-DUsual)*A12</f>
        <v>191</v>
      </c>
      <c r="C12" s="11" t="n">
        <f aca="false">SNever-(SNever-SPlaus)*A12</f>
        <v>289.2</v>
      </c>
      <c r="D12" s="18" t="n">
        <f aca="false">MAX(0,(B12-Plan!$H$5)/Plan!$I$5,(B12-Plan!$H$6)/Plan!$I$6,(B12-Plan!$H$7)/Plan!$I$7,(B12-Plan!$H$8)/Plan!$I$8,(B12-Plan!$H$9)/Plan!$I$9,(B12-Plan!$H$10)/Plan!$I$10,(B12-Plan!$H$11)/Plan!$I$11,(B12-Plan!$H$12)/Plan!$I$12,(B12-Plan!$H$13)/Plan!$I$13,(B12-Plan!$H$14)/Plan!$I$14,(B12-Plan!$H$15)/Plan!$I$15,(B12-Plan!$H$16)/Plan!$I$16)</f>
        <v>2.4198022141489</v>
      </c>
      <c r="E12" s="16" t="n">
        <f aca="false">MIN(C12,Plan!$H$5-B12+Plan!$I$5*D12,Plan!$H$6-B12+Plan!$I$6*D12,Plan!$H$7-B12+Plan!$I$7*D12,Plan!$H$8-B12+Plan!$I$8*D12,Plan!$H$9-B12+Plan!$I$9*D12,Plan!$H$10-B12+Plan!$I$10*D12,Plan!$H$11-B12+Plan!$I$11*D12,Plan!$H$12-B12+Plan!$I$12*D12,Plan!$H$13-B12+Plan!$I$13*D12,Plan!$H$14-B12+Plan!$I$14*D12,Plan!$H$15-B12+Plan!$I$15*D12,Plan!$H$16-B12+Plan!$I$16*D12)</f>
        <v>0</v>
      </c>
      <c r="F12" s="11" t="n">
        <f aca="false">C12-E12</f>
        <v>289.2</v>
      </c>
      <c r="G12" s="17" t="n">
        <f aca="false">D12</f>
        <v>2.4198022141489</v>
      </c>
      <c r="H12" s="16" t="n">
        <f aca="false">Fee*F12+VQ*G12</f>
        <v>28.0344177131912</v>
      </c>
      <c r="I12" s="17" t="n">
        <f aca="false">MAX(0,MIN(1,(GNone-H12)/(GNone-GFull)))</f>
        <v>0</v>
      </c>
      <c r="J12" s="16" t="n">
        <f aca="false">1-A12</f>
        <v>0.94</v>
      </c>
      <c r="K12" s="17" t="n">
        <f aca="false">MIN(I12,J12)</f>
        <v>0</v>
      </c>
      <c r="L12" s="20" t="n">
        <v>0.9519</v>
      </c>
      <c r="M12" s="21" t="n">
        <v>0.00659</v>
      </c>
      <c r="N12" s="21" t="n">
        <v>0.0064</v>
      </c>
      <c r="O12" s="16" t="n">
        <f aca="false">IF(M12&lt;=Alpha,A12,-1)</f>
        <v>0.06</v>
      </c>
      <c r="P12" s="16" t="n">
        <f aca="false">IF(L12&gt;=0.95,A12,-1)</f>
        <v>0.06</v>
      </c>
      <c r="Q12" s="17" t="n">
        <f aca="false">MIN(I12^2,J12)</f>
        <v>0</v>
      </c>
      <c r="R12" s="17" t="n">
        <f aca="false">MIN(SQRT(I12),J12)</f>
        <v>0</v>
      </c>
      <c r="T12" s="2" t="s">
        <v>168</v>
      </c>
      <c r="U12" s="16" t="n">
        <f aca="false">MAX(O6:O106)</f>
        <v>0.35</v>
      </c>
      <c r="V12" s="10" t="s">
        <v>169</v>
      </c>
    </row>
    <row r="13" customFormat="false" ht="15" hidden="false" customHeight="false" outlineLevel="0" collapsed="false">
      <c r="A13" s="16" t="n">
        <v>0.07</v>
      </c>
      <c r="B13" s="11" t="n">
        <f aca="false">DNever-(DNever-DUsual)*A13</f>
        <v>189.5</v>
      </c>
      <c r="C13" s="11" t="n">
        <f aca="false">SNever-(SNever-SPlaus)*A13</f>
        <v>287.4</v>
      </c>
      <c r="D13" s="18" t="n">
        <f aca="false">MAX(0,(B13-Plan!$H$5)/Plan!$I$5,(B13-Plan!$H$6)/Plan!$I$6,(B13-Plan!$H$7)/Plan!$I$7,(B13-Plan!$H$8)/Plan!$I$8,(B13-Plan!$H$9)/Plan!$I$9,(B13-Plan!$H$10)/Plan!$I$10,(B13-Plan!$H$11)/Plan!$I$11,(B13-Plan!$H$12)/Plan!$I$12,(B13-Plan!$H$13)/Plan!$I$13,(B13-Plan!$H$14)/Plan!$I$14,(B13-Plan!$H$15)/Plan!$I$15,(B13-Plan!$H$16)/Plan!$I$16)</f>
        <v>2.35699569938508</v>
      </c>
      <c r="E13" s="16" t="n">
        <f aca="false">MIN(C13,Plan!$H$5-B13+Plan!$I$5*D13,Plan!$H$6-B13+Plan!$I$6*D13,Plan!$H$7-B13+Plan!$I$7*D13,Plan!$H$8-B13+Plan!$I$8*D13,Plan!$H$9-B13+Plan!$I$9*D13,Plan!$H$10-B13+Plan!$I$10*D13,Plan!$H$11-B13+Plan!$I$11*D13,Plan!$H$12-B13+Plan!$I$12*D13,Plan!$H$13-B13+Plan!$I$13*D13,Plan!$H$14-B13+Plan!$I$14*D13,Plan!$H$15-B13+Plan!$I$15*D13,Plan!$H$16-B13+Plan!$I$16*D13)</f>
        <v>0</v>
      </c>
      <c r="F13" s="11" t="n">
        <f aca="false">C13-E13</f>
        <v>287.4</v>
      </c>
      <c r="G13" s="17" t="n">
        <f aca="false">D13</f>
        <v>2.35699569938508</v>
      </c>
      <c r="H13" s="16" t="n">
        <f aca="false">Fee*F13+VQ*G13</f>
        <v>27.4779655950806</v>
      </c>
      <c r="I13" s="17" t="n">
        <f aca="false">MAX(0,MIN(1,(GNone-H13)/(GNone-GFull)))</f>
        <v>0</v>
      </c>
      <c r="J13" s="16" t="n">
        <f aca="false">1-A13</f>
        <v>0.93</v>
      </c>
      <c r="K13" s="17" t="n">
        <f aca="false">MIN(I13,J13)</f>
        <v>0</v>
      </c>
      <c r="L13" s="20" t="n">
        <v>0.95109</v>
      </c>
      <c r="M13" s="21" t="n">
        <v>0.007</v>
      </c>
      <c r="N13" s="21" t="n">
        <v>0.00685</v>
      </c>
      <c r="O13" s="16" t="n">
        <f aca="false">IF(M13&lt;=Alpha,A13,-1)</f>
        <v>0.07</v>
      </c>
      <c r="P13" s="16" t="n">
        <f aca="false">IF(L13&gt;=0.95,A13,-1)</f>
        <v>0.07</v>
      </c>
      <c r="Q13" s="17" t="n">
        <f aca="false">MIN(I13^2,J13)</f>
        <v>0</v>
      </c>
      <c r="R13" s="17" t="n">
        <f aca="false">MIN(SQRT(I13),J13)</f>
        <v>0</v>
      </c>
      <c r="T13" s="2" t="s">
        <v>170</v>
      </c>
      <c r="U13" s="16" t="n">
        <f aca="false">MAX(P6:P106)</f>
        <v>0.08</v>
      </c>
      <c r="V13" s="10" t="s">
        <v>171</v>
      </c>
    </row>
    <row r="14" customFormat="false" ht="15" hidden="false" customHeight="false" outlineLevel="0" collapsed="false">
      <c r="A14" s="16" t="n">
        <v>0.08</v>
      </c>
      <c r="B14" s="11" t="n">
        <f aca="false">DNever-(DNever-DUsual)*A14</f>
        <v>188</v>
      </c>
      <c r="C14" s="11" t="n">
        <f aca="false">SNever-(SNever-SPlaus)*A14</f>
        <v>285.6</v>
      </c>
      <c r="D14" s="18" t="n">
        <f aca="false">MAX(0,(B14-Plan!$H$5)/Plan!$I$5,(B14-Plan!$H$6)/Plan!$I$6,(B14-Plan!$H$7)/Plan!$I$7,(B14-Plan!$H$8)/Plan!$I$8,(B14-Plan!$H$9)/Plan!$I$9,(B14-Plan!$H$10)/Plan!$I$10,(B14-Plan!$H$11)/Plan!$I$11,(B14-Plan!$H$12)/Plan!$I$12,(B14-Plan!$H$13)/Plan!$I$13,(B14-Plan!$H$14)/Plan!$I$14,(B14-Plan!$H$15)/Plan!$I$15,(B14-Plan!$H$16)/Plan!$I$16)</f>
        <v>2.29418918462126</v>
      </c>
      <c r="E14" s="16" t="n">
        <f aca="false">MIN(C14,Plan!$H$5-B14+Plan!$I$5*D14,Plan!$H$6-B14+Plan!$I$6*D14,Plan!$H$7-B14+Plan!$I$7*D14,Plan!$H$8-B14+Plan!$I$8*D14,Plan!$H$9-B14+Plan!$I$9*D14,Plan!$H$10-B14+Plan!$I$10*D14,Plan!$H$11-B14+Plan!$I$11*D14,Plan!$H$12-B14+Plan!$I$12*D14,Plan!$H$13-B14+Plan!$I$13*D14,Plan!$H$14-B14+Plan!$I$14*D14,Plan!$H$15-B14+Plan!$I$15*D14,Plan!$H$16-B14+Plan!$I$16*D14)</f>
        <v>0</v>
      </c>
      <c r="F14" s="11" t="n">
        <f aca="false">C14-E14</f>
        <v>285.6</v>
      </c>
      <c r="G14" s="17" t="n">
        <f aca="false">D14</f>
        <v>2.29418918462126</v>
      </c>
      <c r="H14" s="16" t="n">
        <f aca="false">Fee*F14+VQ*G14</f>
        <v>26.92151347697</v>
      </c>
      <c r="I14" s="17" t="n">
        <f aca="false">MAX(0,MIN(1,(GNone-H14)/(GNone-GFull)))</f>
        <v>0</v>
      </c>
      <c r="J14" s="16" t="n">
        <f aca="false">1-A14</f>
        <v>0.92</v>
      </c>
      <c r="K14" s="17" t="n">
        <f aca="false">MIN(I14,J14)</f>
        <v>0</v>
      </c>
      <c r="L14" s="20" t="n">
        <v>0.95021</v>
      </c>
      <c r="M14" s="21" t="n">
        <v>0.00757</v>
      </c>
      <c r="N14" s="21" t="n">
        <v>0.00731</v>
      </c>
      <c r="O14" s="16" t="n">
        <f aca="false">IF(M14&lt;=Alpha,A14,-1)</f>
        <v>0.08</v>
      </c>
      <c r="P14" s="16" t="n">
        <f aca="false">IF(L14&gt;=0.95,A14,-1)</f>
        <v>0.08</v>
      </c>
      <c r="Q14" s="17" t="n">
        <f aca="false">MIN(I14^2,J14)</f>
        <v>0</v>
      </c>
      <c r="R14" s="17" t="n">
        <f aca="false">MIN(SQRT(I14),J14)</f>
        <v>0</v>
      </c>
    </row>
    <row r="15" customFormat="false" ht="15" hidden="false" customHeight="false" outlineLevel="0" collapsed="false">
      <c r="A15" s="16" t="n">
        <v>0.09</v>
      </c>
      <c r="B15" s="11" t="n">
        <f aca="false">DNever-(DNever-DUsual)*A15</f>
        <v>186.5</v>
      </c>
      <c r="C15" s="11" t="n">
        <f aca="false">SNever-(SNever-SPlaus)*A15</f>
        <v>283.8</v>
      </c>
      <c r="D15" s="18" t="n">
        <f aca="false">MAX(0,(B15-Plan!$H$5)/Plan!$I$5,(B15-Plan!$H$6)/Plan!$I$6,(B15-Plan!$H$7)/Plan!$I$7,(B15-Plan!$H$8)/Plan!$I$8,(B15-Plan!$H$9)/Plan!$I$9,(B15-Plan!$H$10)/Plan!$I$10,(B15-Plan!$H$11)/Plan!$I$11,(B15-Plan!$H$12)/Plan!$I$12,(B15-Plan!$H$13)/Plan!$I$13,(B15-Plan!$H$14)/Plan!$I$14,(B15-Plan!$H$15)/Plan!$I$15,(B15-Plan!$H$16)/Plan!$I$16)</f>
        <v>2.23138266985743</v>
      </c>
      <c r="E15" s="16" t="n">
        <f aca="false">MIN(C15,Plan!$H$5-B15+Plan!$I$5*D15,Plan!$H$6-B15+Plan!$I$6*D15,Plan!$H$7-B15+Plan!$I$7*D15,Plan!$H$8-B15+Plan!$I$8*D15,Plan!$H$9-B15+Plan!$I$9*D15,Plan!$H$10-B15+Plan!$I$10*D15,Plan!$H$11-B15+Plan!$I$11*D15,Plan!$H$12-B15+Plan!$I$12*D15,Plan!$H$13-B15+Plan!$I$13*D15,Plan!$H$14-B15+Plan!$I$14*D15,Plan!$H$15-B15+Plan!$I$15*D15,Plan!$H$16-B15+Plan!$I$16*D15)</f>
        <v>0</v>
      </c>
      <c r="F15" s="11" t="n">
        <f aca="false">C15-E15</f>
        <v>283.8</v>
      </c>
      <c r="G15" s="17" t="n">
        <f aca="false">D15</f>
        <v>2.23138266985743</v>
      </c>
      <c r="H15" s="16" t="n">
        <f aca="false">Fee*F15+VQ*G15</f>
        <v>26.3650613588595</v>
      </c>
      <c r="I15" s="17" t="n">
        <f aca="false">MAX(0,MIN(1,(GNone-H15)/(GNone-GFull)))</f>
        <v>0</v>
      </c>
      <c r="J15" s="16" t="n">
        <f aca="false">1-A15</f>
        <v>0.91</v>
      </c>
      <c r="K15" s="17" t="n">
        <f aca="false">MIN(I15,J15)</f>
        <v>0</v>
      </c>
      <c r="L15" s="20" t="n">
        <v>0.94934</v>
      </c>
      <c r="M15" s="21" t="n">
        <v>0.00809</v>
      </c>
      <c r="N15" s="21" t="n">
        <v>0.00782</v>
      </c>
      <c r="O15" s="16" t="n">
        <f aca="false">IF(M15&lt;=Alpha,A15,-1)</f>
        <v>0.09</v>
      </c>
      <c r="P15" s="16" t="n">
        <f aca="false">IF(L15&gt;=0.95,A15,-1)</f>
        <v>-1</v>
      </c>
      <c r="Q15" s="17" t="n">
        <f aca="false">MIN(I15^2,J15)</f>
        <v>0</v>
      </c>
      <c r="R15" s="17" t="n">
        <f aca="false">MIN(SQRT(I15),J15)</f>
        <v>0</v>
      </c>
      <c r="T15" s="2" t="s">
        <v>172</v>
      </c>
      <c r="U15" s="16" t="n">
        <f aca="false">H106</f>
        <v>1.14148852926643</v>
      </c>
      <c r="V15" s="10" t="s">
        <v>173</v>
      </c>
    </row>
    <row r="16" customFormat="false" ht="15" hidden="false" customHeight="false" outlineLevel="0" collapsed="false">
      <c r="A16" s="16" t="n">
        <v>0.1</v>
      </c>
      <c r="B16" s="11" t="n">
        <f aca="false">DNever-(DNever-DUsual)*A16</f>
        <v>185</v>
      </c>
      <c r="C16" s="11" t="n">
        <f aca="false">SNever-(SNever-SPlaus)*A16</f>
        <v>282</v>
      </c>
      <c r="D16" s="18" t="n">
        <f aca="false">MAX(0,(B16-Plan!$H$5)/Plan!$I$5,(B16-Plan!$H$6)/Plan!$I$6,(B16-Plan!$H$7)/Plan!$I$7,(B16-Plan!$H$8)/Plan!$I$8,(B16-Plan!$H$9)/Plan!$I$9,(B16-Plan!$H$10)/Plan!$I$10,(B16-Plan!$H$11)/Plan!$I$11,(B16-Plan!$H$12)/Plan!$I$12,(B16-Plan!$H$13)/Plan!$I$13,(B16-Plan!$H$14)/Plan!$I$14,(B16-Plan!$H$15)/Plan!$I$15,(B16-Plan!$H$16)/Plan!$I$16)</f>
        <v>2.16857615509361</v>
      </c>
      <c r="E16" s="16" t="n">
        <f aca="false">MIN(C16,Plan!$H$5-B16+Plan!$I$5*D16,Plan!$H$6-B16+Plan!$I$6*D16,Plan!$H$7-B16+Plan!$I$7*D16,Plan!$H$8-B16+Plan!$I$8*D16,Plan!$H$9-B16+Plan!$I$9*D16,Plan!$H$10-B16+Plan!$I$10*D16,Plan!$H$11-B16+Plan!$I$11*D16,Plan!$H$12-B16+Plan!$I$12*D16,Plan!$H$13-B16+Plan!$I$13*D16,Plan!$H$14-B16+Plan!$I$14*D16,Plan!$H$15-B16+Plan!$I$15*D16,Plan!$H$16-B16+Plan!$I$16*D16)</f>
        <v>0</v>
      </c>
      <c r="F16" s="11" t="n">
        <f aca="false">C16-E16</f>
        <v>282</v>
      </c>
      <c r="G16" s="17" t="n">
        <f aca="false">D16</f>
        <v>2.16857615509361</v>
      </c>
      <c r="H16" s="16" t="n">
        <f aca="false">Fee*F16+VQ*G16</f>
        <v>25.8086092407489</v>
      </c>
      <c r="I16" s="17" t="n">
        <f aca="false">MAX(0,MIN(1,(GNone-H16)/(GNone-GFull)))</f>
        <v>0</v>
      </c>
      <c r="J16" s="16" t="n">
        <f aca="false">1-A16</f>
        <v>0.9</v>
      </c>
      <c r="K16" s="17" t="n">
        <f aca="false">MIN(I16,J16)</f>
        <v>0</v>
      </c>
      <c r="L16" s="20" t="n">
        <v>0.94837</v>
      </c>
      <c r="M16" s="21" t="n">
        <v>0.00868</v>
      </c>
      <c r="N16" s="21" t="n">
        <v>0.00835</v>
      </c>
      <c r="O16" s="16" t="n">
        <f aca="false">IF(M16&lt;=Alpha,A16,-1)</f>
        <v>0.1</v>
      </c>
      <c r="P16" s="16" t="n">
        <f aca="false">IF(L16&gt;=0.95,A16,-1)</f>
        <v>-1</v>
      </c>
      <c r="Q16" s="17" t="n">
        <f aca="false">MIN(I16^2,J16)</f>
        <v>0</v>
      </c>
      <c r="R16" s="17" t="n">
        <f aca="false">MIN(SQRT(I16),J16)</f>
        <v>0</v>
      </c>
      <c r="T16" s="2" t="s">
        <v>174</v>
      </c>
      <c r="U16" s="16" t="n">
        <f aca="false">H6</f>
        <v>31.3731304218547</v>
      </c>
      <c r="V16" s="10" t="s">
        <v>175</v>
      </c>
    </row>
    <row r="17" customFormat="false" ht="15" hidden="false" customHeight="false" outlineLevel="0" collapsed="false">
      <c r="A17" s="16" t="n">
        <v>0.11</v>
      </c>
      <c r="B17" s="11" t="n">
        <f aca="false">DNever-(DNever-DUsual)*A17</f>
        <v>183.5</v>
      </c>
      <c r="C17" s="11" t="n">
        <f aca="false">SNever-(SNever-SPlaus)*A17</f>
        <v>280.2</v>
      </c>
      <c r="D17" s="18" t="n">
        <f aca="false">MAX(0,(B17-Plan!$H$5)/Plan!$I$5,(B17-Plan!$H$6)/Plan!$I$6,(B17-Plan!$H$7)/Plan!$I$7,(B17-Plan!$H$8)/Plan!$I$8,(B17-Plan!$H$9)/Plan!$I$9,(B17-Plan!$H$10)/Plan!$I$10,(B17-Plan!$H$11)/Plan!$I$11,(B17-Plan!$H$12)/Plan!$I$12,(B17-Plan!$H$13)/Plan!$I$13,(B17-Plan!$H$14)/Plan!$I$14,(B17-Plan!$H$15)/Plan!$I$15,(B17-Plan!$H$16)/Plan!$I$16)</f>
        <v>2.10576964032979</v>
      </c>
      <c r="E17" s="16" t="n">
        <f aca="false">MIN(C17,Plan!$H$5-B17+Plan!$I$5*D17,Plan!$H$6-B17+Plan!$I$6*D17,Plan!$H$7-B17+Plan!$I$7*D17,Plan!$H$8-B17+Plan!$I$8*D17,Plan!$H$9-B17+Plan!$I$9*D17,Plan!$H$10-B17+Plan!$I$10*D17,Plan!$H$11-B17+Plan!$I$11*D17,Plan!$H$12-B17+Plan!$I$12*D17,Plan!$H$13-B17+Plan!$I$13*D17,Plan!$H$14-B17+Plan!$I$14*D17,Plan!$H$15-B17+Plan!$I$15*D17,Plan!$H$16-B17+Plan!$I$16*D17)</f>
        <v>0</v>
      </c>
      <c r="F17" s="11" t="n">
        <f aca="false">C17-E17</f>
        <v>280.2</v>
      </c>
      <c r="G17" s="17" t="n">
        <f aca="false">D17</f>
        <v>2.10576964032979</v>
      </c>
      <c r="H17" s="16" t="n">
        <f aca="false">Fee*F17+VQ*G17</f>
        <v>25.2521571226383</v>
      </c>
      <c r="I17" s="17" t="n">
        <f aca="false">MAX(0,MIN(1,(GNone-H17)/(GNone-GFull)))</f>
        <v>0</v>
      </c>
      <c r="J17" s="16" t="n">
        <f aca="false">1-A17</f>
        <v>0.89</v>
      </c>
      <c r="K17" s="17" t="n">
        <f aca="false">MIN(I17,J17)</f>
        <v>0</v>
      </c>
      <c r="L17" s="20" t="n">
        <v>0.94735</v>
      </c>
      <c r="M17" s="21" t="n">
        <v>0.00944</v>
      </c>
      <c r="N17" s="21" t="n">
        <v>0.00896</v>
      </c>
      <c r="O17" s="16" t="n">
        <f aca="false">IF(M17&lt;=Alpha,A17,-1)</f>
        <v>0.11</v>
      </c>
      <c r="P17" s="16" t="n">
        <f aca="false">IF(L17&gt;=0.95,A17,-1)</f>
        <v>-1</v>
      </c>
      <c r="Q17" s="17" t="n">
        <f aca="false">MIN(I17^2,J17)</f>
        <v>0</v>
      </c>
      <c r="R17" s="17" t="n">
        <f aca="false">MIN(SQRT(I17),J17)</f>
        <v>0</v>
      </c>
      <c r="T17" s="2" t="s">
        <v>176</v>
      </c>
      <c r="U17" s="16" t="n">
        <f aca="false">H56</f>
        <v>6.09148852926643</v>
      </c>
      <c r="V17" s="10" t="s">
        <v>177</v>
      </c>
    </row>
    <row r="18" customFormat="false" ht="15" hidden="false" customHeight="false" outlineLevel="0" collapsed="false">
      <c r="A18" s="16" t="n">
        <v>0.12</v>
      </c>
      <c r="B18" s="11" t="n">
        <f aca="false">DNever-(DNever-DUsual)*A18</f>
        <v>182</v>
      </c>
      <c r="C18" s="11" t="n">
        <f aca="false">SNever-(SNever-SPlaus)*A18</f>
        <v>278.4</v>
      </c>
      <c r="D18" s="18" t="n">
        <f aca="false">MAX(0,(B18-Plan!$H$5)/Plan!$I$5,(B18-Plan!$H$6)/Plan!$I$6,(B18-Plan!$H$7)/Plan!$I$7,(B18-Plan!$H$8)/Plan!$I$8,(B18-Plan!$H$9)/Plan!$I$9,(B18-Plan!$H$10)/Plan!$I$10,(B18-Plan!$H$11)/Plan!$I$11,(B18-Plan!$H$12)/Plan!$I$12,(B18-Plan!$H$13)/Plan!$I$13,(B18-Plan!$H$14)/Plan!$I$14,(B18-Plan!$H$15)/Plan!$I$15,(B18-Plan!$H$16)/Plan!$I$16)</f>
        <v>2.04296312556596</v>
      </c>
      <c r="E18" s="16" t="n">
        <f aca="false">MIN(C18,Plan!$H$5-B18+Plan!$I$5*D18,Plan!$H$6-B18+Plan!$I$6*D18,Plan!$H$7-B18+Plan!$I$7*D18,Plan!$H$8-B18+Plan!$I$8*D18,Plan!$H$9-B18+Plan!$I$9*D18,Plan!$H$10-B18+Plan!$I$10*D18,Plan!$H$11-B18+Plan!$I$11*D18,Plan!$H$12-B18+Plan!$I$12*D18,Plan!$H$13-B18+Plan!$I$13*D18,Plan!$H$14-B18+Plan!$I$14*D18,Plan!$H$15-B18+Plan!$I$15*D18,Plan!$H$16-B18+Plan!$I$16*D18)</f>
        <v>0</v>
      </c>
      <c r="F18" s="11" t="n">
        <f aca="false">C18-E18</f>
        <v>278.4</v>
      </c>
      <c r="G18" s="17" t="n">
        <f aca="false">D18</f>
        <v>2.04296312556596</v>
      </c>
      <c r="H18" s="16" t="n">
        <f aca="false">Fee*F18+VQ*G18</f>
        <v>24.6957050045277</v>
      </c>
      <c r="I18" s="17" t="n">
        <f aca="false">MAX(0,MIN(1,(GNone-H18)/(GNone-GFull)))</f>
        <v>0</v>
      </c>
      <c r="J18" s="16" t="n">
        <f aca="false">1-A18</f>
        <v>0.88</v>
      </c>
      <c r="K18" s="17" t="n">
        <f aca="false">MIN(I18,J18)</f>
        <v>0</v>
      </c>
      <c r="L18" s="20" t="n">
        <v>0.94639</v>
      </c>
      <c r="M18" s="21" t="n">
        <v>0.0101</v>
      </c>
      <c r="N18" s="21" t="n">
        <v>0.00974</v>
      </c>
      <c r="O18" s="16" t="n">
        <f aca="false">IF(M18&lt;=Alpha,A18,-1)</f>
        <v>0.12</v>
      </c>
      <c r="P18" s="16" t="n">
        <f aca="false">IF(L18&gt;=0.95,A18,-1)</f>
        <v>-1</v>
      </c>
      <c r="Q18" s="17" t="n">
        <f aca="false">MIN(I18^2,J18)</f>
        <v>0</v>
      </c>
      <c r="R18" s="17" t="n">
        <f aca="false">MIN(SQRT(I18),J18)</f>
        <v>0</v>
      </c>
      <c r="T18" s="2" t="s">
        <v>178</v>
      </c>
      <c r="U18" s="22" t="n">
        <f aca="false">Robust!L6</f>
        <v>6.09148852926643</v>
      </c>
    </row>
    <row r="19" customFormat="false" ht="15" hidden="false" customHeight="false" outlineLevel="0" collapsed="false">
      <c r="A19" s="16" t="n">
        <v>0.13</v>
      </c>
      <c r="B19" s="11" t="n">
        <f aca="false">DNever-(DNever-DUsual)*A19</f>
        <v>180.5</v>
      </c>
      <c r="C19" s="11" t="n">
        <f aca="false">SNever-(SNever-SPlaus)*A19</f>
        <v>276.6</v>
      </c>
      <c r="D19" s="18" t="n">
        <f aca="false">MAX(0,(B19-Plan!$H$5)/Plan!$I$5,(B19-Plan!$H$6)/Plan!$I$6,(B19-Plan!$H$7)/Plan!$I$7,(B19-Plan!$H$8)/Plan!$I$8,(B19-Plan!$H$9)/Plan!$I$9,(B19-Plan!$H$10)/Plan!$I$10,(B19-Plan!$H$11)/Plan!$I$11,(B19-Plan!$H$12)/Plan!$I$12,(B19-Plan!$H$13)/Plan!$I$13,(B19-Plan!$H$14)/Plan!$I$14,(B19-Plan!$H$15)/Plan!$I$15,(B19-Plan!$H$16)/Plan!$I$16)</f>
        <v>1.98015661080214</v>
      </c>
      <c r="E19" s="16" t="n">
        <f aca="false">MIN(C19,Plan!$H$5-B19+Plan!$I$5*D19,Plan!$H$6-B19+Plan!$I$6*D19,Plan!$H$7-B19+Plan!$I$7*D19,Plan!$H$8-B19+Plan!$I$8*D19,Plan!$H$9-B19+Plan!$I$9*D19,Plan!$H$10-B19+Plan!$I$10*D19,Plan!$H$11-B19+Plan!$I$11*D19,Plan!$H$12-B19+Plan!$I$12*D19,Plan!$H$13-B19+Plan!$I$13*D19,Plan!$H$14-B19+Plan!$I$14*D19,Plan!$H$15-B19+Plan!$I$15*D19,Plan!$H$16-B19+Plan!$I$16*D19)</f>
        <v>0</v>
      </c>
      <c r="F19" s="11" t="n">
        <f aca="false">C19-E19</f>
        <v>276.6</v>
      </c>
      <c r="G19" s="17" t="n">
        <f aca="false">D19</f>
        <v>1.98015661080214</v>
      </c>
      <c r="H19" s="16" t="n">
        <f aca="false">Fee*F19+VQ*G19</f>
        <v>24.1392528864171</v>
      </c>
      <c r="I19" s="17" t="n">
        <f aca="false">MAX(0,MIN(1,(GNone-H19)/(GNone-GFull)))</f>
        <v>0</v>
      </c>
      <c r="J19" s="16" t="n">
        <f aca="false">1-A19</f>
        <v>0.87</v>
      </c>
      <c r="K19" s="17" t="n">
        <f aca="false">MIN(I19,J19)</f>
        <v>0</v>
      </c>
      <c r="L19" s="20" t="n">
        <v>0.94519</v>
      </c>
      <c r="M19" s="21" t="n">
        <v>0.01074</v>
      </c>
      <c r="N19" s="21" t="n">
        <v>0.01051</v>
      </c>
      <c r="O19" s="16" t="n">
        <f aca="false">IF(M19&lt;=Alpha,A19,-1)</f>
        <v>0.13</v>
      </c>
      <c r="P19" s="16" t="n">
        <f aca="false">IF(L19&gt;=0.95,A19,-1)</f>
        <v>-1</v>
      </c>
      <c r="Q19" s="17" t="n">
        <f aca="false">MIN(I19^2,J19)</f>
        <v>0</v>
      </c>
      <c r="R19" s="17" t="n">
        <f aca="false">MIN(SQRT(I19),J19)</f>
        <v>0</v>
      </c>
      <c r="T19" s="2" t="s">
        <v>179</v>
      </c>
      <c r="U19" s="15" t="n">
        <f aca="false">SUMPRODUCT((H7:H106&gt;H6:H105+0.000000001)*1)</f>
        <v>0</v>
      </c>
      <c r="V19" s="10" t="s">
        <v>180</v>
      </c>
    </row>
    <row r="20" customFormat="false" ht="15" hidden="false" customHeight="false" outlineLevel="0" collapsed="false">
      <c r="A20" s="16" t="n">
        <v>0.14</v>
      </c>
      <c r="B20" s="11" t="n">
        <f aca="false">DNever-(DNever-DUsual)*A20</f>
        <v>179</v>
      </c>
      <c r="C20" s="11" t="n">
        <f aca="false">SNever-(SNever-SPlaus)*A20</f>
        <v>274.8</v>
      </c>
      <c r="D20" s="18" t="n">
        <f aca="false">MAX(0,(B20-Plan!$H$5)/Plan!$I$5,(B20-Plan!$H$6)/Plan!$I$6,(B20-Plan!$H$7)/Plan!$I$7,(B20-Plan!$H$8)/Plan!$I$8,(B20-Plan!$H$9)/Plan!$I$9,(B20-Plan!$H$10)/Plan!$I$10,(B20-Plan!$H$11)/Plan!$I$11,(B20-Plan!$H$12)/Plan!$I$12,(B20-Plan!$H$13)/Plan!$I$13,(B20-Plan!$H$14)/Plan!$I$14,(B20-Plan!$H$15)/Plan!$I$15,(B20-Plan!$H$16)/Plan!$I$16)</f>
        <v>1.91735009603832</v>
      </c>
      <c r="E20" s="16" t="n">
        <f aca="false">MIN(C20,Plan!$H$5-B20+Plan!$I$5*D20,Plan!$H$6-B20+Plan!$I$6*D20,Plan!$H$7-B20+Plan!$I$7*D20,Plan!$H$8-B20+Plan!$I$8*D20,Plan!$H$9-B20+Plan!$I$9*D20,Plan!$H$10-B20+Plan!$I$10*D20,Plan!$H$11-B20+Plan!$I$11*D20,Plan!$H$12-B20+Plan!$I$12*D20,Plan!$H$13-B20+Plan!$I$13*D20,Plan!$H$14-B20+Plan!$I$14*D20,Plan!$H$15-B20+Plan!$I$15*D20,Plan!$H$16-B20+Plan!$I$16*D20)</f>
        <v>0</v>
      </c>
      <c r="F20" s="11" t="n">
        <f aca="false">C20-E20</f>
        <v>274.8</v>
      </c>
      <c r="G20" s="17" t="n">
        <f aca="false">D20</f>
        <v>1.91735009603832</v>
      </c>
      <c r="H20" s="16" t="n">
        <f aca="false">Fee*F20+VQ*G20</f>
        <v>23.5828007683065</v>
      </c>
      <c r="I20" s="17" t="n">
        <f aca="false">MAX(0,MIN(1,(GNone-H20)/(GNone-GFull)))</f>
        <v>0</v>
      </c>
      <c r="J20" s="16" t="n">
        <f aca="false">1-A20</f>
        <v>0.86</v>
      </c>
      <c r="K20" s="17" t="n">
        <f aca="false">MIN(I20,J20)</f>
        <v>0</v>
      </c>
      <c r="L20" s="20" t="n">
        <v>0.94384</v>
      </c>
      <c r="M20" s="21" t="n">
        <v>0.01168</v>
      </c>
      <c r="N20" s="21" t="n">
        <v>0.01139</v>
      </c>
      <c r="O20" s="16" t="n">
        <f aca="false">IF(M20&lt;=Alpha,A20,-1)</f>
        <v>0.14</v>
      </c>
      <c r="P20" s="16" t="n">
        <f aca="false">IF(L20&gt;=0.95,A20,-1)</f>
        <v>-1</v>
      </c>
      <c r="Q20" s="17" t="n">
        <f aca="false">MIN(I20^2,J20)</f>
        <v>0</v>
      </c>
      <c r="R20" s="17" t="n">
        <f aca="false">MIN(SQRT(I20),J20)</f>
        <v>0</v>
      </c>
      <c r="T20" s="2" t="s">
        <v>181</v>
      </c>
      <c r="U20" s="15" t="n">
        <f aca="false">SUMPRODUCT((M6:M106&gt;1-L6:L106)*1)</f>
        <v>0</v>
      </c>
      <c r="V20" s="10" t="s">
        <v>182</v>
      </c>
    </row>
    <row r="21" customFormat="false" ht="15" hidden="false" customHeight="false" outlineLevel="0" collapsed="false">
      <c r="A21" s="16" t="n">
        <v>0.15</v>
      </c>
      <c r="B21" s="11" t="n">
        <f aca="false">DNever-(DNever-DUsual)*A21</f>
        <v>177.5</v>
      </c>
      <c r="C21" s="11" t="n">
        <f aca="false">SNever-(SNever-SPlaus)*A21</f>
        <v>273</v>
      </c>
      <c r="D21" s="18" t="n">
        <f aca="false">MAX(0,(B21-Plan!$H$5)/Plan!$I$5,(B21-Plan!$H$6)/Plan!$I$6,(B21-Plan!$H$7)/Plan!$I$7,(B21-Plan!$H$8)/Plan!$I$8,(B21-Plan!$H$9)/Plan!$I$9,(B21-Plan!$H$10)/Plan!$I$10,(B21-Plan!$H$11)/Plan!$I$11,(B21-Plan!$H$12)/Plan!$I$12,(B21-Plan!$H$13)/Plan!$I$13,(B21-Plan!$H$14)/Plan!$I$14,(B21-Plan!$H$15)/Plan!$I$15,(B21-Plan!$H$16)/Plan!$I$16)</f>
        <v>1.85454358127449</v>
      </c>
      <c r="E21" s="16" t="n">
        <f aca="false">MIN(C21,Plan!$H$5-B21+Plan!$I$5*D21,Plan!$H$6-B21+Plan!$I$6*D21,Plan!$H$7-B21+Plan!$I$7*D21,Plan!$H$8-B21+Plan!$I$8*D21,Plan!$H$9-B21+Plan!$I$9*D21,Plan!$H$10-B21+Plan!$I$10*D21,Plan!$H$11-B21+Plan!$I$11*D21,Plan!$H$12-B21+Plan!$I$12*D21,Plan!$H$13-B21+Plan!$I$13*D21,Plan!$H$14-B21+Plan!$I$14*D21,Plan!$H$15-B21+Plan!$I$15*D21,Plan!$H$16-B21+Plan!$I$16*D21)</f>
        <v>0</v>
      </c>
      <c r="F21" s="11" t="n">
        <f aca="false">C21-E21</f>
        <v>273</v>
      </c>
      <c r="G21" s="17" t="n">
        <f aca="false">D21</f>
        <v>1.85454358127449</v>
      </c>
      <c r="H21" s="16" t="n">
        <f aca="false">Fee*F21+VQ*G21</f>
        <v>23.026348650196</v>
      </c>
      <c r="I21" s="17" t="n">
        <f aca="false">MAX(0,MIN(1,(GNone-H21)/(GNone-GFull)))</f>
        <v>0</v>
      </c>
      <c r="J21" s="16" t="n">
        <f aca="false">1-A21</f>
        <v>0.85</v>
      </c>
      <c r="K21" s="17" t="n">
        <f aca="false">MIN(I21,J21)</f>
        <v>0</v>
      </c>
      <c r="L21" s="20" t="n">
        <v>0.94231</v>
      </c>
      <c r="M21" s="21" t="n">
        <v>0.01269</v>
      </c>
      <c r="N21" s="21" t="n">
        <v>0.01248</v>
      </c>
      <c r="O21" s="16" t="n">
        <f aca="false">IF(M21&lt;=Alpha,A21,-1)</f>
        <v>0.15</v>
      </c>
      <c r="P21" s="16" t="n">
        <f aca="false">IF(L21&gt;=0.95,A21,-1)</f>
        <v>-1</v>
      </c>
      <c r="Q21" s="17" t="n">
        <f aca="false">MIN(I21^2,J21)</f>
        <v>0</v>
      </c>
      <c r="R21" s="17" t="n">
        <f aca="false">MIN(SQRT(I21),J21)</f>
        <v>0</v>
      </c>
      <c r="T21" s="2" t="s">
        <v>183</v>
      </c>
      <c r="U21" s="17" t="n">
        <f aca="false">100*SQRT(MAX(M6:M106)*(1-MAX(M6:M106))/NPaths)</f>
        <v>0.125848624903095</v>
      </c>
      <c r="V21" s="10" t="s">
        <v>184</v>
      </c>
    </row>
    <row r="22" customFormat="false" ht="15" hidden="false" customHeight="false" outlineLevel="0" collapsed="false">
      <c r="A22" s="16" t="n">
        <v>0.16</v>
      </c>
      <c r="B22" s="11" t="n">
        <f aca="false">DNever-(DNever-DUsual)*A22</f>
        <v>176</v>
      </c>
      <c r="C22" s="11" t="n">
        <f aca="false">SNever-(SNever-SPlaus)*A22</f>
        <v>271.2</v>
      </c>
      <c r="D22" s="18" t="n">
        <f aca="false">MAX(0,(B22-Plan!$H$5)/Plan!$I$5,(B22-Plan!$H$6)/Plan!$I$6,(B22-Plan!$H$7)/Plan!$I$7,(B22-Plan!$H$8)/Plan!$I$8,(B22-Plan!$H$9)/Plan!$I$9,(B22-Plan!$H$10)/Plan!$I$10,(B22-Plan!$H$11)/Plan!$I$11,(B22-Plan!$H$12)/Plan!$I$12,(B22-Plan!$H$13)/Plan!$I$13,(B22-Plan!$H$14)/Plan!$I$14,(B22-Plan!$H$15)/Plan!$I$15,(B22-Plan!$H$16)/Plan!$I$16)</f>
        <v>1.79173706651067</v>
      </c>
      <c r="E22" s="16" t="n">
        <f aca="false">MIN(C22,Plan!$H$5-B22+Plan!$I$5*D22,Plan!$H$6-B22+Plan!$I$6*D22,Plan!$H$7-B22+Plan!$I$7*D22,Plan!$H$8-B22+Plan!$I$8*D22,Plan!$H$9-B22+Plan!$I$9*D22,Plan!$H$10-B22+Plan!$I$10*D22,Plan!$H$11-B22+Plan!$I$11*D22,Plan!$H$12-B22+Plan!$I$12*D22,Plan!$H$13-B22+Plan!$I$13*D22,Plan!$H$14-B22+Plan!$I$14*D22,Plan!$H$15-B22+Plan!$I$15*D22,Plan!$H$16-B22+Plan!$I$16*D22)</f>
        <v>0</v>
      </c>
      <c r="F22" s="11" t="n">
        <f aca="false">C22-E22</f>
        <v>271.2</v>
      </c>
      <c r="G22" s="17" t="n">
        <f aca="false">D22</f>
        <v>1.79173706651067</v>
      </c>
      <c r="H22" s="16" t="n">
        <f aca="false">Fee*F22+VQ*G22</f>
        <v>22.4698965320854</v>
      </c>
      <c r="I22" s="17" t="n">
        <f aca="false">MAX(0,MIN(1,(GNone-H22)/(GNone-GFull)))</f>
        <v>0</v>
      </c>
      <c r="J22" s="16" t="n">
        <f aca="false">1-A22</f>
        <v>0.84</v>
      </c>
      <c r="K22" s="17" t="n">
        <f aca="false">MIN(I22,J22)</f>
        <v>0</v>
      </c>
      <c r="L22" s="20" t="n">
        <v>0.94086</v>
      </c>
      <c r="M22" s="21" t="n">
        <v>0.0136</v>
      </c>
      <c r="N22" s="21" t="n">
        <v>0.01325</v>
      </c>
      <c r="O22" s="16" t="n">
        <f aca="false">IF(M22&lt;=Alpha,A22,-1)</f>
        <v>0.16</v>
      </c>
      <c r="P22" s="16" t="n">
        <f aca="false">IF(L22&gt;=0.95,A22,-1)</f>
        <v>-1</v>
      </c>
      <c r="Q22" s="17" t="n">
        <f aca="false">MIN(I22^2,J22)</f>
        <v>0</v>
      </c>
      <c r="R22" s="17" t="n">
        <f aca="false">MIN(SQRT(I22),J22)</f>
        <v>0</v>
      </c>
    </row>
    <row r="23" customFormat="false" ht="15" hidden="false" customHeight="false" outlineLevel="0" collapsed="false">
      <c r="A23" s="16" t="n">
        <v>0.17</v>
      </c>
      <c r="B23" s="11" t="n">
        <f aca="false">DNever-(DNever-DUsual)*A23</f>
        <v>174.5</v>
      </c>
      <c r="C23" s="11" t="n">
        <f aca="false">SNever-(SNever-SPlaus)*A23</f>
        <v>269.4</v>
      </c>
      <c r="D23" s="18" t="n">
        <f aca="false">MAX(0,(B23-Plan!$H$5)/Plan!$I$5,(B23-Plan!$H$6)/Plan!$I$6,(B23-Plan!$H$7)/Plan!$I$7,(B23-Plan!$H$8)/Plan!$I$8,(B23-Plan!$H$9)/Plan!$I$9,(B23-Plan!$H$10)/Plan!$I$10,(B23-Plan!$H$11)/Plan!$I$11,(B23-Plan!$H$12)/Plan!$I$12,(B23-Plan!$H$13)/Plan!$I$13,(B23-Plan!$H$14)/Plan!$I$14,(B23-Plan!$H$15)/Plan!$I$15,(B23-Plan!$H$16)/Plan!$I$16)</f>
        <v>1.73041040439692</v>
      </c>
      <c r="E23" s="16" t="n">
        <f aca="false">MIN(C23,Plan!$H$5-B23+Plan!$I$5*D23,Plan!$H$6-B23+Plan!$I$6*D23,Plan!$H$7-B23+Plan!$I$7*D23,Plan!$H$8-B23+Plan!$I$8*D23,Plan!$H$9-B23+Plan!$I$9*D23,Plan!$H$10-B23+Plan!$I$10*D23,Plan!$H$11-B23+Plan!$I$11*D23,Plan!$H$12-B23+Plan!$I$12*D23,Plan!$H$13-B23+Plan!$I$13*D23,Plan!$H$14-B23+Plan!$I$14*D23,Plan!$H$15-B23+Plan!$I$15*D23,Plan!$H$16-B23+Plan!$I$16*D23)</f>
        <v>0</v>
      </c>
      <c r="F23" s="11" t="n">
        <f aca="false">C23-E23</f>
        <v>269.4</v>
      </c>
      <c r="G23" s="17" t="n">
        <f aca="false">D23</f>
        <v>1.73041040439692</v>
      </c>
      <c r="H23" s="16" t="n">
        <f aca="false">Fee*F23+VQ*G23</f>
        <v>21.9252832351753</v>
      </c>
      <c r="I23" s="17" t="n">
        <f aca="false">MAX(0,MIN(1,(GNone-H23)/(GNone-GFull)))</f>
        <v>0</v>
      </c>
      <c r="J23" s="16" t="n">
        <f aca="false">1-A23</f>
        <v>0.83</v>
      </c>
      <c r="K23" s="17" t="n">
        <f aca="false">MIN(I23,J23)</f>
        <v>0</v>
      </c>
      <c r="L23" s="20" t="n">
        <v>0.93923</v>
      </c>
      <c r="M23" s="21" t="n">
        <v>0.01446</v>
      </c>
      <c r="N23" s="21" t="n">
        <v>0.01421</v>
      </c>
      <c r="O23" s="16" t="n">
        <f aca="false">IF(M23&lt;=Alpha,A23,-1)</f>
        <v>0.17</v>
      </c>
      <c r="P23" s="16" t="n">
        <f aca="false">IF(L23&gt;=0.95,A23,-1)</f>
        <v>-1</v>
      </c>
      <c r="Q23" s="17" t="n">
        <f aca="false">MIN(I23^2,J23)</f>
        <v>0</v>
      </c>
      <c r="R23" s="17" t="n">
        <f aca="false">MIN(SQRT(I23),J23)</f>
        <v>0</v>
      </c>
      <c r="T23" s="2" t="s">
        <v>185</v>
      </c>
      <c r="U23" s="17" t="n">
        <f aca="false">MAX(Q6:Q106)</f>
        <v>0.58</v>
      </c>
      <c r="V23" s="10" t="s">
        <v>186</v>
      </c>
    </row>
    <row r="24" customFormat="false" ht="15" hidden="false" customHeight="false" outlineLevel="0" collapsed="false">
      <c r="A24" s="16" t="n">
        <v>0.18</v>
      </c>
      <c r="B24" s="11" t="n">
        <f aca="false">DNever-(DNever-DUsual)*A24</f>
        <v>173</v>
      </c>
      <c r="C24" s="11" t="n">
        <f aca="false">SNever-(SNever-SPlaus)*A24</f>
        <v>267.6</v>
      </c>
      <c r="D24" s="18" t="n">
        <f aca="false">MAX(0,(B24-Plan!$H$5)/Plan!$I$5,(B24-Plan!$H$6)/Plan!$I$6,(B24-Plan!$H$7)/Plan!$I$7,(B24-Plan!$H$8)/Plan!$I$8,(B24-Plan!$H$9)/Plan!$I$9,(B24-Plan!$H$10)/Plan!$I$10,(B24-Plan!$H$11)/Plan!$I$11,(B24-Plan!$H$12)/Plan!$I$12,(B24-Plan!$H$13)/Plan!$I$13,(B24-Plan!$H$14)/Plan!$I$14,(B24-Plan!$H$15)/Plan!$I$15,(B24-Plan!$H$16)/Plan!$I$16)</f>
        <v>1.66940831435651</v>
      </c>
      <c r="E24" s="16" t="n">
        <f aca="false">MIN(C24,Plan!$H$5-B24+Plan!$I$5*D24,Plan!$H$6-B24+Plan!$I$6*D24,Plan!$H$7-B24+Plan!$I$7*D24,Plan!$H$8-B24+Plan!$I$8*D24,Plan!$H$9-B24+Plan!$I$9*D24,Plan!$H$10-B24+Plan!$I$10*D24,Plan!$H$11-B24+Plan!$I$11*D24,Plan!$H$12-B24+Plan!$I$12*D24,Plan!$H$13-B24+Plan!$I$13*D24,Plan!$H$14-B24+Plan!$I$14*D24,Plan!$H$15-B24+Plan!$I$15*D24,Plan!$H$16-B24+Plan!$I$16*D24)</f>
        <v>0</v>
      </c>
      <c r="F24" s="11" t="n">
        <f aca="false">C24-E24</f>
        <v>267.6</v>
      </c>
      <c r="G24" s="17" t="n">
        <f aca="false">D24</f>
        <v>1.66940831435651</v>
      </c>
      <c r="H24" s="16" t="n">
        <f aca="false">Fee*F24+VQ*G24</f>
        <v>21.3832665148521</v>
      </c>
      <c r="I24" s="17" t="n">
        <f aca="false">MAX(0,MIN(1,(GNone-H24)/(GNone-GFull)))</f>
        <v>0</v>
      </c>
      <c r="J24" s="16" t="n">
        <f aca="false">1-A24</f>
        <v>0.82</v>
      </c>
      <c r="K24" s="17" t="n">
        <f aca="false">MIN(I24,J24)</f>
        <v>0</v>
      </c>
      <c r="L24" s="20" t="n">
        <v>0.93744</v>
      </c>
      <c r="M24" s="21" t="n">
        <v>0.01554</v>
      </c>
      <c r="N24" s="21" t="n">
        <v>0.01524</v>
      </c>
      <c r="O24" s="16" t="n">
        <f aca="false">IF(M24&lt;=Alpha,A24,-1)</f>
        <v>0.18</v>
      </c>
      <c r="P24" s="16" t="n">
        <f aca="false">IF(L24&gt;=0.95,A24,-1)</f>
        <v>-1</v>
      </c>
      <c r="Q24" s="17" t="n">
        <f aca="false">MIN(I24^2,J24)</f>
        <v>0</v>
      </c>
      <c r="R24" s="17" t="n">
        <f aca="false">MIN(SQRT(I24),J24)</f>
        <v>0</v>
      </c>
      <c r="T24" s="2" t="s">
        <v>187</v>
      </c>
      <c r="U24" s="17" t="n">
        <f aca="false">MAX(R6:R106)</f>
        <v>0.67</v>
      </c>
      <c r="V24" s="10" t="s">
        <v>188</v>
      </c>
    </row>
    <row r="25" customFormat="false" ht="15" hidden="false" customHeight="false" outlineLevel="0" collapsed="false">
      <c r="A25" s="16" t="n">
        <v>0.19</v>
      </c>
      <c r="B25" s="11" t="n">
        <f aca="false">DNever-(DNever-DUsual)*A25</f>
        <v>171.5</v>
      </c>
      <c r="C25" s="11" t="n">
        <f aca="false">SNever-(SNever-SPlaus)*A25</f>
        <v>265.8</v>
      </c>
      <c r="D25" s="18" t="n">
        <f aca="false">MAX(0,(B25-Plan!$H$5)/Plan!$I$5,(B25-Plan!$H$6)/Plan!$I$6,(B25-Plan!$H$7)/Plan!$I$7,(B25-Plan!$H$8)/Plan!$I$8,(B25-Plan!$H$9)/Plan!$I$9,(B25-Plan!$H$10)/Plan!$I$10,(B25-Plan!$H$11)/Plan!$I$11,(B25-Plan!$H$12)/Plan!$I$12,(B25-Plan!$H$13)/Plan!$I$13,(B25-Plan!$H$14)/Plan!$I$14,(B25-Plan!$H$15)/Plan!$I$15,(B25-Plan!$H$16)/Plan!$I$16)</f>
        <v>1.6084062243161</v>
      </c>
      <c r="E25" s="16" t="n">
        <f aca="false">MIN(C25,Plan!$H$5-B25+Plan!$I$5*D25,Plan!$H$6-B25+Plan!$I$6*D25,Plan!$H$7-B25+Plan!$I$7*D25,Plan!$H$8-B25+Plan!$I$8*D25,Plan!$H$9-B25+Plan!$I$9*D25,Plan!$H$10-B25+Plan!$I$10*D25,Plan!$H$11-B25+Plan!$I$11*D25,Plan!$H$12-B25+Plan!$I$12*D25,Plan!$H$13-B25+Plan!$I$13*D25,Plan!$H$14-B25+Plan!$I$14*D25,Plan!$H$15-B25+Plan!$I$15*D25,Plan!$H$16-B25+Plan!$I$16*D25)</f>
        <v>0</v>
      </c>
      <c r="F25" s="11" t="n">
        <f aca="false">C25-E25</f>
        <v>265.8</v>
      </c>
      <c r="G25" s="17" t="n">
        <f aca="false">D25</f>
        <v>1.6084062243161</v>
      </c>
      <c r="H25" s="16" t="n">
        <f aca="false">Fee*F25+VQ*G25</f>
        <v>20.8412497945288</v>
      </c>
      <c r="I25" s="17" t="n">
        <f aca="false">MAX(0,MIN(1,(GNone-H25)/(GNone-GFull)))</f>
        <v>0</v>
      </c>
      <c r="J25" s="16" t="n">
        <f aca="false">1-A25</f>
        <v>0.81</v>
      </c>
      <c r="K25" s="17" t="n">
        <f aca="false">MIN(I25,J25)</f>
        <v>0</v>
      </c>
      <c r="L25" s="20" t="n">
        <v>0.9356</v>
      </c>
      <c r="M25" s="21" t="n">
        <v>0.01671</v>
      </c>
      <c r="N25" s="21" t="n">
        <v>0.01621</v>
      </c>
      <c r="O25" s="16" t="n">
        <f aca="false">IF(M25&lt;=Alpha,A25,-1)</f>
        <v>0.19</v>
      </c>
      <c r="P25" s="16" t="n">
        <f aca="false">IF(L25&gt;=0.95,A25,-1)</f>
        <v>-1</v>
      </c>
      <c r="Q25" s="17" t="n">
        <f aca="false">MIN(I25^2,J25)</f>
        <v>0</v>
      </c>
      <c r="R25" s="17" t="n">
        <f aca="false">MIN(SQRT(I25),J25)</f>
        <v>0</v>
      </c>
      <c r="T25" s="2" t="s">
        <v>189</v>
      </c>
      <c r="U25" s="15" t="n">
        <f aca="false">IF(AND(U23&lt;=U6,U6&lt;=U24),0,1)</f>
        <v>0</v>
      </c>
      <c r="V25" s="10" t="s">
        <v>190</v>
      </c>
    </row>
    <row r="26" customFormat="false" ht="15" hidden="false" customHeight="false" outlineLevel="0" collapsed="false">
      <c r="A26" s="16" t="n">
        <v>0.2</v>
      </c>
      <c r="B26" s="11" t="n">
        <f aca="false">DNever-(DNever-DUsual)*A26</f>
        <v>170</v>
      </c>
      <c r="C26" s="11" t="n">
        <f aca="false">SNever-(SNever-SPlaus)*A26</f>
        <v>264</v>
      </c>
      <c r="D26" s="18" t="n">
        <f aca="false">MAX(0,(B26-Plan!$H$5)/Plan!$I$5,(B26-Plan!$H$6)/Plan!$I$6,(B26-Plan!$H$7)/Plan!$I$7,(B26-Plan!$H$8)/Plan!$I$8,(B26-Plan!$H$9)/Plan!$I$9,(B26-Plan!$H$10)/Plan!$I$10,(B26-Plan!$H$11)/Plan!$I$11,(B26-Plan!$H$12)/Plan!$I$12,(B26-Plan!$H$13)/Plan!$I$13,(B26-Plan!$H$14)/Plan!$I$14,(B26-Plan!$H$15)/Plan!$I$15,(B26-Plan!$H$16)/Plan!$I$16)</f>
        <v>1.54740413427569</v>
      </c>
      <c r="E26" s="16" t="n">
        <f aca="false">MIN(C26,Plan!$H$5-B26+Plan!$I$5*D26,Plan!$H$6-B26+Plan!$I$6*D26,Plan!$H$7-B26+Plan!$I$7*D26,Plan!$H$8-B26+Plan!$I$8*D26,Plan!$H$9-B26+Plan!$I$9*D26,Plan!$H$10-B26+Plan!$I$10*D26,Plan!$H$11-B26+Plan!$I$11*D26,Plan!$H$12-B26+Plan!$I$12*D26,Plan!$H$13-B26+Plan!$I$13*D26,Plan!$H$14-B26+Plan!$I$14*D26,Plan!$H$15-B26+Plan!$I$15*D26,Plan!$H$16-B26+Plan!$I$16*D26)</f>
        <v>0</v>
      </c>
      <c r="F26" s="11" t="n">
        <f aca="false">C26-E26</f>
        <v>264</v>
      </c>
      <c r="G26" s="17" t="n">
        <f aca="false">D26</f>
        <v>1.54740413427569</v>
      </c>
      <c r="H26" s="16" t="n">
        <f aca="false">Fee*F26+VQ*G26</f>
        <v>20.2992330742055</v>
      </c>
      <c r="I26" s="17" t="n">
        <f aca="false">MAX(0,MIN(1,(GNone-H26)/(GNone-GFull)))</f>
        <v>0</v>
      </c>
      <c r="J26" s="16" t="n">
        <f aca="false">1-A26</f>
        <v>0.8</v>
      </c>
      <c r="K26" s="17" t="n">
        <f aca="false">MIN(I26,J26)</f>
        <v>0</v>
      </c>
      <c r="L26" s="20" t="n">
        <v>0.93368</v>
      </c>
      <c r="M26" s="21" t="n">
        <v>0.01785</v>
      </c>
      <c r="N26" s="21" t="n">
        <v>0.01752</v>
      </c>
      <c r="O26" s="16" t="n">
        <f aca="false">IF(M26&lt;=Alpha,A26,-1)</f>
        <v>0.2</v>
      </c>
      <c r="P26" s="16" t="n">
        <f aca="false">IF(L26&gt;=0.95,A26,-1)</f>
        <v>-1</v>
      </c>
      <c r="Q26" s="17" t="n">
        <f aca="false">MIN(I26^2,J26)</f>
        <v>0</v>
      </c>
      <c r="R26" s="17" t="n">
        <f aca="false">MIN(SQRT(I26),J26)</f>
        <v>0</v>
      </c>
    </row>
    <row r="27" customFormat="false" ht="15" hidden="false" customHeight="false" outlineLevel="0" collapsed="false">
      <c r="A27" s="16" t="n">
        <v>0.21</v>
      </c>
      <c r="B27" s="11" t="n">
        <f aca="false">DNever-(DNever-DUsual)*A27</f>
        <v>168.5</v>
      </c>
      <c r="C27" s="11" t="n">
        <f aca="false">SNever-(SNever-SPlaus)*A27</f>
        <v>262.2</v>
      </c>
      <c r="D27" s="18" t="n">
        <f aca="false">MAX(0,(B27-Plan!$H$5)/Plan!$I$5,(B27-Plan!$H$6)/Plan!$I$6,(B27-Plan!$H$7)/Plan!$I$7,(B27-Plan!$H$8)/Plan!$I$8,(B27-Plan!$H$9)/Plan!$I$9,(B27-Plan!$H$10)/Plan!$I$10,(B27-Plan!$H$11)/Plan!$I$11,(B27-Plan!$H$12)/Plan!$I$12,(B27-Plan!$H$13)/Plan!$I$13,(B27-Plan!$H$14)/Plan!$I$14,(B27-Plan!$H$15)/Plan!$I$15,(B27-Plan!$H$16)/Plan!$I$16)</f>
        <v>1.48640204423528</v>
      </c>
      <c r="E27" s="16" t="n">
        <f aca="false">MIN(C27,Plan!$H$5-B27+Plan!$I$5*D27,Plan!$H$6-B27+Plan!$I$6*D27,Plan!$H$7-B27+Plan!$I$7*D27,Plan!$H$8-B27+Plan!$I$8*D27,Plan!$H$9-B27+Plan!$I$9*D27,Plan!$H$10-B27+Plan!$I$10*D27,Plan!$H$11-B27+Plan!$I$11*D27,Plan!$H$12-B27+Plan!$I$12*D27,Plan!$H$13-B27+Plan!$I$13*D27,Plan!$H$14-B27+Plan!$I$14*D27,Plan!$H$15-B27+Plan!$I$15*D27,Plan!$H$16-B27+Plan!$I$16*D27)</f>
        <v>0</v>
      </c>
      <c r="F27" s="11" t="n">
        <f aca="false">C27-E27</f>
        <v>262.2</v>
      </c>
      <c r="G27" s="17" t="n">
        <f aca="false">D27</f>
        <v>1.48640204423528</v>
      </c>
      <c r="H27" s="16" t="n">
        <f aca="false">Fee*F27+VQ*G27</f>
        <v>19.7572163538822</v>
      </c>
      <c r="I27" s="17" t="n">
        <f aca="false">MAX(0,MIN(1,(GNone-H27)/(GNone-GFull)))</f>
        <v>0.0161855764078515</v>
      </c>
      <c r="J27" s="16" t="n">
        <f aca="false">1-A27</f>
        <v>0.79</v>
      </c>
      <c r="K27" s="17" t="n">
        <f aca="false">MIN(I27,J27)</f>
        <v>0.0161855764078515</v>
      </c>
      <c r="L27" s="20" t="n">
        <v>0.93158</v>
      </c>
      <c r="M27" s="21" t="n">
        <v>0.01906</v>
      </c>
      <c r="N27" s="21" t="n">
        <v>0.01865</v>
      </c>
      <c r="O27" s="16" t="n">
        <f aca="false">IF(M27&lt;=Alpha,A27,-1)</f>
        <v>0.21</v>
      </c>
      <c r="P27" s="16" t="n">
        <f aca="false">IF(L27&gt;=0.95,A27,-1)</f>
        <v>-1</v>
      </c>
      <c r="Q27" s="17" t="n">
        <f aca="false">MIN(I27^2,J27)</f>
        <v>0.000261972883654398</v>
      </c>
      <c r="R27" s="17" t="n">
        <f aca="false">MIN(SQRT(I27),J27)</f>
        <v>0.127222546774742</v>
      </c>
    </row>
    <row r="28" customFormat="false" ht="15" hidden="false" customHeight="false" outlineLevel="0" collapsed="false">
      <c r="A28" s="16" t="n">
        <v>0.22</v>
      </c>
      <c r="B28" s="11" t="n">
        <f aca="false">DNever-(DNever-DUsual)*A28</f>
        <v>167</v>
      </c>
      <c r="C28" s="11" t="n">
        <f aca="false">SNever-(SNever-SPlaus)*A28</f>
        <v>260.4</v>
      </c>
      <c r="D28" s="18" t="n">
        <f aca="false">MAX(0,(B28-Plan!$H$5)/Plan!$I$5,(B28-Plan!$H$6)/Plan!$I$6,(B28-Plan!$H$7)/Plan!$I$7,(B28-Plan!$H$8)/Plan!$I$8,(B28-Plan!$H$9)/Plan!$I$9,(B28-Plan!$H$10)/Plan!$I$10,(B28-Plan!$H$11)/Plan!$I$11,(B28-Plan!$H$12)/Plan!$I$12,(B28-Plan!$H$13)/Plan!$I$13,(B28-Plan!$H$14)/Plan!$I$14,(B28-Plan!$H$15)/Plan!$I$15,(B28-Plan!$H$16)/Plan!$I$16)</f>
        <v>1.42539995419487</v>
      </c>
      <c r="E28" s="16" t="n">
        <f aca="false">MIN(C28,Plan!$H$5-B28+Plan!$I$5*D28,Plan!$H$6-B28+Plan!$I$6*D28,Plan!$H$7-B28+Plan!$I$7*D28,Plan!$H$8-B28+Plan!$I$8*D28,Plan!$H$9-B28+Plan!$I$9*D28,Plan!$H$10-B28+Plan!$I$10*D28,Plan!$H$11-B28+Plan!$I$11*D28,Plan!$H$12-B28+Plan!$I$12*D28,Plan!$H$13-B28+Plan!$I$13*D28,Plan!$H$14-B28+Plan!$I$14*D28,Plan!$H$15-B28+Plan!$I$15*D28,Plan!$H$16-B28+Plan!$I$16*D28)</f>
        <v>0</v>
      </c>
      <c r="F28" s="11" t="n">
        <f aca="false">C28-E28</f>
        <v>260.4</v>
      </c>
      <c r="G28" s="17" t="n">
        <f aca="false">D28</f>
        <v>1.42539995419487</v>
      </c>
      <c r="H28" s="16" t="n">
        <f aca="false">Fee*F28+VQ*G28</f>
        <v>19.2151996335589</v>
      </c>
      <c r="I28" s="17" t="n">
        <f aca="false">MAX(0,MIN(1,(GNone-H28)/(GNone-GFull)))</f>
        <v>0.0523200244294036</v>
      </c>
      <c r="J28" s="16" t="n">
        <f aca="false">1-A28</f>
        <v>0.78</v>
      </c>
      <c r="K28" s="17" t="n">
        <f aca="false">MIN(I28,J28)</f>
        <v>0.0523200244294036</v>
      </c>
      <c r="L28" s="20" t="n">
        <v>0.92919</v>
      </c>
      <c r="M28" s="21" t="n">
        <v>0.02041</v>
      </c>
      <c r="N28" s="21" t="n">
        <v>0.02023</v>
      </c>
      <c r="O28" s="16" t="n">
        <f aca="false">IF(M28&lt;=Alpha,A28,-1)</f>
        <v>0.22</v>
      </c>
      <c r="P28" s="16" t="n">
        <f aca="false">IF(L28&gt;=0.95,A28,-1)</f>
        <v>-1</v>
      </c>
      <c r="Q28" s="17" t="n">
        <f aca="false">MIN(I28^2,J28)</f>
        <v>0.00273738495629339</v>
      </c>
      <c r="R28" s="17" t="n">
        <f aca="false">MIN(SQRT(I28),J28)</f>
        <v>0.228735708688879</v>
      </c>
    </row>
    <row r="29" customFormat="false" ht="15" hidden="false" customHeight="false" outlineLevel="0" collapsed="false">
      <c r="A29" s="16" t="n">
        <v>0.23</v>
      </c>
      <c r="B29" s="11" t="n">
        <f aca="false">DNever-(DNever-DUsual)*A29</f>
        <v>165.5</v>
      </c>
      <c r="C29" s="11" t="n">
        <f aca="false">SNever-(SNever-SPlaus)*A29</f>
        <v>258.6</v>
      </c>
      <c r="D29" s="18" t="n">
        <f aca="false">MAX(0,(B29-Plan!$H$5)/Plan!$I$5,(B29-Plan!$H$6)/Plan!$I$6,(B29-Plan!$H$7)/Plan!$I$7,(B29-Plan!$H$8)/Plan!$I$8,(B29-Plan!$H$9)/Plan!$I$9,(B29-Plan!$H$10)/Plan!$I$10,(B29-Plan!$H$11)/Plan!$I$11,(B29-Plan!$H$12)/Plan!$I$12,(B29-Plan!$H$13)/Plan!$I$13,(B29-Plan!$H$14)/Plan!$I$14,(B29-Plan!$H$15)/Plan!$I$15,(B29-Plan!$H$16)/Plan!$I$16)</f>
        <v>1.36439786415446</v>
      </c>
      <c r="E29" s="16" t="n">
        <f aca="false">MIN(C29,Plan!$H$5-B29+Plan!$I$5*D29,Plan!$H$6-B29+Plan!$I$6*D29,Plan!$H$7-B29+Plan!$I$7*D29,Plan!$H$8-B29+Plan!$I$8*D29,Plan!$H$9-B29+Plan!$I$9*D29,Plan!$H$10-B29+Plan!$I$10*D29,Plan!$H$11-B29+Plan!$I$11*D29,Plan!$H$12-B29+Plan!$I$12*D29,Plan!$H$13-B29+Plan!$I$13*D29,Plan!$H$14-B29+Plan!$I$14*D29,Plan!$H$15-B29+Plan!$I$15*D29,Plan!$H$16-B29+Plan!$I$16*D29)</f>
        <v>0</v>
      </c>
      <c r="F29" s="11" t="n">
        <f aca="false">C29-E29</f>
        <v>258.6</v>
      </c>
      <c r="G29" s="17" t="n">
        <f aca="false">D29</f>
        <v>1.36439786415446</v>
      </c>
      <c r="H29" s="16" t="n">
        <f aca="false">Fee*F29+VQ*G29</f>
        <v>18.6731829132357</v>
      </c>
      <c r="I29" s="17" t="n">
        <f aca="false">MAX(0,MIN(1,(GNone-H29)/(GNone-GFull)))</f>
        <v>0.0884544724509553</v>
      </c>
      <c r="J29" s="16" t="n">
        <f aca="false">1-A29</f>
        <v>0.77</v>
      </c>
      <c r="K29" s="17" t="n">
        <f aca="false">MIN(I29,J29)</f>
        <v>0.0884544724509553</v>
      </c>
      <c r="L29" s="20" t="n">
        <v>0.92682</v>
      </c>
      <c r="M29" s="21" t="n">
        <v>0.02181</v>
      </c>
      <c r="N29" s="21" t="n">
        <v>0.02179</v>
      </c>
      <c r="O29" s="16" t="n">
        <f aca="false">IF(M29&lt;=Alpha,A29,-1)</f>
        <v>0.23</v>
      </c>
      <c r="P29" s="16" t="n">
        <f aca="false">IF(L29&gt;=0.95,A29,-1)</f>
        <v>-1</v>
      </c>
      <c r="Q29" s="17" t="n">
        <f aca="false">MIN(I29^2,J29)</f>
        <v>0.00782419369657681</v>
      </c>
      <c r="R29" s="17" t="n">
        <f aca="false">MIN(SQRT(I29),J29)</f>
        <v>0.297412966178268</v>
      </c>
    </row>
    <row r="30" customFormat="false" ht="15" hidden="false" customHeight="false" outlineLevel="0" collapsed="false">
      <c r="A30" s="16" t="n">
        <v>0.24</v>
      </c>
      <c r="B30" s="11" t="n">
        <f aca="false">DNever-(DNever-DUsual)*A30</f>
        <v>164</v>
      </c>
      <c r="C30" s="11" t="n">
        <f aca="false">SNever-(SNever-SPlaus)*A30</f>
        <v>256.8</v>
      </c>
      <c r="D30" s="18" t="n">
        <f aca="false">MAX(0,(B30-Plan!$H$5)/Plan!$I$5,(B30-Plan!$H$6)/Plan!$I$6,(B30-Plan!$H$7)/Plan!$I$7,(B30-Plan!$H$8)/Plan!$I$8,(B30-Plan!$H$9)/Plan!$I$9,(B30-Plan!$H$10)/Plan!$I$10,(B30-Plan!$H$11)/Plan!$I$11,(B30-Plan!$H$12)/Plan!$I$12,(B30-Plan!$H$13)/Plan!$I$13,(B30-Plan!$H$14)/Plan!$I$14,(B30-Plan!$H$15)/Plan!$I$15,(B30-Plan!$H$16)/Plan!$I$16)</f>
        <v>1.30339577411405</v>
      </c>
      <c r="E30" s="16" t="n">
        <f aca="false">MIN(C30,Plan!$H$5-B30+Plan!$I$5*D30,Plan!$H$6-B30+Plan!$I$6*D30,Plan!$H$7-B30+Plan!$I$7*D30,Plan!$H$8-B30+Plan!$I$8*D30,Plan!$H$9-B30+Plan!$I$9*D30,Plan!$H$10-B30+Plan!$I$10*D30,Plan!$H$11-B30+Plan!$I$11*D30,Plan!$H$12-B30+Plan!$I$12*D30,Plan!$H$13-B30+Plan!$I$13*D30,Plan!$H$14-B30+Plan!$I$14*D30,Plan!$H$15-B30+Plan!$I$15*D30,Plan!$H$16-B30+Plan!$I$16*D30)</f>
        <v>0</v>
      </c>
      <c r="F30" s="11" t="n">
        <f aca="false">C30-E30</f>
        <v>256.8</v>
      </c>
      <c r="G30" s="17" t="n">
        <f aca="false">D30</f>
        <v>1.30339577411405</v>
      </c>
      <c r="H30" s="16" t="n">
        <f aca="false">Fee*F30+VQ*G30</f>
        <v>18.1311661929124</v>
      </c>
      <c r="I30" s="17" t="n">
        <f aca="false">MAX(0,MIN(1,(GNone-H30)/(GNone-GFull)))</f>
        <v>0.124588920472507</v>
      </c>
      <c r="J30" s="16" t="n">
        <f aca="false">1-A30</f>
        <v>0.76</v>
      </c>
      <c r="K30" s="17" t="n">
        <f aca="false">MIN(I30,J30)</f>
        <v>0.124588920472507</v>
      </c>
      <c r="L30" s="20" t="n">
        <v>0.92433</v>
      </c>
      <c r="M30" s="21" t="n">
        <v>0.02341</v>
      </c>
      <c r="N30" s="21" t="n">
        <v>0.02333</v>
      </c>
      <c r="O30" s="16" t="n">
        <f aca="false">IF(M30&lt;=Alpha,A30,-1)</f>
        <v>0.24</v>
      </c>
      <c r="P30" s="16" t="n">
        <f aca="false">IF(L30&gt;=0.95,A30,-1)</f>
        <v>-1</v>
      </c>
      <c r="Q30" s="17" t="n">
        <f aca="false">MIN(I30^2,J30)</f>
        <v>0.0155223991045047</v>
      </c>
      <c r="R30" s="17" t="n">
        <f aca="false">MIN(SQRT(I30),J30)</f>
        <v>0.352971557597078</v>
      </c>
    </row>
    <row r="31" customFormat="false" ht="15" hidden="false" customHeight="false" outlineLevel="0" collapsed="false">
      <c r="A31" s="16" t="n">
        <v>0.25</v>
      </c>
      <c r="B31" s="11" t="n">
        <f aca="false">DNever-(DNever-DUsual)*A31</f>
        <v>162.5</v>
      </c>
      <c r="C31" s="11" t="n">
        <f aca="false">SNever-(SNever-SPlaus)*A31</f>
        <v>255</v>
      </c>
      <c r="D31" s="18" t="n">
        <f aca="false">MAX(0,(B31-Plan!$H$5)/Plan!$I$5,(B31-Plan!$H$6)/Plan!$I$6,(B31-Plan!$H$7)/Plan!$I$7,(B31-Plan!$H$8)/Plan!$I$8,(B31-Plan!$H$9)/Plan!$I$9,(B31-Plan!$H$10)/Plan!$I$10,(B31-Plan!$H$11)/Plan!$I$11,(B31-Plan!$H$12)/Plan!$I$12,(B31-Plan!$H$13)/Plan!$I$13,(B31-Plan!$H$14)/Plan!$I$14,(B31-Plan!$H$15)/Plan!$I$15,(B31-Plan!$H$16)/Plan!$I$16)</f>
        <v>1.24239368407364</v>
      </c>
      <c r="E31" s="16" t="n">
        <f aca="false">MIN(C31,Plan!$H$5-B31+Plan!$I$5*D31,Plan!$H$6-B31+Plan!$I$6*D31,Plan!$H$7-B31+Plan!$I$7*D31,Plan!$H$8-B31+Plan!$I$8*D31,Plan!$H$9-B31+Plan!$I$9*D31,Plan!$H$10-B31+Plan!$I$10*D31,Plan!$H$11-B31+Plan!$I$11*D31,Plan!$H$12-B31+Plan!$I$12*D31,Plan!$H$13-B31+Plan!$I$13*D31,Plan!$H$14-B31+Plan!$I$14*D31,Plan!$H$15-B31+Plan!$I$15*D31,Plan!$H$16-B31+Plan!$I$16*D31)</f>
        <v>0</v>
      </c>
      <c r="F31" s="11" t="n">
        <f aca="false">C31-E31</f>
        <v>255</v>
      </c>
      <c r="G31" s="17" t="n">
        <f aca="false">D31</f>
        <v>1.24239368407364</v>
      </c>
      <c r="H31" s="16" t="n">
        <f aca="false">Fee*F31+VQ*G31</f>
        <v>17.5891494725891</v>
      </c>
      <c r="I31" s="17" t="n">
        <f aca="false">MAX(0,MIN(1,(GNone-H31)/(GNone-GFull)))</f>
        <v>0.160723368494059</v>
      </c>
      <c r="J31" s="16" t="n">
        <f aca="false">1-A31</f>
        <v>0.75</v>
      </c>
      <c r="K31" s="17" t="n">
        <f aca="false">MIN(I31,J31)</f>
        <v>0.160723368494059</v>
      </c>
      <c r="L31" s="20" t="n">
        <v>0.9218</v>
      </c>
      <c r="M31" s="21" t="n">
        <v>0.02502</v>
      </c>
      <c r="N31" s="21" t="n">
        <v>0.02485</v>
      </c>
      <c r="O31" s="16" t="n">
        <f aca="false">IF(M31&lt;=Alpha,A31,-1)</f>
        <v>0.25</v>
      </c>
      <c r="P31" s="16" t="n">
        <f aca="false">IF(L31&gt;=0.95,A31,-1)</f>
        <v>-1</v>
      </c>
      <c r="Q31" s="17" t="n">
        <f aca="false">MIN(I31^2,J31)</f>
        <v>0.0258320011800771</v>
      </c>
      <c r="R31" s="17" t="n">
        <f aca="false">MIN(SQRT(I31),J31)</f>
        <v>0.400903190925265</v>
      </c>
    </row>
    <row r="32" customFormat="false" ht="15" hidden="false" customHeight="false" outlineLevel="0" collapsed="false">
      <c r="A32" s="16" t="n">
        <v>0.26</v>
      </c>
      <c r="B32" s="11" t="n">
        <f aca="false">DNever-(DNever-DUsual)*A32</f>
        <v>161</v>
      </c>
      <c r="C32" s="11" t="n">
        <f aca="false">SNever-(SNever-SPlaus)*A32</f>
        <v>253.2</v>
      </c>
      <c r="D32" s="18" t="n">
        <f aca="false">MAX(0,(B32-Plan!$H$5)/Plan!$I$5,(B32-Plan!$H$6)/Plan!$I$6,(B32-Plan!$H$7)/Plan!$I$7,(B32-Plan!$H$8)/Plan!$I$8,(B32-Plan!$H$9)/Plan!$I$9,(B32-Plan!$H$10)/Plan!$I$10,(B32-Plan!$H$11)/Plan!$I$11,(B32-Plan!$H$12)/Plan!$I$12,(B32-Plan!$H$13)/Plan!$I$13,(B32-Plan!$H$14)/Plan!$I$14,(B32-Plan!$H$15)/Plan!$I$15,(B32-Plan!$H$16)/Plan!$I$16)</f>
        <v>1.18139159403323</v>
      </c>
      <c r="E32" s="16" t="n">
        <f aca="false">MIN(C32,Plan!$H$5-B32+Plan!$I$5*D32,Plan!$H$6-B32+Plan!$I$6*D32,Plan!$H$7-B32+Plan!$I$7*D32,Plan!$H$8-B32+Plan!$I$8*D32,Plan!$H$9-B32+Plan!$I$9*D32,Plan!$H$10-B32+Plan!$I$10*D32,Plan!$H$11-B32+Plan!$I$11*D32,Plan!$H$12-B32+Plan!$I$12*D32,Plan!$H$13-B32+Plan!$I$13*D32,Plan!$H$14-B32+Plan!$I$14*D32,Plan!$H$15-B32+Plan!$I$15*D32,Plan!$H$16-B32+Plan!$I$16*D32)</f>
        <v>0</v>
      </c>
      <c r="F32" s="11" t="n">
        <f aca="false">C32-E32</f>
        <v>253.2</v>
      </c>
      <c r="G32" s="17" t="n">
        <f aca="false">D32</f>
        <v>1.18139159403323</v>
      </c>
      <c r="H32" s="16" t="n">
        <f aca="false">Fee*F32+VQ*G32</f>
        <v>17.0471327522658</v>
      </c>
      <c r="I32" s="17" t="n">
        <f aca="false">MAX(0,MIN(1,(GNone-H32)/(GNone-GFull)))</f>
        <v>0.196857816515611</v>
      </c>
      <c r="J32" s="16" t="n">
        <f aca="false">1-A32</f>
        <v>0.74</v>
      </c>
      <c r="K32" s="17" t="n">
        <f aca="false">MIN(I32,J32)</f>
        <v>0.196857816515611</v>
      </c>
      <c r="L32" s="20" t="n">
        <v>0.91886</v>
      </c>
      <c r="M32" s="21" t="n">
        <v>0.02676</v>
      </c>
      <c r="N32" s="21" t="n">
        <v>0.02649</v>
      </c>
      <c r="O32" s="16" t="n">
        <f aca="false">IF(M32&lt;=Alpha,A32,-1)</f>
        <v>0.26</v>
      </c>
      <c r="P32" s="16" t="n">
        <f aca="false">IF(L32&gt;=0.95,A32,-1)</f>
        <v>-1</v>
      </c>
      <c r="Q32" s="17" t="n">
        <f aca="false">MIN(I32^2,J32)</f>
        <v>0.0387529999232941</v>
      </c>
      <c r="R32" s="17" t="n">
        <f aca="false">MIN(SQRT(I32),J32)</f>
        <v>0.443686619716677</v>
      </c>
    </row>
    <row r="33" customFormat="false" ht="15" hidden="false" customHeight="false" outlineLevel="0" collapsed="false">
      <c r="A33" s="16" t="n">
        <v>0.27</v>
      </c>
      <c r="B33" s="11" t="n">
        <f aca="false">DNever-(DNever-DUsual)*A33</f>
        <v>159.5</v>
      </c>
      <c r="C33" s="11" t="n">
        <f aca="false">SNever-(SNever-SPlaus)*A33</f>
        <v>251.4</v>
      </c>
      <c r="D33" s="18" t="n">
        <f aca="false">MAX(0,(B33-Plan!$H$5)/Plan!$I$5,(B33-Plan!$H$6)/Plan!$I$6,(B33-Plan!$H$7)/Plan!$I$7,(B33-Plan!$H$8)/Plan!$I$8,(B33-Plan!$H$9)/Plan!$I$9,(B33-Plan!$H$10)/Plan!$I$10,(B33-Plan!$H$11)/Plan!$I$11,(B33-Plan!$H$12)/Plan!$I$12,(B33-Plan!$H$13)/Plan!$I$13,(B33-Plan!$H$14)/Plan!$I$14,(B33-Plan!$H$15)/Plan!$I$15,(B33-Plan!$H$16)/Plan!$I$16)</f>
        <v>1.12038950399282</v>
      </c>
      <c r="E33" s="16" t="n">
        <f aca="false">MIN(C33,Plan!$H$5-B33+Plan!$I$5*D33,Plan!$H$6-B33+Plan!$I$6*D33,Plan!$H$7-B33+Plan!$I$7*D33,Plan!$H$8-B33+Plan!$I$8*D33,Plan!$H$9-B33+Plan!$I$9*D33,Plan!$H$10-B33+Plan!$I$10*D33,Plan!$H$11-B33+Plan!$I$11*D33,Plan!$H$12-B33+Plan!$I$12*D33,Plan!$H$13-B33+Plan!$I$13*D33,Plan!$H$14-B33+Plan!$I$14*D33,Plan!$H$15-B33+Plan!$I$15*D33,Plan!$H$16-B33+Plan!$I$16*D33)</f>
        <v>0</v>
      </c>
      <c r="F33" s="11" t="n">
        <f aca="false">C33-E33</f>
        <v>251.4</v>
      </c>
      <c r="G33" s="17" t="n">
        <f aca="false">D33</f>
        <v>1.12038950399282</v>
      </c>
      <c r="H33" s="16" t="n">
        <f aca="false">Fee*F33+VQ*G33</f>
        <v>16.5051160319426</v>
      </c>
      <c r="I33" s="17" t="n">
        <f aca="false">MAX(0,MIN(1,(GNone-H33)/(GNone-GFull)))</f>
        <v>0.232992264537163</v>
      </c>
      <c r="J33" s="16" t="n">
        <f aca="false">1-A33</f>
        <v>0.73</v>
      </c>
      <c r="K33" s="17" t="n">
        <f aca="false">MIN(I33,J33)</f>
        <v>0.232992264537163</v>
      </c>
      <c r="L33" s="20" t="n">
        <v>0.9157</v>
      </c>
      <c r="M33" s="21" t="n">
        <v>0.02858</v>
      </c>
      <c r="N33" s="21" t="n">
        <v>0.02833</v>
      </c>
      <c r="O33" s="16" t="n">
        <f aca="false">IF(M33&lt;=Alpha,A33,-1)</f>
        <v>0.27</v>
      </c>
      <c r="P33" s="16" t="n">
        <f aca="false">IF(L33&gt;=0.95,A33,-1)</f>
        <v>-1</v>
      </c>
      <c r="Q33" s="17" t="n">
        <f aca="false">MIN(I33^2,J33)</f>
        <v>0.0542853953341553</v>
      </c>
      <c r="R33" s="17" t="n">
        <f aca="false">MIN(SQRT(I33),J33)</f>
        <v>0.482692722689252</v>
      </c>
    </row>
    <row r="34" customFormat="false" ht="15" hidden="false" customHeight="false" outlineLevel="0" collapsed="false">
      <c r="A34" s="16" t="n">
        <v>0.28</v>
      </c>
      <c r="B34" s="11" t="n">
        <f aca="false">DNever-(DNever-DUsual)*A34</f>
        <v>158</v>
      </c>
      <c r="C34" s="11" t="n">
        <f aca="false">SNever-(SNever-SPlaus)*A34</f>
        <v>249.6</v>
      </c>
      <c r="D34" s="18" t="n">
        <f aca="false">MAX(0,(B34-Plan!$H$5)/Plan!$I$5,(B34-Plan!$H$6)/Plan!$I$6,(B34-Plan!$H$7)/Plan!$I$7,(B34-Plan!$H$8)/Plan!$I$8,(B34-Plan!$H$9)/Plan!$I$9,(B34-Plan!$H$10)/Plan!$I$10,(B34-Plan!$H$11)/Plan!$I$11,(B34-Plan!$H$12)/Plan!$I$12,(B34-Plan!$H$13)/Plan!$I$13,(B34-Plan!$H$14)/Plan!$I$14,(B34-Plan!$H$15)/Plan!$I$15,(B34-Plan!$H$16)/Plan!$I$16)</f>
        <v>1.05938741395241</v>
      </c>
      <c r="E34" s="16" t="n">
        <f aca="false">MIN(C34,Plan!$H$5-B34+Plan!$I$5*D34,Plan!$H$6-B34+Plan!$I$6*D34,Plan!$H$7-B34+Plan!$I$7*D34,Plan!$H$8-B34+Plan!$I$8*D34,Plan!$H$9-B34+Plan!$I$9*D34,Plan!$H$10-B34+Plan!$I$10*D34,Plan!$H$11-B34+Plan!$I$11*D34,Plan!$H$12-B34+Plan!$I$12*D34,Plan!$H$13-B34+Plan!$I$13*D34,Plan!$H$14-B34+Plan!$I$14*D34,Plan!$H$15-B34+Plan!$I$15*D34,Plan!$H$16-B34+Plan!$I$16*D34)</f>
        <v>0</v>
      </c>
      <c r="F34" s="11" t="n">
        <f aca="false">C34-E34</f>
        <v>249.6</v>
      </c>
      <c r="G34" s="17" t="n">
        <f aca="false">D34</f>
        <v>1.05938741395241</v>
      </c>
      <c r="H34" s="16" t="n">
        <f aca="false">Fee*F34+VQ*G34</f>
        <v>15.9630993116193</v>
      </c>
      <c r="I34" s="17" t="n">
        <f aca="false">MAX(0,MIN(1,(GNone-H34)/(GNone-GFull)))</f>
        <v>0.269126712558715</v>
      </c>
      <c r="J34" s="16" t="n">
        <f aca="false">1-A34</f>
        <v>0.72</v>
      </c>
      <c r="K34" s="17" t="n">
        <f aca="false">MIN(I34,J34)</f>
        <v>0.269126712558715</v>
      </c>
      <c r="L34" s="20" t="n">
        <v>0.91244</v>
      </c>
      <c r="M34" s="21" t="n">
        <v>0.03064</v>
      </c>
      <c r="N34" s="21" t="n">
        <v>0.03024</v>
      </c>
      <c r="O34" s="16" t="n">
        <f aca="false">IF(M34&lt;=Alpha,A34,-1)</f>
        <v>0.28</v>
      </c>
      <c r="P34" s="16" t="n">
        <f aca="false">IF(L34&gt;=0.95,A34,-1)</f>
        <v>-1</v>
      </c>
      <c r="Q34" s="17" t="n">
        <f aca="false">MIN(I34^2,J34)</f>
        <v>0.0724291874126612</v>
      </c>
      <c r="R34" s="17" t="n">
        <f aca="false">MIN(SQRT(I34),J34)</f>
        <v>0.518774240454087</v>
      </c>
    </row>
    <row r="35" customFormat="false" ht="15" hidden="false" customHeight="false" outlineLevel="0" collapsed="false">
      <c r="A35" s="16" t="n">
        <v>0.29</v>
      </c>
      <c r="B35" s="11" t="n">
        <f aca="false">DNever-(DNever-DUsual)*A35</f>
        <v>156.5</v>
      </c>
      <c r="C35" s="11" t="n">
        <f aca="false">SNever-(SNever-SPlaus)*A35</f>
        <v>247.8</v>
      </c>
      <c r="D35" s="18" t="n">
        <f aca="false">MAX(0,(B35-Plan!$H$5)/Plan!$I$5,(B35-Plan!$H$6)/Plan!$I$6,(B35-Plan!$H$7)/Plan!$I$7,(B35-Plan!$H$8)/Plan!$I$8,(B35-Plan!$H$9)/Plan!$I$9,(B35-Plan!$H$10)/Plan!$I$10,(B35-Plan!$H$11)/Plan!$I$11,(B35-Plan!$H$12)/Plan!$I$12,(B35-Plan!$H$13)/Plan!$I$13,(B35-Plan!$H$14)/Plan!$I$14,(B35-Plan!$H$15)/Plan!$I$15,(B35-Plan!$H$16)/Plan!$I$16)</f>
        <v>0.998385323912</v>
      </c>
      <c r="E35" s="16" t="n">
        <f aca="false">MIN(C35,Plan!$H$5-B35+Plan!$I$5*D35,Plan!$H$6-B35+Plan!$I$6*D35,Plan!$H$7-B35+Plan!$I$7*D35,Plan!$H$8-B35+Plan!$I$8*D35,Plan!$H$9-B35+Plan!$I$9*D35,Plan!$H$10-B35+Plan!$I$10*D35,Plan!$H$11-B35+Plan!$I$11*D35,Plan!$H$12-B35+Plan!$I$12*D35,Plan!$H$13-B35+Plan!$I$13*D35,Plan!$H$14-B35+Plan!$I$14*D35,Plan!$H$15-B35+Plan!$I$15*D35,Plan!$H$16-B35+Plan!$I$16*D35)</f>
        <v>0</v>
      </c>
      <c r="F35" s="11" t="n">
        <f aca="false">C35-E35</f>
        <v>247.8</v>
      </c>
      <c r="G35" s="17" t="n">
        <f aca="false">D35</f>
        <v>0.998385323912</v>
      </c>
      <c r="H35" s="16" t="n">
        <f aca="false">Fee*F35+VQ*G35</f>
        <v>15.421082591296</v>
      </c>
      <c r="I35" s="17" t="n">
        <f aca="false">MAX(0,MIN(1,(GNone-H35)/(GNone-GFull)))</f>
        <v>0.305261160580267</v>
      </c>
      <c r="J35" s="16" t="n">
        <f aca="false">1-A35</f>
        <v>0.71</v>
      </c>
      <c r="K35" s="17" t="n">
        <f aca="false">MIN(I35,J35)</f>
        <v>0.305261160580267</v>
      </c>
      <c r="L35" s="20" t="n">
        <v>0.90955</v>
      </c>
      <c r="M35" s="21" t="n">
        <v>0.03251</v>
      </c>
      <c r="N35" s="21" t="n">
        <v>0.03204</v>
      </c>
      <c r="O35" s="16" t="n">
        <f aca="false">IF(M35&lt;=Alpha,A35,-1)</f>
        <v>0.29</v>
      </c>
      <c r="P35" s="16" t="n">
        <f aca="false">IF(L35&gt;=0.95,A35,-1)</f>
        <v>-1</v>
      </c>
      <c r="Q35" s="17" t="n">
        <f aca="false">MIN(I35^2,J35)</f>
        <v>0.0931843761588114</v>
      </c>
      <c r="R35" s="17" t="n">
        <f aca="false">MIN(SQRT(I35),J35)</f>
        <v>0.55250444394617</v>
      </c>
    </row>
    <row r="36" customFormat="false" ht="15" hidden="false" customHeight="false" outlineLevel="0" collapsed="false">
      <c r="A36" s="16" t="n">
        <v>0.3</v>
      </c>
      <c r="B36" s="11" t="n">
        <f aca="false">DNever-(DNever-DUsual)*A36</f>
        <v>155</v>
      </c>
      <c r="C36" s="11" t="n">
        <f aca="false">SNever-(SNever-SPlaus)*A36</f>
        <v>246</v>
      </c>
      <c r="D36" s="18" t="n">
        <f aca="false">MAX(0,(B36-Plan!$H$5)/Plan!$I$5,(B36-Plan!$H$6)/Plan!$I$6,(B36-Plan!$H$7)/Plan!$I$7,(B36-Plan!$H$8)/Plan!$I$8,(B36-Plan!$H$9)/Plan!$I$9,(B36-Plan!$H$10)/Plan!$I$10,(B36-Plan!$H$11)/Plan!$I$11,(B36-Plan!$H$12)/Plan!$I$12,(B36-Plan!$H$13)/Plan!$I$13,(B36-Plan!$H$14)/Plan!$I$14,(B36-Plan!$H$15)/Plan!$I$15,(B36-Plan!$H$16)/Plan!$I$16)</f>
        <v>0.93738323387159</v>
      </c>
      <c r="E36" s="16" t="n">
        <f aca="false">MIN(C36,Plan!$H$5-B36+Plan!$I$5*D36,Plan!$H$6-B36+Plan!$I$6*D36,Plan!$H$7-B36+Plan!$I$7*D36,Plan!$H$8-B36+Plan!$I$8*D36,Plan!$H$9-B36+Plan!$I$9*D36,Plan!$H$10-B36+Plan!$I$10*D36,Plan!$H$11-B36+Plan!$I$11*D36,Plan!$H$12-B36+Plan!$I$12*D36,Plan!$H$13-B36+Plan!$I$13*D36,Plan!$H$14-B36+Plan!$I$14*D36,Plan!$H$15-B36+Plan!$I$15*D36,Plan!$H$16-B36+Plan!$I$16*D36)</f>
        <v>0</v>
      </c>
      <c r="F36" s="11" t="n">
        <f aca="false">C36-E36</f>
        <v>246</v>
      </c>
      <c r="G36" s="17" t="n">
        <f aca="false">D36</f>
        <v>0.93738323387159</v>
      </c>
      <c r="H36" s="16" t="n">
        <f aca="false">Fee*F36+VQ*G36</f>
        <v>14.8790658709727</v>
      </c>
      <c r="I36" s="17" t="n">
        <f aca="false">MAX(0,MIN(1,(GNone-H36)/(GNone-GFull)))</f>
        <v>0.341395608601819</v>
      </c>
      <c r="J36" s="16" t="n">
        <f aca="false">1-A36</f>
        <v>0.7</v>
      </c>
      <c r="K36" s="17" t="n">
        <f aca="false">MIN(I36,J36)</f>
        <v>0.341395608601819</v>
      </c>
      <c r="L36" s="20" t="n">
        <v>0.90589</v>
      </c>
      <c r="M36" s="21" t="n">
        <v>0.03454</v>
      </c>
      <c r="N36" s="21" t="n">
        <v>0.03425</v>
      </c>
      <c r="O36" s="16" t="n">
        <f aca="false">IF(M36&lt;=Alpha,A36,-1)</f>
        <v>0.3</v>
      </c>
      <c r="P36" s="16" t="n">
        <f aca="false">IF(L36&gt;=0.95,A36,-1)</f>
        <v>-1</v>
      </c>
      <c r="Q36" s="17" t="n">
        <f aca="false">MIN(I36^2,J36)</f>
        <v>0.116550961572606</v>
      </c>
      <c r="R36" s="17" t="n">
        <f aca="false">MIN(SQRT(I36),J36)</f>
        <v>0.584290688443534</v>
      </c>
    </row>
    <row r="37" customFormat="false" ht="15" hidden="false" customHeight="false" outlineLevel="0" collapsed="false">
      <c r="A37" s="16" t="n">
        <v>0.31</v>
      </c>
      <c r="B37" s="11" t="n">
        <f aca="false">DNever-(DNever-DUsual)*A37</f>
        <v>153.5</v>
      </c>
      <c r="C37" s="11" t="n">
        <f aca="false">SNever-(SNever-SPlaus)*A37</f>
        <v>244.2</v>
      </c>
      <c r="D37" s="18" t="n">
        <f aca="false">MAX(0,(B37-Plan!$H$5)/Plan!$I$5,(B37-Plan!$H$6)/Plan!$I$6,(B37-Plan!$H$7)/Plan!$I$7,(B37-Plan!$H$8)/Plan!$I$8,(B37-Plan!$H$9)/Plan!$I$9,(B37-Plan!$H$10)/Plan!$I$10,(B37-Plan!$H$11)/Plan!$I$11,(B37-Plan!$H$12)/Plan!$I$12,(B37-Plan!$H$13)/Plan!$I$13,(B37-Plan!$H$14)/Plan!$I$14,(B37-Plan!$H$15)/Plan!$I$15,(B37-Plan!$H$16)/Plan!$I$16)</f>
        <v>0.87638114383118</v>
      </c>
      <c r="E37" s="16" t="n">
        <f aca="false">MIN(C37,Plan!$H$5-B37+Plan!$I$5*D37,Plan!$H$6-B37+Plan!$I$6*D37,Plan!$H$7-B37+Plan!$I$7*D37,Plan!$H$8-B37+Plan!$I$8*D37,Plan!$H$9-B37+Plan!$I$9*D37,Plan!$H$10-B37+Plan!$I$10*D37,Plan!$H$11-B37+Plan!$I$11*D37,Plan!$H$12-B37+Plan!$I$12*D37,Plan!$H$13-B37+Plan!$I$13*D37,Plan!$H$14-B37+Plan!$I$14*D37,Plan!$H$15-B37+Plan!$I$15*D37,Plan!$H$16-B37+Plan!$I$16*D37)</f>
        <v>0</v>
      </c>
      <c r="F37" s="11" t="n">
        <f aca="false">C37-E37</f>
        <v>244.2</v>
      </c>
      <c r="G37" s="17" t="n">
        <f aca="false">D37</f>
        <v>0.87638114383118</v>
      </c>
      <c r="H37" s="16" t="n">
        <f aca="false">Fee*F37+VQ*G37</f>
        <v>14.3370491506494</v>
      </c>
      <c r="I37" s="17" t="n">
        <f aca="false">MAX(0,MIN(1,(GNone-H37)/(GNone-GFull)))</f>
        <v>0.377530056623371</v>
      </c>
      <c r="J37" s="16" t="n">
        <f aca="false">1-A37</f>
        <v>0.69</v>
      </c>
      <c r="K37" s="17" t="n">
        <f aca="false">MIN(I37,J37)</f>
        <v>0.377530056623371</v>
      </c>
      <c r="L37" s="20" t="n">
        <v>0.90232</v>
      </c>
      <c r="M37" s="21" t="n">
        <v>0.03701</v>
      </c>
      <c r="N37" s="21" t="n">
        <v>0.0364</v>
      </c>
      <c r="O37" s="16" t="n">
        <f aca="false">IF(M37&lt;=Alpha,A37,-1)</f>
        <v>0.31</v>
      </c>
      <c r="P37" s="16" t="n">
        <f aca="false">IF(L37&gt;=0.95,A37,-1)</f>
        <v>-1</v>
      </c>
      <c r="Q37" s="17" t="n">
        <f aca="false">MIN(I37^2,J37)</f>
        <v>0.142528943654045</v>
      </c>
      <c r="R37" s="17" t="n">
        <f aca="false">MIN(SQRT(I37),J37)</f>
        <v>0.614434745618581</v>
      </c>
    </row>
    <row r="38" customFormat="false" ht="15" hidden="false" customHeight="false" outlineLevel="0" collapsed="false">
      <c r="A38" s="16" t="n">
        <v>0.32</v>
      </c>
      <c r="B38" s="11" t="n">
        <f aca="false">DNever-(DNever-DUsual)*A38</f>
        <v>152</v>
      </c>
      <c r="C38" s="11" t="n">
        <f aca="false">SNever-(SNever-SPlaus)*A38</f>
        <v>242.4</v>
      </c>
      <c r="D38" s="18" t="n">
        <f aca="false">MAX(0,(B38-Plan!$H$5)/Plan!$I$5,(B38-Plan!$H$6)/Plan!$I$6,(B38-Plan!$H$7)/Plan!$I$7,(B38-Plan!$H$8)/Plan!$I$8,(B38-Plan!$H$9)/Plan!$I$9,(B38-Plan!$H$10)/Plan!$I$10,(B38-Plan!$H$11)/Plan!$I$11,(B38-Plan!$H$12)/Plan!$I$12,(B38-Plan!$H$13)/Plan!$I$13,(B38-Plan!$H$14)/Plan!$I$14,(B38-Plan!$H$15)/Plan!$I$15,(B38-Plan!$H$16)/Plan!$I$16)</f>
        <v>0.81537905379077</v>
      </c>
      <c r="E38" s="16" t="n">
        <f aca="false">MIN(C38,Plan!$H$5-B38+Plan!$I$5*D38,Plan!$H$6-B38+Plan!$I$6*D38,Plan!$H$7-B38+Plan!$I$7*D38,Plan!$H$8-B38+Plan!$I$8*D38,Plan!$H$9-B38+Plan!$I$9*D38,Plan!$H$10-B38+Plan!$I$10*D38,Plan!$H$11-B38+Plan!$I$11*D38,Plan!$H$12-B38+Plan!$I$12*D38,Plan!$H$13-B38+Plan!$I$13*D38,Plan!$H$14-B38+Plan!$I$14*D38,Plan!$H$15-B38+Plan!$I$15*D38,Plan!$H$16-B38+Plan!$I$16*D38)</f>
        <v>0</v>
      </c>
      <c r="F38" s="11" t="n">
        <f aca="false">C38-E38</f>
        <v>242.4</v>
      </c>
      <c r="G38" s="17" t="n">
        <f aca="false">D38</f>
        <v>0.81537905379077</v>
      </c>
      <c r="H38" s="16" t="n">
        <f aca="false">Fee*F38+VQ*G38</f>
        <v>13.7950324303262</v>
      </c>
      <c r="I38" s="17" t="n">
        <f aca="false">MAX(0,MIN(1,(GNone-H38)/(GNone-GFull)))</f>
        <v>0.413664504644922</v>
      </c>
      <c r="J38" s="16" t="n">
        <f aca="false">1-A38</f>
        <v>0.68</v>
      </c>
      <c r="K38" s="17" t="n">
        <f aca="false">MIN(I38,J38)</f>
        <v>0.413664504644922</v>
      </c>
      <c r="L38" s="20" t="n">
        <v>0.89839</v>
      </c>
      <c r="M38" s="21" t="n">
        <v>0.03932</v>
      </c>
      <c r="N38" s="21" t="n">
        <v>0.0384</v>
      </c>
      <c r="O38" s="16" t="n">
        <f aca="false">IF(M38&lt;=Alpha,A38,-1)</f>
        <v>0.32</v>
      </c>
      <c r="P38" s="16" t="n">
        <f aca="false">IF(L38&gt;=0.95,A38,-1)</f>
        <v>-1</v>
      </c>
      <c r="Q38" s="17" t="n">
        <f aca="false">MIN(I38^2,J38)</f>
        <v>0.171118322403129</v>
      </c>
      <c r="R38" s="17" t="n">
        <f aca="false">MIN(SQRT(I38),J38)</f>
        <v>0.643167555653208</v>
      </c>
    </row>
    <row r="39" customFormat="false" ht="15" hidden="false" customHeight="false" outlineLevel="0" collapsed="false">
      <c r="A39" s="16" t="n">
        <v>0.33</v>
      </c>
      <c r="B39" s="11" t="n">
        <f aca="false">DNever-(DNever-DUsual)*A39</f>
        <v>150.5</v>
      </c>
      <c r="C39" s="11" t="n">
        <f aca="false">SNever-(SNever-SPlaus)*A39</f>
        <v>240.6</v>
      </c>
      <c r="D39" s="18" t="n">
        <f aca="false">MAX(0,(B39-Plan!$H$5)/Plan!$I$5,(B39-Plan!$H$6)/Plan!$I$6,(B39-Plan!$H$7)/Plan!$I$7,(B39-Plan!$H$8)/Plan!$I$8,(B39-Plan!$H$9)/Plan!$I$9,(B39-Plan!$H$10)/Plan!$I$10,(B39-Plan!$H$11)/Plan!$I$11,(B39-Plan!$H$12)/Plan!$I$12,(B39-Plan!$H$13)/Plan!$I$13,(B39-Plan!$H$14)/Plan!$I$14,(B39-Plan!$H$15)/Plan!$I$15,(B39-Plan!$H$16)/Plan!$I$16)</f>
        <v>0.754376963750361</v>
      </c>
      <c r="E39" s="16" t="n">
        <f aca="false">MIN(C39,Plan!$H$5-B39+Plan!$I$5*D39,Plan!$H$6-B39+Plan!$I$6*D39,Plan!$H$7-B39+Plan!$I$7*D39,Plan!$H$8-B39+Plan!$I$8*D39,Plan!$H$9-B39+Plan!$I$9*D39,Plan!$H$10-B39+Plan!$I$10*D39,Plan!$H$11-B39+Plan!$I$11*D39,Plan!$H$12-B39+Plan!$I$12*D39,Plan!$H$13-B39+Plan!$I$13*D39,Plan!$H$14-B39+Plan!$I$14*D39,Plan!$H$15-B39+Plan!$I$15*D39,Plan!$H$16-B39+Plan!$I$16*D39)</f>
        <v>0</v>
      </c>
      <c r="F39" s="11" t="n">
        <f aca="false">C39-E39</f>
        <v>240.6</v>
      </c>
      <c r="G39" s="17" t="n">
        <f aca="false">D39</f>
        <v>0.754376963750361</v>
      </c>
      <c r="H39" s="16" t="n">
        <f aca="false">Fee*F39+VQ*G39</f>
        <v>13.2530157100029</v>
      </c>
      <c r="I39" s="17" t="n">
        <f aca="false">MAX(0,MIN(1,(GNone-H39)/(GNone-GFull)))</f>
        <v>0.449798952666474</v>
      </c>
      <c r="J39" s="16" t="n">
        <f aca="false">1-A39</f>
        <v>0.67</v>
      </c>
      <c r="K39" s="17" t="n">
        <f aca="false">MIN(I39,J39)</f>
        <v>0.449798952666474</v>
      </c>
      <c r="L39" s="20" t="n">
        <v>0.89407</v>
      </c>
      <c r="M39" s="21" t="n">
        <v>0.04178</v>
      </c>
      <c r="N39" s="21" t="n">
        <v>0.04077</v>
      </c>
      <c r="O39" s="16" t="n">
        <f aca="false">IF(M39&lt;=Alpha,A39,-1)</f>
        <v>0.33</v>
      </c>
      <c r="P39" s="16" t="n">
        <f aca="false">IF(L39&gt;=0.95,A39,-1)</f>
        <v>-1</v>
      </c>
      <c r="Q39" s="17" t="n">
        <f aca="false">MIN(I39^2,J39)</f>
        <v>0.202319097819857</v>
      </c>
      <c r="R39" s="17" t="n">
        <f aca="false">MIN(SQRT(I39),J39)</f>
        <v>0.67</v>
      </c>
    </row>
    <row r="40" customFormat="false" ht="15" hidden="false" customHeight="false" outlineLevel="0" collapsed="false">
      <c r="A40" s="16" t="n">
        <v>0.34</v>
      </c>
      <c r="B40" s="11" t="n">
        <f aca="false">DNever-(DNever-DUsual)*A40</f>
        <v>149</v>
      </c>
      <c r="C40" s="11" t="n">
        <f aca="false">SNever-(SNever-SPlaus)*A40</f>
        <v>238.8</v>
      </c>
      <c r="D40" s="18" t="n">
        <f aca="false">MAX(0,(B40-Plan!$H$5)/Plan!$I$5,(B40-Plan!$H$6)/Plan!$I$6,(B40-Plan!$H$7)/Plan!$I$7,(B40-Plan!$H$8)/Plan!$I$8,(B40-Plan!$H$9)/Plan!$I$9,(B40-Plan!$H$10)/Plan!$I$10,(B40-Plan!$H$11)/Plan!$I$11,(B40-Plan!$H$12)/Plan!$I$12,(B40-Plan!$H$13)/Plan!$I$13,(B40-Plan!$H$14)/Plan!$I$14,(B40-Plan!$H$15)/Plan!$I$15,(B40-Plan!$H$16)/Plan!$I$16)</f>
        <v>0.693374873709951</v>
      </c>
      <c r="E40" s="16" t="n">
        <f aca="false">MIN(C40,Plan!$H$5-B40+Plan!$I$5*D40,Plan!$H$6-B40+Plan!$I$6*D40,Plan!$H$7-B40+Plan!$I$7*D40,Plan!$H$8-B40+Plan!$I$8*D40,Plan!$H$9-B40+Plan!$I$9*D40,Plan!$H$10-B40+Plan!$I$10*D40,Plan!$H$11-B40+Plan!$I$11*D40,Plan!$H$12-B40+Plan!$I$12*D40,Plan!$H$13-B40+Plan!$I$13*D40,Plan!$H$14-B40+Plan!$I$14*D40,Plan!$H$15-B40+Plan!$I$15*D40,Plan!$H$16-B40+Plan!$I$16*D40)</f>
        <v>0</v>
      </c>
      <c r="F40" s="11" t="n">
        <f aca="false">C40-E40</f>
        <v>238.8</v>
      </c>
      <c r="G40" s="17" t="n">
        <f aca="false">D40</f>
        <v>0.693374873709951</v>
      </c>
      <c r="H40" s="16" t="n">
        <f aca="false">Fee*F40+VQ*G40</f>
        <v>12.7109989896796</v>
      </c>
      <c r="I40" s="17" t="n">
        <f aca="false">MAX(0,MIN(1,(GNone-H40)/(GNone-GFull)))</f>
        <v>0.485933400688026</v>
      </c>
      <c r="J40" s="16" t="n">
        <f aca="false">1-A40</f>
        <v>0.66</v>
      </c>
      <c r="K40" s="17" t="n">
        <f aca="false">MIN(I40,J40)</f>
        <v>0.485933400688026</v>
      </c>
      <c r="L40" s="20" t="n">
        <v>0.89</v>
      </c>
      <c r="M40" s="21" t="n">
        <v>0.04442</v>
      </c>
      <c r="N40" s="21" t="n">
        <v>0.04338</v>
      </c>
      <c r="O40" s="16" t="n">
        <f aca="false">IF(M40&lt;=Alpha,A40,-1)</f>
        <v>0.34</v>
      </c>
      <c r="P40" s="16" t="n">
        <f aca="false">IF(L40&gt;=0.95,A40,-1)</f>
        <v>-1</v>
      </c>
      <c r="Q40" s="17" t="n">
        <f aca="false">MIN(I40^2,J40)</f>
        <v>0.23613126990423</v>
      </c>
      <c r="R40" s="17" t="n">
        <f aca="false">MIN(SQRT(I40),J40)</f>
        <v>0.66</v>
      </c>
    </row>
    <row r="41" customFormat="false" ht="15" hidden="false" customHeight="false" outlineLevel="0" collapsed="false">
      <c r="A41" s="16" t="n">
        <v>0.35</v>
      </c>
      <c r="B41" s="11" t="n">
        <f aca="false">DNever-(DNever-DUsual)*A41</f>
        <v>147.5</v>
      </c>
      <c r="C41" s="11" t="n">
        <f aca="false">SNever-(SNever-SPlaus)*A41</f>
        <v>237</v>
      </c>
      <c r="D41" s="18" t="n">
        <f aca="false">MAX(0,(B41-Plan!$H$5)/Plan!$I$5,(B41-Plan!$H$6)/Plan!$I$6,(B41-Plan!$H$7)/Plan!$I$7,(B41-Plan!$H$8)/Plan!$I$8,(B41-Plan!$H$9)/Plan!$I$9,(B41-Plan!$H$10)/Plan!$I$10,(B41-Plan!$H$11)/Plan!$I$11,(B41-Plan!$H$12)/Plan!$I$12,(B41-Plan!$H$13)/Plan!$I$13,(B41-Plan!$H$14)/Plan!$I$14,(B41-Plan!$H$15)/Plan!$I$15,(B41-Plan!$H$16)/Plan!$I$16)</f>
        <v>0.632372783669541</v>
      </c>
      <c r="E41" s="16" t="n">
        <f aca="false">MIN(C41,Plan!$H$5-B41+Plan!$I$5*D41,Plan!$H$6-B41+Plan!$I$6*D41,Plan!$H$7-B41+Plan!$I$7*D41,Plan!$H$8-B41+Plan!$I$8*D41,Plan!$H$9-B41+Plan!$I$9*D41,Plan!$H$10-B41+Plan!$I$10*D41,Plan!$H$11-B41+Plan!$I$11*D41,Plan!$H$12-B41+Plan!$I$12*D41,Plan!$H$13-B41+Plan!$I$13*D41,Plan!$H$14-B41+Plan!$I$14*D41,Plan!$H$15-B41+Plan!$I$15*D41,Plan!$H$16-B41+Plan!$I$16*D41)</f>
        <v>0</v>
      </c>
      <c r="F41" s="11" t="n">
        <f aca="false">C41-E41</f>
        <v>237</v>
      </c>
      <c r="G41" s="17" t="n">
        <f aca="false">D41</f>
        <v>0.632372783669541</v>
      </c>
      <c r="H41" s="16" t="n">
        <f aca="false">Fee*F41+VQ*G41</f>
        <v>12.1689822693563</v>
      </c>
      <c r="I41" s="17" t="n">
        <f aca="false">MAX(0,MIN(1,(GNone-H41)/(GNone-GFull)))</f>
        <v>0.522067848709578</v>
      </c>
      <c r="J41" s="16" t="n">
        <f aca="false">1-A41</f>
        <v>0.65</v>
      </c>
      <c r="K41" s="17" t="n">
        <f aca="false">MIN(I41,J41)</f>
        <v>0.522067848709578</v>
      </c>
      <c r="L41" s="20" t="n">
        <v>0.88533</v>
      </c>
      <c r="M41" s="21" t="n">
        <v>0.04712</v>
      </c>
      <c r="N41" s="21" t="n">
        <v>0.04617</v>
      </c>
      <c r="O41" s="16" t="n">
        <f aca="false">IF(M41&lt;=Alpha,A41,-1)</f>
        <v>0.35</v>
      </c>
      <c r="P41" s="16" t="n">
        <f aca="false">IF(L41&gt;=0.95,A41,-1)</f>
        <v>-1</v>
      </c>
      <c r="Q41" s="17" t="n">
        <f aca="false">MIN(I41^2,J41)</f>
        <v>0.272554838656247</v>
      </c>
      <c r="R41" s="17" t="n">
        <f aca="false">MIN(SQRT(I41),J41)</f>
        <v>0.65</v>
      </c>
    </row>
    <row r="42" customFormat="false" ht="15" hidden="false" customHeight="false" outlineLevel="0" collapsed="false">
      <c r="A42" s="16" t="n">
        <v>0.36</v>
      </c>
      <c r="B42" s="11" t="n">
        <f aca="false">DNever-(DNever-DUsual)*A42</f>
        <v>146</v>
      </c>
      <c r="C42" s="11" t="n">
        <f aca="false">SNever-(SNever-SPlaus)*A42</f>
        <v>235.2</v>
      </c>
      <c r="D42" s="18" t="n">
        <f aca="false">MAX(0,(B42-Plan!$H$5)/Plan!$I$5,(B42-Plan!$H$6)/Plan!$I$6,(B42-Plan!$H$7)/Plan!$I$7,(B42-Plan!$H$8)/Plan!$I$8,(B42-Plan!$H$9)/Plan!$I$9,(B42-Plan!$H$10)/Plan!$I$10,(B42-Plan!$H$11)/Plan!$I$11,(B42-Plan!$H$12)/Plan!$I$12,(B42-Plan!$H$13)/Plan!$I$13,(B42-Plan!$H$14)/Plan!$I$14,(B42-Plan!$H$15)/Plan!$I$15,(B42-Plan!$H$16)/Plan!$I$16)</f>
        <v>0.571370693629131</v>
      </c>
      <c r="E42" s="16" t="n">
        <f aca="false">MIN(C42,Plan!$H$5-B42+Plan!$I$5*D42,Plan!$H$6-B42+Plan!$I$6*D42,Plan!$H$7-B42+Plan!$I$7*D42,Plan!$H$8-B42+Plan!$I$8*D42,Plan!$H$9-B42+Plan!$I$9*D42,Plan!$H$10-B42+Plan!$I$10*D42,Plan!$H$11-B42+Plan!$I$11*D42,Plan!$H$12-B42+Plan!$I$12*D42,Plan!$H$13-B42+Plan!$I$13*D42,Plan!$H$14-B42+Plan!$I$14*D42,Plan!$H$15-B42+Plan!$I$15*D42,Plan!$H$16-B42+Plan!$I$16*D42)</f>
        <v>0</v>
      </c>
      <c r="F42" s="11" t="n">
        <f aca="false">C42-E42</f>
        <v>235.2</v>
      </c>
      <c r="G42" s="17" t="n">
        <f aca="false">D42</f>
        <v>0.571370693629131</v>
      </c>
      <c r="H42" s="16" t="n">
        <f aca="false">Fee*F42+VQ*G42</f>
        <v>11.626965549033</v>
      </c>
      <c r="I42" s="17" t="n">
        <f aca="false">MAX(0,MIN(1,(GNone-H42)/(GNone-GFull)))</f>
        <v>0.55820229673113</v>
      </c>
      <c r="J42" s="16" t="n">
        <f aca="false">1-A42</f>
        <v>0.64</v>
      </c>
      <c r="K42" s="17" t="n">
        <f aca="false">MIN(I42,J42)</f>
        <v>0.55820229673113</v>
      </c>
      <c r="L42" s="20" t="n">
        <v>0.88048</v>
      </c>
      <c r="M42" s="21" t="n">
        <v>0.05009</v>
      </c>
      <c r="N42" s="21" t="n">
        <v>0.04897</v>
      </c>
      <c r="O42" s="16" t="n">
        <f aca="false">IF(M42&lt;=Alpha,A42,-1)</f>
        <v>-1</v>
      </c>
      <c r="P42" s="16" t="n">
        <f aca="false">IF(L42&gt;=0.95,A42,-1)</f>
        <v>-1</v>
      </c>
      <c r="Q42" s="17" t="n">
        <f aca="false">MIN(I42^2,J42)</f>
        <v>0.311589804075909</v>
      </c>
      <c r="R42" s="17" t="n">
        <f aca="false">MIN(SQRT(I42),J42)</f>
        <v>0.64</v>
      </c>
    </row>
    <row r="43" customFormat="false" ht="15" hidden="false" customHeight="false" outlineLevel="0" collapsed="false">
      <c r="A43" s="16" t="n">
        <v>0.37</v>
      </c>
      <c r="B43" s="11" t="n">
        <f aca="false">DNever-(DNever-DUsual)*A43</f>
        <v>144.5</v>
      </c>
      <c r="C43" s="11" t="n">
        <f aca="false">SNever-(SNever-SPlaus)*A43</f>
        <v>233.4</v>
      </c>
      <c r="D43" s="18" t="n">
        <f aca="false">MAX(0,(B43-Plan!$H$5)/Plan!$I$5,(B43-Plan!$H$6)/Plan!$I$6,(B43-Plan!$H$7)/Plan!$I$7,(B43-Plan!$H$8)/Plan!$I$8,(B43-Plan!$H$9)/Plan!$I$9,(B43-Plan!$H$10)/Plan!$I$10,(B43-Plan!$H$11)/Plan!$I$11,(B43-Plan!$H$12)/Plan!$I$12,(B43-Plan!$H$13)/Plan!$I$13,(B43-Plan!$H$14)/Plan!$I$14,(B43-Plan!$H$15)/Plan!$I$15,(B43-Plan!$H$16)/Plan!$I$16)</f>
        <v>0.510368603588721</v>
      </c>
      <c r="E43" s="16" t="n">
        <f aca="false">MIN(C43,Plan!$H$5-B43+Plan!$I$5*D43,Plan!$H$6-B43+Plan!$I$6*D43,Plan!$H$7-B43+Plan!$I$7*D43,Plan!$H$8-B43+Plan!$I$8*D43,Plan!$H$9-B43+Plan!$I$9*D43,Plan!$H$10-B43+Plan!$I$10*D43,Plan!$H$11-B43+Plan!$I$11*D43,Plan!$H$12-B43+Plan!$I$12*D43,Plan!$H$13-B43+Plan!$I$13*D43,Plan!$H$14-B43+Plan!$I$14*D43,Plan!$H$15-B43+Plan!$I$15*D43,Plan!$H$16-B43+Plan!$I$16*D43)</f>
        <v>0</v>
      </c>
      <c r="F43" s="11" t="n">
        <f aca="false">C43-E43</f>
        <v>233.4</v>
      </c>
      <c r="G43" s="17" t="n">
        <f aca="false">D43</f>
        <v>0.510368603588721</v>
      </c>
      <c r="H43" s="16" t="n">
        <f aca="false">Fee*F43+VQ*G43</f>
        <v>11.0849488287098</v>
      </c>
      <c r="I43" s="17" t="n">
        <f aca="false">MAX(0,MIN(1,(GNone-H43)/(GNone-GFull)))</f>
        <v>0.594336744752682</v>
      </c>
      <c r="J43" s="16" t="n">
        <f aca="false">1-A43</f>
        <v>0.63</v>
      </c>
      <c r="K43" s="17" t="n">
        <f aca="false">MIN(I43,J43)</f>
        <v>0.594336744752682</v>
      </c>
      <c r="L43" s="20" t="n">
        <v>0.87566</v>
      </c>
      <c r="M43" s="21" t="n">
        <v>0.05297</v>
      </c>
      <c r="N43" s="21" t="n">
        <v>0.05205</v>
      </c>
      <c r="O43" s="16" t="n">
        <f aca="false">IF(M43&lt;=Alpha,A43,-1)</f>
        <v>-1</v>
      </c>
      <c r="P43" s="16" t="n">
        <f aca="false">IF(L43&gt;=0.95,A43,-1)</f>
        <v>-1</v>
      </c>
      <c r="Q43" s="17" t="n">
        <f aca="false">MIN(I43^2,J43)</f>
        <v>0.353236166163215</v>
      </c>
      <c r="R43" s="17" t="n">
        <f aca="false">MIN(SQRT(I43),J43)</f>
        <v>0.63</v>
      </c>
    </row>
    <row r="44" customFormat="false" ht="15" hidden="false" customHeight="false" outlineLevel="0" collapsed="false">
      <c r="A44" s="16" t="n">
        <v>0.38</v>
      </c>
      <c r="B44" s="11" t="n">
        <f aca="false">DNever-(DNever-DUsual)*A44</f>
        <v>143</v>
      </c>
      <c r="C44" s="11" t="n">
        <f aca="false">SNever-(SNever-SPlaus)*A44</f>
        <v>231.6</v>
      </c>
      <c r="D44" s="18" t="n">
        <f aca="false">MAX(0,(B44-Plan!$H$5)/Plan!$I$5,(B44-Plan!$H$6)/Plan!$I$6,(B44-Plan!$H$7)/Plan!$I$7,(B44-Plan!$H$8)/Plan!$I$8,(B44-Plan!$H$9)/Plan!$I$9,(B44-Plan!$H$10)/Plan!$I$10,(B44-Plan!$H$11)/Plan!$I$11,(B44-Plan!$H$12)/Plan!$I$12,(B44-Plan!$H$13)/Plan!$I$13,(B44-Plan!$H$14)/Plan!$I$14,(B44-Plan!$H$15)/Plan!$I$15,(B44-Plan!$H$16)/Plan!$I$16)</f>
        <v>0.449366513548311</v>
      </c>
      <c r="E44" s="16" t="n">
        <f aca="false">MIN(C44,Plan!$H$5-B44+Plan!$I$5*D44,Plan!$H$6-B44+Plan!$I$6*D44,Plan!$H$7-B44+Plan!$I$7*D44,Plan!$H$8-B44+Plan!$I$8*D44,Plan!$H$9-B44+Plan!$I$9*D44,Plan!$H$10-B44+Plan!$I$10*D44,Plan!$H$11-B44+Plan!$I$11*D44,Plan!$H$12-B44+Plan!$I$12*D44,Plan!$H$13-B44+Plan!$I$13*D44,Plan!$H$14-B44+Plan!$I$14*D44,Plan!$H$15-B44+Plan!$I$15*D44,Plan!$H$16-B44+Plan!$I$16*D44)</f>
        <v>0</v>
      </c>
      <c r="F44" s="11" t="n">
        <f aca="false">C44-E44</f>
        <v>231.6</v>
      </c>
      <c r="G44" s="17" t="n">
        <f aca="false">D44</f>
        <v>0.449366513548311</v>
      </c>
      <c r="H44" s="16" t="n">
        <f aca="false">Fee*F44+VQ*G44</f>
        <v>10.5429321083865</v>
      </c>
      <c r="I44" s="17" t="n">
        <f aca="false">MAX(0,MIN(1,(GNone-H44)/(GNone-GFull)))</f>
        <v>0.630471192774234</v>
      </c>
      <c r="J44" s="16" t="n">
        <f aca="false">1-A44</f>
        <v>0.62</v>
      </c>
      <c r="K44" s="17" t="n">
        <f aca="false">MIN(I44,J44)</f>
        <v>0.62</v>
      </c>
      <c r="L44" s="20" t="n">
        <v>0.87036</v>
      </c>
      <c r="M44" s="21" t="n">
        <v>0.05637</v>
      </c>
      <c r="N44" s="21" t="n">
        <v>0.05508</v>
      </c>
      <c r="O44" s="16" t="n">
        <f aca="false">IF(M44&lt;=Alpha,A44,-1)</f>
        <v>-1</v>
      </c>
      <c r="P44" s="16" t="n">
        <f aca="false">IF(L44&gt;=0.95,A44,-1)</f>
        <v>-1</v>
      </c>
      <c r="Q44" s="17" t="n">
        <f aca="false">MIN(I44^2,J44)</f>
        <v>0.397493924918165</v>
      </c>
      <c r="R44" s="17" t="n">
        <f aca="false">MIN(SQRT(I44),J44)</f>
        <v>0.62</v>
      </c>
    </row>
    <row r="45" customFormat="false" ht="15" hidden="false" customHeight="false" outlineLevel="0" collapsed="false">
      <c r="A45" s="16" t="n">
        <v>0.39</v>
      </c>
      <c r="B45" s="11" t="n">
        <f aca="false">DNever-(DNever-DUsual)*A45</f>
        <v>141.5</v>
      </c>
      <c r="C45" s="11" t="n">
        <f aca="false">SNever-(SNever-SPlaus)*A45</f>
        <v>229.8</v>
      </c>
      <c r="D45" s="18" t="n">
        <f aca="false">MAX(0,(B45-Plan!$H$5)/Plan!$I$5,(B45-Plan!$H$6)/Plan!$I$6,(B45-Plan!$H$7)/Plan!$I$7,(B45-Plan!$H$8)/Plan!$I$8,(B45-Plan!$H$9)/Plan!$I$9,(B45-Plan!$H$10)/Plan!$I$10,(B45-Plan!$H$11)/Plan!$I$11,(B45-Plan!$H$12)/Plan!$I$12,(B45-Plan!$H$13)/Plan!$I$13,(B45-Plan!$H$14)/Plan!$I$14,(B45-Plan!$H$15)/Plan!$I$15,(B45-Plan!$H$16)/Plan!$I$16)</f>
        <v>0.388364423507902</v>
      </c>
      <c r="E45" s="16" t="n">
        <f aca="false">MIN(C45,Plan!$H$5-B45+Plan!$I$5*D45,Plan!$H$6-B45+Plan!$I$6*D45,Plan!$H$7-B45+Plan!$I$7*D45,Plan!$H$8-B45+Plan!$I$8*D45,Plan!$H$9-B45+Plan!$I$9*D45,Plan!$H$10-B45+Plan!$I$10*D45,Plan!$H$11-B45+Plan!$I$11*D45,Plan!$H$12-B45+Plan!$I$12*D45,Plan!$H$13-B45+Plan!$I$13*D45,Plan!$H$14-B45+Plan!$I$14*D45,Plan!$H$15-B45+Plan!$I$15*D45,Plan!$H$16-B45+Plan!$I$16*D45)</f>
        <v>0</v>
      </c>
      <c r="F45" s="11" t="n">
        <f aca="false">C45-E45</f>
        <v>229.8</v>
      </c>
      <c r="G45" s="17" t="n">
        <f aca="false">D45</f>
        <v>0.388364423507902</v>
      </c>
      <c r="H45" s="16" t="n">
        <f aca="false">Fee*F45+VQ*G45</f>
        <v>10.0009153880632</v>
      </c>
      <c r="I45" s="17" t="n">
        <f aca="false">MAX(0,MIN(1,(GNone-H45)/(GNone-GFull)))</f>
        <v>0.666605640795786</v>
      </c>
      <c r="J45" s="16" t="n">
        <f aca="false">1-A45</f>
        <v>0.61</v>
      </c>
      <c r="K45" s="17" t="n">
        <f aca="false">MIN(I45,J45)</f>
        <v>0.61</v>
      </c>
      <c r="L45" s="20" t="n">
        <v>0.86493</v>
      </c>
      <c r="M45" s="21" t="n">
        <v>0.05985</v>
      </c>
      <c r="N45" s="21" t="n">
        <v>0.0582</v>
      </c>
      <c r="O45" s="16" t="n">
        <f aca="false">IF(M45&lt;=Alpha,A45,-1)</f>
        <v>-1</v>
      </c>
      <c r="P45" s="16" t="n">
        <f aca="false">IF(L45&gt;=0.95,A45,-1)</f>
        <v>-1</v>
      </c>
      <c r="Q45" s="17" t="n">
        <f aca="false">MIN(I45^2,J45)</f>
        <v>0.44436308034076</v>
      </c>
      <c r="R45" s="17" t="n">
        <f aca="false">MIN(SQRT(I45),J45)</f>
        <v>0.61</v>
      </c>
    </row>
    <row r="46" customFormat="false" ht="15" hidden="false" customHeight="false" outlineLevel="0" collapsed="false">
      <c r="A46" s="16" t="n">
        <v>0.4</v>
      </c>
      <c r="B46" s="11" t="n">
        <f aca="false">DNever-(DNever-DUsual)*A46</f>
        <v>140</v>
      </c>
      <c r="C46" s="11" t="n">
        <f aca="false">SNever-(SNever-SPlaus)*A46</f>
        <v>228</v>
      </c>
      <c r="D46" s="18" t="n">
        <f aca="false">MAX(0,(B46-Plan!$H$5)/Plan!$I$5,(B46-Plan!$H$6)/Plan!$I$6,(B46-Plan!$H$7)/Plan!$I$7,(B46-Plan!$H$8)/Plan!$I$8,(B46-Plan!$H$9)/Plan!$I$9,(B46-Plan!$H$10)/Plan!$I$10,(B46-Plan!$H$11)/Plan!$I$11,(B46-Plan!$H$12)/Plan!$I$12,(B46-Plan!$H$13)/Plan!$I$13,(B46-Plan!$H$14)/Plan!$I$14,(B46-Plan!$H$15)/Plan!$I$15,(B46-Plan!$H$16)/Plan!$I$16)</f>
        <v>0.327362333467492</v>
      </c>
      <c r="E46" s="16" t="n">
        <f aca="false">MIN(C46,Plan!$H$5-B46+Plan!$I$5*D46,Plan!$H$6-B46+Plan!$I$6*D46,Plan!$H$7-B46+Plan!$I$7*D46,Plan!$H$8-B46+Plan!$I$8*D46,Plan!$H$9-B46+Plan!$I$9*D46,Plan!$H$10-B46+Plan!$I$10*D46,Plan!$H$11-B46+Plan!$I$11*D46,Plan!$H$12-B46+Plan!$I$12*D46,Plan!$H$13-B46+Plan!$I$13*D46,Plan!$H$14-B46+Plan!$I$14*D46,Plan!$H$15-B46+Plan!$I$15*D46,Plan!$H$16-B46+Plan!$I$16*D46)</f>
        <v>0</v>
      </c>
      <c r="F46" s="11" t="n">
        <f aca="false">C46-E46</f>
        <v>228</v>
      </c>
      <c r="G46" s="17" t="n">
        <f aca="false">D46</f>
        <v>0.327362333467492</v>
      </c>
      <c r="H46" s="16" t="n">
        <f aca="false">Fee*F46+VQ*G46</f>
        <v>9.45889866773993</v>
      </c>
      <c r="I46" s="17" t="n">
        <f aca="false">MAX(0,MIN(1,(GNone-H46)/(GNone-GFull)))</f>
        <v>0.702740088817338</v>
      </c>
      <c r="J46" s="16" t="n">
        <f aca="false">1-A46</f>
        <v>0.6</v>
      </c>
      <c r="K46" s="17" t="n">
        <f aca="false">MIN(I46,J46)</f>
        <v>0.6</v>
      </c>
      <c r="L46" s="20" t="n">
        <v>0.85943</v>
      </c>
      <c r="M46" s="21" t="n">
        <v>0.0634</v>
      </c>
      <c r="N46" s="21" t="n">
        <v>0.06142</v>
      </c>
      <c r="O46" s="16" t="n">
        <f aca="false">IF(M46&lt;=Alpha,A46,-1)</f>
        <v>-1</v>
      </c>
      <c r="P46" s="16" t="n">
        <f aca="false">IF(L46&gt;=0.95,A46,-1)</f>
        <v>-1</v>
      </c>
      <c r="Q46" s="17" t="n">
        <f aca="false">MIN(I46^2,J46)</f>
        <v>0.493843632431</v>
      </c>
      <c r="R46" s="17" t="n">
        <f aca="false">MIN(SQRT(I46),J46)</f>
        <v>0.6</v>
      </c>
    </row>
    <row r="47" customFormat="false" ht="15" hidden="false" customHeight="false" outlineLevel="0" collapsed="false">
      <c r="A47" s="16" t="n">
        <v>0.41</v>
      </c>
      <c r="B47" s="11" t="n">
        <f aca="false">DNever-(DNever-DUsual)*A47</f>
        <v>138.5</v>
      </c>
      <c r="C47" s="11" t="n">
        <f aca="false">SNever-(SNever-SPlaus)*A47</f>
        <v>226.2</v>
      </c>
      <c r="D47" s="18" t="n">
        <f aca="false">MAX(0,(B47-Plan!$H$5)/Plan!$I$5,(B47-Plan!$H$6)/Plan!$I$6,(B47-Plan!$H$7)/Plan!$I$7,(B47-Plan!$H$8)/Plan!$I$8,(B47-Plan!$H$9)/Plan!$I$9,(B47-Plan!$H$10)/Plan!$I$10,(B47-Plan!$H$11)/Plan!$I$11,(B47-Plan!$H$12)/Plan!$I$12,(B47-Plan!$H$13)/Plan!$I$13,(B47-Plan!$H$14)/Plan!$I$14,(B47-Plan!$H$15)/Plan!$I$15,(B47-Plan!$H$16)/Plan!$I$16)</f>
        <v>0.266360243427082</v>
      </c>
      <c r="E47" s="16" t="n">
        <f aca="false">MIN(C47,Plan!$H$5-B47+Plan!$I$5*D47,Plan!$H$6-B47+Plan!$I$6*D47,Plan!$H$7-B47+Plan!$I$7*D47,Plan!$H$8-B47+Plan!$I$8*D47,Plan!$H$9-B47+Plan!$I$9*D47,Plan!$H$10-B47+Plan!$I$10*D47,Plan!$H$11-B47+Plan!$I$11*D47,Plan!$H$12-B47+Plan!$I$12*D47,Plan!$H$13-B47+Plan!$I$13*D47,Plan!$H$14-B47+Plan!$I$14*D47,Plan!$H$15-B47+Plan!$I$15*D47,Plan!$H$16-B47+Plan!$I$16*D47)</f>
        <v>0</v>
      </c>
      <c r="F47" s="11" t="n">
        <f aca="false">C47-E47</f>
        <v>226.2</v>
      </c>
      <c r="G47" s="17" t="n">
        <f aca="false">D47</f>
        <v>0.266360243427082</v>
      </c>
      <c r="H47" s="16" t="n">
        <f aca="false">Fee*F47+VQ*G47</f>
        <v>8.91688194741666</v>
      </c>
      <c r="I47" s="17" t="n">
        <f aca="false">MAX(0,MIN(1,(GNone-H47)/(GNone-GFull)))</f>
        <v>0.73887453683889</v>
      </c>
      <c r="J47" s="16" t="n">
        <f aca="false">1-A47</f>
        <v>0.59</v>
      </c>
      <c r="K47" s="17" t="n">
        <f aca="false">MIN(I47,J47)</f>
        <v>0.59</v>
      </c>
      <c r="L47" s="20" t="n">
        <v>0.8533</v>
      </c>
      <c r="M47" s="21" t="n">
        <v>0.06708</v>
      </c>
      <c r="N47" s="21" t="n">
        <v>0.06545</v>
      </c>
      <c r="O47" s="16" t="n">
        <f aca="false">IF(M47&lt;=Alpha,A47,-1)</f>
        <v>-1</v>
      </c>
      <c r="P47" s="16" t="n">
        <f aca="false">IF(L47&gt;=0.95,A47,-1)</f>
        <v>-1</v>
      </c>
      <c r="Q47" s="17" t="n">
        <f aca="false">MIN(I47^2,J47)</f>
        <v>0.545935581188884</v>
      </c>
      <c r="R47" s="17" t="n">
        <f aca="false">MIN(SQRT(I47),J47)</f>
        <v>0.59</v>
      </c>
    </row>
    <row r="48" customFormat="false" ht="15" hidden="false" customHeight="false" outlineLevel="0" collapsed="false">
      <c r="A48" s="16" t="n">
        <v>0.42</v>
      </c>
      <c r="B48" s="11" t="n">
        <f aca="false">DNever-(DNever-DUsual)*A48</f>
        <v>137</v>
      </c>
      <c r="C48" s="11" t="n">
        <f aca="false">SNever-(SNever-SPlaus)*A48</f>
        <v>224.4</v>
      </c>
      <c r="D48" s="18" t="n">
        <f aca="false">MAX(0,(B48-Plan!$H$5)/Plan!$I$5,(B48-Plan!$H$6)/Plan!$I$6,(B48-Plan!$H$7)/Plan!$I$7,(B48-Plan!$H$8)/Plan!$I$8,(B48-Plan!$H$9)/Plan!$I$9,(B48-Plan!$H$10)/Plan!$I$10,(B48-Plan!$H$11)/Plan!$I$11,(B48-Plan!$H$12)/Plan!$I$12,(B48-Plan!$H$13)/Plan!$I$13,(B48-Plan!$H$14)/Plan!$I$14,(B48-Plan!$H$15)/Plan!$I$15,(B48-Plan!$H$16)/Plan!$I$16)</f>
        <v>0.205358153386672</v>
      </c>
      <c r="E48" s="16" t="n">
        <f aca="false">MIN(C48,Plan!$H$5-B48+Plan!$I$5*D48,Plan!$H$6-B48+Plan!$I$6*D48,Plan!$H$7-B48+Plan!$I$7*D48,Plan!$H$8-B48+Plan!$I$8*D48,Plan!$H$9-B48+Plan!$I$9*D48,Plan!$H$10-B48+Plan!$I$10*D48,Plan!$H$11-B48+Plan!$I$11*D48,Plan!$H$12-B48+Plan!$I$12*D48,Plan!$H$13-B48+Plan!$I$13*D48,Plan!$H$14-B48+Plan!$I$14*D48,Plan!$H$15-B48+Plan!$I$15*D48,Plan!$H$16-B48+Plan!$I$16*D48)</f>
        <v>0</v>
      </c>
      <c r="F48" s="11" t="n">
        <f aca="false">C48-E48</f>
        <v>224.4</v>
      </c>
      <c r="G48" s="17" t="n">
        <f aca="false">D48</f>
        <v>0.205358153386672</v>
      </c>
      <c r="H48" s="16" t="n">
        <f aca="false">Fee*F48+VQ*G48</f>
        <v>8.37486522709338</v>
      </c>
      <c r="I48" s="17" t="n">
        <f aca="false">MAX(0,MIN(1,(GNone-H48)/(GNone-GFull)))</f>
        <v>0.775008984860442</v>
      </c>
      <c r="J48" s="16" t="n">
        <f aca="false">1-A48</f>
        <v>0.58</v>
      </c>
      <c r="K48" s="17" t="n">
        <f aca="false">MIN(I48,J48)</f>
        <v>0.58</v>
      </c>
      <c r="L48" s="20" t="n">
        <v>0.84707</v>
      </c>
      <c r="M48" s="21" t="n">
        <v>0.07105</v>
      </c>
      <c r="N48" s="21" t="n">
        <v>0.06942</v>
      </c>
      <c r="O48" s="16" t="n">
        <f aca="false">IF(M48&lt;=Alpha,A48,-1)</f>
        <v>-1</v>
      </c>
      <c r="P48" s="16" t="n">
        <f aca="false">IF(L48&gt;=0.95,A48,-1)</f>
        <v>-1</v>
      </c>
      <c r="Q48" s="17" t="n">
        <f aca="false">MIN(I48^2,J48)</f>
        <v>0.58</v>
      </c>
      <c r="R48" s="17" t="n">
        <f aca="false">MIN(SQRT(I48),J48)</f>
        <v>0.58</v>
      </c>
    </row>
    <row r="49" customFormat="false" ht="15" hidden="false" customHeight="false" outlineLevel="0" collapsed="false">
      <c r="A49" s="16" t="n">
        <v>0.43</v>
      </c>
      <c r="B49" s="11" t="n">
        <f aca="false">DNever-(DNever-DUsual)*A49</f>
        <v>135.5</v>
      </c>
      <c r="C49" s="11" t="n">
        <f aca="false">SNever-(SNever-SPlaus)*A49</f>
        <v>222.6</v>
      </c>
      <c r="D49" s="18" t="n">
        <f aca="false">MAX(0,(B49-Plan!$H$5)/Plan!$I$5,(B49-Plan!$H$6)/Plan!$I$6,(B49-Plan!$H$7)/Plan!$I$7,(B49-Plan!$H$8)/Plan!$I$8,(B49-Plan!$H$9)/Plan!$I$9,(B49-Plan!$H$10)/Plan!$I$10,(B49-Plan!$H$11)/Plan!$I$11,(B49-Plan!$H$12)/Plan!$I$12,(B49-Plan!$H$13)/Plan!$I$13,(B49-Plan!$H$14)/Plan!$I$14,(B49-Plan!$H$15)/Plan!$I$15,(B49-Plan!$H$16)/Plan!$I$16)</f>
        <v>0.144356063346262</v>
      </c>
      <c r="E49" s="16" t="n">
        <f aca="false">MIN(C49,Plan!$H$5-B49+Plan!$I$5*D49,Plan!$H$6-B49+Plan!$I$6*D49,Plan!$H$7-B49+Plan!$I$7*D49,Plan!$H$8-B49+Plan!$I$8*D49,Plan!$H$9-B49+Plan!$I$9*D49,Plan!$H$10-B49+Plan!$I$10*D49,Plan!$H$11-B49+Plan!$I$11*D49,Plan!$H$12-B49+Plan!$I$12*D49,Plan!$H$13-B49+Plan!$I$13*D49,Plan!$H$14-B49+Plan!$I$14*D49,Plan!$H$15-B49+Plan!$I$15*D49,Plan!$H$16-B49+Plan!$I$16*D49)</f>
        <v>0</v>
      </c>
      <c r="F49" s="11" t="n">
        <f aca="false">C49-E49</f>
        <v>222.6</v>
      </c>
      <c r="G49" s="17" t="n">
        <f aca="false">D49</f>
        <v>0.144356063346262</v>
      </c>
      <c r="H49" s="16" t="n">
        <f aca="false">Fee*F49+VQ*G49</f>
        <v>7.8328485067701</v>
      </c>
      <c r="I49" s="17" t="n">
        <f aca="false">MAX(0,MIN(1,(GNone-H49)/(GNone-GFull)))</f>
        <v>0.811143432881993</v>
      </c>
      <c r="J49" s="16" t="n">
        <f aca="false">1-A49</f>
        <v>0.57</v>
      </c>
      <c r="K49" s="17" t="n">
        <f aca="false">MIN(I49,J49)</f>
        <v>0.57</v>
      </c>
      <c r="L49" s="20" t="n">
        <v>0.84056</v>
      </c>
      <c r="M49" s="21" t="n">
        <v>0.07509</v>
      </c>
      <c r="N49" s="21" t="n">
        <v>0.0731</v>
      </c>
      <c r="O49" s="16" t="n">
        <f aca="false">IF(M49&lt;=Alpha,A49,-1)</f>
        <v>-1</v>
      </c>
      <c r="P49" s="16" t="n">
        <f aca="false">IF(L49&gt;=0.95,A49,-1)</f>
        <v>-1</v>
      </c>
      <c r="Q49" s="17" t="n">
        <f aca="false">MIN(I49^2,J49)</f>
        <v>0.57</v>
      </c>
      <c r="R49" s="17" t="n">
        <f aca="false">MIN(SQRT(I49),J49)</f>
        <v>0.57</v>
      </c>
    </row>
    <row r="50" customFormat="false" ht="15" hidden="false" customHeight="false" outlineLevel="0" collapsed="false">
      <c r="A50" s="16" t="n">
        <v>0.44</v>
      </c>
      <c r="B50" s="11" t="n">
        <f aca="false">DNever-(DNever-DUsual)*A50</f>
        <v>134</v>
      </c>
      <c r="C50" s="11" t="n">
        <f aca="false">SNever-(SNever-SPlaus)*A50</f>
        <v>220.8</v>
      </c>
      <c r="D50" s="18" t="n">
        <f aca="false">MAX(0,(B50-Plan!$H$5)/Plan!$I$5,(B50-Plan!$H$6)/Plan!$I$6,(B50-Plan!$H$7)/Plan!$I$7,(B50-Plan!$H$8)/Plan!$I$8,(B50-Plan!$H$9)/Plan!$I$9,(B50-Plan!$H$10)/Plan!$I$10,(B50-Plan!$H$11)/Plan!$I$11,(B50-Plan!$H$12)/Plan!$I$12,(B50-Plan!$H$13)/Plan!$I$13,(B50-Plan!$H$14)/Plan!$I$14,(B50-Plan!$H$15)/Plan!$I$15,(B50-Plan!$H$16)/Plan!$I$16)</f>
        <v>0.0833539733058525</v>
      </c>
      <c r="E50" s="16" t="n">
        <f aca="false">MIN(C50,Plan!$H$5-B50+Plan!$I$5*D50,Plan!$H$6-B50+Plan!$I$6*D50,Plan!$H$7-B50+Plan!$I$7*D50,Plan!$H$8-B50+Plan!$I$8*D50,Plan!$H$9-B50+Plan!$I$9*D50,Plan!$H$10-B50+Plan!$I$10*D50,Plan!$H$11-B50+Plan!$I$11*D50,Plan!$H$12-B50+Plan!$I$12*D50,Plan!$H$13-B50+Plan!$I$13*D50,Plan!$H$14-B50+Plan!$I$14*D50,Plan!$H$15-B50+Plan!$I$15*D50,Plan!$H$16-B50+Plan!$I$16*D50)</f>
        <v>0</v>
      </c>
      <c r="F50" s="11" t="n">
        <f aca="false">C50-E50</f>
        <v>220.8</v>
      </c>
      <c r="G50" s="17" t="n">
        <f aca="false">D50</f>
        <v>0.0833539733058525</v>
      </c>
      <c r="H50" s="16" t="n">
        <f aca="false">Fee*F50+VQ*G50</f>
        <v>7.29083178644682</v>
      </c>
      <c r="I50" s="17" t="n">
        <f aca="false">MAX(0,MIN(1,(GNone-H50)/(GNone-GFull)))</f>
        <v>0.847277880903545</v>
      </c>
      <c r="J50" s="16" t="n">
        <f aca="false">1-A50</f>
        <v>0.56</v>
      </c>
      <c r="K50" s="17" t="n">
        <f aca="false">MIN(I50,J50)</f>
        <v>0.56</v>
      </c>
      <c r="L50" s="20" t="n">
        <v>0.83419</v>
      </c>
      <c r="M50" s="21" t="n">
        <v>0.07947</v>
      </c>
      <c r="N50" s="21" t="n">
        <v>0.07739</v>
      </c>
      <c r="O50" s="16" t="n">
        <f aca="false">IF(M50&lt;=Alpha,A50,-1)</f>
        <v>-1</v>
      </c>
      <c r="P50" s="16" t="n">
        <f aca="false">IF(L50&gt;=0.95,A50,-1)</f>
        <v>-1</v>
      </c>
      <c r="Q50" s="17" t="n">
        <f aca="false">MIN(I50^2,J50)</f>
        <v>0.56</v>
      </c>
      <c r="R50" s="17" t="n">
        <f aca="false">MIN(SQRT(I50),J50)</f>
        <v>0.56</v>
      </c>
    </row>
    <row r="51" customFormat="false" ht="15" hidden="false" customHeight="false" outlineLevel="0" collapsed="false">
      <c r="A51" s="16" t="n">
        <v>0.45</v>
      </c>
      <c r="B51" s="11" t="n">
        <f aca="false">DNever-(DNever-DUsual)*A51</f>
        <v>132.5</v>
      </c>
      <c r="C51" s="11" t="n">
        <f aca="false">SNever-(SNever-SPlaus)*A51</f>
        <v>219</v>
      </c>
      <c r="D51" s="18" t="n">
        <f aca="false">MAX(0,(B51-Plan!$H$5)/Plan!$I$5,(B51-Plan!$H$6)/Plan!$I$6,(B51-Plan!$H$7)/Plan!$I$7,(B51-Plan!$H$8)/Plan!$I$8,(B51-Plan!$H$9)/Plan!$I$9,(B51-Plan!$H$10)/Plan!$I$10,(B51-Plan!$H$11)/Plan!$I$11,(B51-Plan!$H$12)/Plan!$I$12,(B51-Plan!$H$13)/Plan!$I$13,(B51-Plan!$H$14)/Plan!$I$14,(B51-Plan!$H$15)/Plan!$I$15,(B51-Plan!$H$16)/Plan!$I$16)</f>
        <v>0.0223518832654427</v>
      </c>
      <c r="E51" s="16" t="n">
        <f aca="false">MIN(C51,Plan!$H$5-B51+Plan!$I$5*D51,Plan!$H$6-B51+Plan!$I$6*D51,Plan!$H$7-B51+Plan!$I$7*D51,Plan!$H$8-B51+Plan!$I$8*D51,Plan!$H$9-B51+Plan!$I$9*D51,Plan!$H$10-B51+Plan!$I$10*D51,Plan!$H$11-B51+Plan!$I$11*D51,Plan!$H$12-B51+Plan!$I$12*D51,Plan!$H$13-B51+Plan!$I$13*D51,Plan!$H$14-B51+Plan!$I$14*D51,Plan!$H$15-B51+Plan!$I$15*D51,Plan!$H$16-B51+Plan!$I$16*D51)</f>
        <v>0</v>
      </c>
      <c r="F51" s="11" t="n">
        <f aca="false">C51-E51</f>
        <v>219</v>
      </c>
      <c r="G51" s="17" t="n">
        <f aca="false">D51</f>
        <v>0.0223518832654427</v>
      </c>
      <c r="H51" s="16" t="n">
        <f aca="false">Fee*F51+VQ*G51</f>
        <v>6.74881506612354</v>
      </c>
      <c r="I51" s="17" t="n">
        <f aca="false">MAX(0,MIN(1,(GNone-H51)/(GNone-GFull)))</f>
        <v>0.883412328925097</v>
      </c>
      <c r="J51" s="16" t="n">
        <f aca="false">1-A51</f>
        <v>0.55</v>
      </c>
      <c r="K51" s="17" t="n">
        <f aca="false">MIN(I51,J51)</f>
        <v>0.55</v>
      </c>
      <c r="L51" s="20" t="n">
        <v>0.82727</v>
      </c>
      <c r="M51" s="21" t="n">
        <v>0.08386</v>
      </c>
      <c r="N51" s="21" t="n">
        <v>0.08174</v>
      </c>
      <c r="O51" s="16" t="n">
        <f aca="false">IF(M51&lt;=Alpha,A51,-1)</f>
        <v>-1</v>
      </c>
      <c r="P51" s="16" t="n">
        <f aca="false">IF(L51&gt;=0.95,A51,-1)</f>
        <v>-1</v>
      </c>
      <c r="Q51" s="17" t="n">
        <f aca="false">MIN(I51^2,J51)</f>
        <v>0.55</v>
      </c>
      <c r="R51" s="17" t="n">
        <f aca="false">MIN(SQRT(I51),J51)</f>
        <v>0.55</v>
      </c>
    </row>
    <row r="52" customFormat="false" ht="15" hidden="false" customHeight="false" outlineLevel="0" collapsed="false">
      <c r="A52" s="16" t="n">
        <v>0.46</v>
      </c>
      <c r="B52" s="11" t="n">
        <f aca="false">DNever-(DNever-DUsual)*A52</f>
        <v>131</v>
      </c>
      <c r="C52" s="11" t="n">
        <f aca="false">SNever-(SNever-SPlaus)*A52</f>
        <v>217.2</v>
      </c>
      <c r="D52" s="18" t="n">
        <f aca="false">MAX(0,(B52-Plan!$H$5)/Plan!$I$5,(B52-Plan!$H$6)/Plan!$I$6,(B52-Plan!$H$7)/Plan!$I$7,(B52-Plan!$H$8)/Plan!$I$8,(B52-Plan!$H$9)/Plan!$I$9,(B52-Plan!$H$10)/Plan!$I$10,(B52-Plan!$H$11)/Plan!$I$11,(B52-Plan!$H$12)/Plan!$I$12,(B52-Plan!$H$13)/Plan!$I$13,(B52-Plan!$H$14)/Plan!$I$14,(B52-Plan!$H$15)/Plan!$I$15,(B52-Plan!$H$16)/Plan!$I$16)</f>
        <v>0</v>
      </c>
      <c r="E52" s="16" t="n">
        <f aca="false">MIN(C52,Plan!$H$5-B52+Plan!$I$5*D52,Plan!$H$6-B52+Plan!$I$6*D52,Plan!$H$7-B52+Plan!$I$7*D52,Plan!$H$8-B52+Plan!$I$8*D52,Plan!$H$9-B52+Plan!$I$9*D52,Plan!$H$10-B52+Plan!$I$10*D52,Plan!$H$11-B52+Plan!$I$11*D52,Plan!$H$12-B52+Plan!$I$12*D52,Plan!$H$13-B52+Plan!$I$13*D52,Plan!$H$14-B52+Plan!$I$14*D52,Plan!$H$15-B52+Plan!$I$15*D52,Plan!$H$16-B52+Plan!$I$16*D52)</f>
        <v>0.950382357785543</v>
      </c>
      <c r="F52" s="11" t="n">
        <f aca="false">C52-E52</f>
        <v>216.249617642214</v>
      </c>
      <c r="G52" s="17" t="n">
        <f aca="false">D52</f>
        <v>0</v>
      </c>
      <c r="H52" s="16" t="n">
        <f aca="false">Fee*F52+VQ*G52</f>
        <v>6.48748852926643</v>
      </c>
      <c r="I52" s="17" t="n">
        <f aca="false">MAX(0,MIN(1,(GNone-H52)/(GNone-GFull)))</f>
        <v>0.900834098048905</v>
      </c>
      <c r="J52" s="16" t="n">
        <f aca="false">1-A52</f>
        <v>0.54</v>
      </c>
      <c r="K52" s="17" t="n">
        <f aca="false">MIN(I52,J52)</f>
        <v>0.54</v>
      </c>
      <c r="L52" s="20" t="n">
        <v>0.8201</v>
      </c>
      <c r="M52" s="21" t="n">
        <v>0.08568</v>
      </c>
      <c r="N52" s="21" t="n">
        <v>0.08349</v>
      </c>
      <c r="O52" s="16" t="n">
        <f aca="false">IF(M52&lt;=Alpha,A52,-1)</f>
        <v>-1</v>
      </c>
      <c r="P52" s="16" t="n">
        <f aca="false">IF(L52&gt;=0.95,A52,-1)</f>
        <v>-1</v>
      </c>
      <c r="Q52" s="17" t="n">
        <f aca="false">MIN(I52^2,J52)</f>
        <v>0.54</v>
      </c>
      <c r="R52" s="17" t="n">
        <f aca="false">MIN(SQRT(I52),J52)</f>
        <v>0.54</v>
      </c>
    </row>
    <row r="53" customFormat="false" ht="15" hidden="false" customHeight="false" outlineLevel="0" collapsed="false">
      <c r="A53" s="16" t="n">
        <v>0.47</v>
      </c>
      <c r="B53" s="11" t="n">
        <f aca="false">DNever-(DNever-DUsual)*A53</f>
        <v>129.5</v>
      </c>
      <c r="C53" s="11" t="n">
        <f aca="false">SNever-(SNever-SPlaus)*A53</f>
        <v>215.4</v>
      </c>
      <c r="D53" s="18" t="n">
        <f aca="false">MAX(0,(B53-Plan!$H$5)/Plan!$I$5,(B53-Plan!$H$6)/Plan!$I$6,(B53-Plan!$H$7)/Plan!$I$7,(B53-Plan!$H$8)/Plan!$I$8,(B53-Plan!$H$9)/Plan!$I$9,(B53-Plan!$H$10)/Plan!$I$10,(B53-Plan!$H$11)/Plan!$I$11,(B53-Plan!$H$12)/Plan!$I$12,(B53-Plan!$H$13)/Plan!$I$13,(B53-Plan!$H$14)/Plan!$I$14,(B53-Plan!$H$15)/Plan!$I$15,(B53-Plan!$H$16)/Plan!$I$16)</f>
        <v>0</v>
      </c>
      <c r="E53" s="16" t="n">
        <f aca="false">MIN(C53,Plan!$H$5-B53+Plan!$I$5*D53,Plan!$H$6-B53+Plan!$I$6*D53,Plan!$H$7-B53+Plan!$I$7*D53,Plan!$H$8-B53+Plan!$I$8*D53,Plan!$H$9-B53+Plan!$I$9*D53,Plan!$H$10-B53+Plan!$I$10*D53,Plan!$H$11-B53+Plan!$I$11*D53,Plan!$H$12-B53+Plan!$I$12*D53,Plan!$H$13-B53+Plan!$I$13*D53,Plan!$H$14-B53+Plan!$I$14*D53,Plan!$H$15-B53+Plan!$I$15*D53,Plan!$H$16-B53+Plan!$I$16*D53)</f>
        <v>2.45038235778554</v>
      </c>
      <c r="F53" s="11" t="n">
        <f aca="false">C53-E53</f>
        <v>212.949617642214</v>
      </c>
      <c r="G53" s="17" t="n">
        <f aca="false">D53</f>
        <v>0</v>
      </c>
      <c r="H53" s="16" t="n">
        <f aca="false">Fee*F53+VQ*G53</f>
        <v>6.38848852926643</v>
      </c>
      <c r="I53" s="17" t="n">
        <f aca="false">MAX(0,MIN(1,(GNone-H53)/(GNone-GFull)))</f>
        <v>0.907434098048904</v>
      </c>
      <c r="J53" s="16" t="n">
        <f aca="false">1-A53</f>
        <v>0.53</v>
      </c>
      <c r="K53" s="17" t="n">
        <f aca="false">MIN(I53,J53)</f>
        <v>0.53</v>
      </c>
      <c r="L53" s="20" t="n">
        <v>0.8132</v>
      </c>
      <c r="M53" s="21" t="n">
        <v>0.08582</v>
      </c>
      <c r="N53" s="21" t="n">
        <v>0.08382</v>
      </c>
      <c r="O53" s="16" t="n">
        <f aca="false">IF(M53&lt;=Alpha,A53,-1)</f>
        <v>-1</v>
      </c>
      <c r="P53" s="16" t="n">
        <f aca="false">IF(L53&gt;=0.95,A53,-1)</f>
        <v>-1</v>
      </c>
      <c r="Q53" s="17" t="n">
        <f aca="false">MIN(I53^2,J53)</f>
        <v>0.53</v>
      </c>
      <c r="R53" s="17" t="n">
        <f aca="false">MIN(SQRT(I53),J53)</f>
        <v>0.53</v>
      </c>
    </row>
    <row r="54" customFormat="false" ht="15" hidden="false" customHeight="false" outlineLevel="0" collapsed="false">
      <c r="A54" s="16" t="n">
        <v>0.48</v>
      </c>
      <c r="B54" s="11" t="n">
        <f aca="false">DNever-(DNever-DUsual)*A54</f>
        <v>128</v>
      </c>
      <c r="C54" s="11" t="n">
        <f aca="false">SNever-(SNever-SPlaus)*A54</f>
        <v>213.6</v>
      </c>
      <c r="D54" s="18" t="n">
        <f aca="false">MAX(0,(B54-Plan!$H$5)/Plan!$I$5,(B54-Plan!$H$6)/Plan!$I$6,(B54-Plan!$H$7)/Plan!$I$7,(B54-Plan!$H$8)/Plan!$I$8,(B54-Plan!$H$9)/Plan!$I$9,(B54-Plan!$H$10)/Plan!$I$10,(B54-Plan!$H$11)/Plan!$I$11,(B54-Plan!$H$12)/Plan!$I$12,(B54-Plan!$H$13)/Plan!$I$13,(B54-Plan!$H$14)/Plan!$I$14,(B54-Plan!$H$15)/Plan!$I$15,(B54-Plan!$H$16)/Plan!$I$16)</f>
        <v>0</v>
      </c>
      <c r="E54" s="16" t="n">
        <f aca="false">MIN(C54,Plan!$H$5-B54+Plan!$I$5*D54,Plan!$H$6-B54+Plan!$I$6*D54,Plan!$H$7-B54+Plan!$I$7*D54,Plan!$H$8-B54+Plan!$I$8*D54,Plan!$H$9-B54+Plan!$I$9*D54,Plan!$H$10-B54+Plan!$I$10*D54,Plan!$H$11-B54+Plan!$I$11*D54,Plan!$H$12-B54+Plan!$I$12*D54,Plan!$H$13-B54+Plan!$I$13*D54,Plan!$H$14-B54+Plan!$I$14*D54,Plan!$H$15-B54+Plan!$I$15*D54,Plan!$H$16-B54+Plan!$I$16*D54)</f>
        <v>3.95038235778554</v>
      </c>
      <c r="F54" s="11" t="n">
        <f aca="false">C54-E54</f>
        <v>209.649617642214</v>
      </c>
      <c r="G54" s="17" t="n">
        <f aca="false">D54</f>
        <v>0</v>
      </c>
      <c r="H54" s="16" t="n">
        <f aca="false">Fee*F54+VQ*G54</f>
        <v>6.28948852926643</v>
      </c>
      <c r="I54" s="17" t="n">
        <f aca="false">MAX(0,MIN(1,(GNone-H54)/(GNone-GFull)))</f>
        <v>0.914034098048905</v>
      </c>
      <c r="J54" s="16" t="n">
        <f aca="false">1-A54</f>
        <v>0.52</v>
      </c>
      <c r="K54" s="17" t="n">
        <f aca="false">MIN(I54,J54)</f>
        <v>0.52</v>
      </c>
      <c r="L54" s="20" t="n">
        <v>0.80544</v>
      </c>
      <c r="M54" s="21" t="n">
        <v>0.08594</v>
      </c>
      <c r="N54" s="21" t="n">
        <v>0.08394</v>
      </c>
      <c r="O54" s="16" t="n">
        <f aca="false">IF(M54&lt;=Alpha,A54,-1)</f>
        <v>-1</v>
      </c>
      <c r="P54" s="16" t="n">
        <f aca="false">IF(L54&gt;=0.95,A54,-1)</f>
        <v>-1</v>
      </c>
      <c r="Q54" s="17" t="n">
        <f aca="false">MIN(I54^2,J54)</f>
        <v>0.52</v>
      </c>
      <c r="R54" s="17" t="n">
        <f aca="false">MIN(SQRT(I54),J54)</f>
        <v>0.52</v>
      </c>
    </row>
    <row r="55" customFormat="false" ht="15" hidden="false" customHeight="false" outlineLevel="0" collapsed="false">
      <c r="A55" s="16" t="n">
        <v>0.49</v>
      </c>
      <c r="B55" s="11" t="n">
        <f aca="false">DNever-(DNever-DUsual)*A55</f>
        <v>126.5</v>
      </c>
      <c r="C55" s="11" t="n">
        <f aca="false">SNever-(SNever-SPlaus)*A55</f>
        <v>211.8</v>
      </c>
      <c r="D55" s="18" t="n">
        <f aca="false">MAX(0,(B55-Plan!$H$5)/Plan!$I$5,(B55-Plan!$H$6)/Plan!$I$6,(B55-Plan!$H$7)/Plan!$I$7,(B55-Plan!$H$8)/Plan!$I$8,(B55-Plan!$H$9)/Plan!$I$9,(B55-Plan!$H$10)/Plan!$I$10,(B55-Plan!$H$11)/Plan!$I$11,(B55-Plan!$H$12)/Plan!$I$12,(B55-Plan!$H$13)/Plan!$I$13,(B55-Plan!$H$14)/Plan!$I$14,(B55-Plan!$H$15)/Plan!$I$15,(B55-Plan!$H$16)/Plan!$I$16)</f>
        <v>0</v>
      </c>
      <c r="E55" s="16" t="n">
        <f aca="false">MIN(C55,Plan!$H$5-B55+Plan!$I$5*D55,Plan!$H$6-B55+Plan!$I$6*D55,Plan!$H$7-B55+Plan!$I$7*D55,Plan!$H$8-B55+Plan!$I$8*D55,Plan!$H$9-B55+Plan!$I$9*D55,Plan!$H$10-B55+Plan!$I$10*D55,Plan!$H$11-B55+Plan!$I$11*D55,Plan!$H$12-B55+Plan!$I$12*D55,Plan!$H$13-B55+Plan!$I$13*D55,Plan!$H$14-B55+Plan!$I$14*D55,Plan!$H$15-B55+Plan!$I$15*D55,Plan!$H$16-B55+Plan!$I$16*D55)</f>
        <v>5.45038235778554</v>
      </c>
      <c r="F55" s="11" t="n">
        <f aca="false">C55-E55</f>
        <v>206.349617642214</v>
      </c>
      <c r="G55" s="17" t="n">
        <f aca="false">D55</f>
        <v>0</v>
      </c>
      <c r="H55" s="16" t="n">
        <f aca="false">Fee*F55+VQ*G55</f>
        <v>6.19048852926643</v>
      </c>
      <c r="I55" s="17" t="n">
        <f aca="false">MAX(0,MIN(1,(GNone-H55)/(GNone-GFull)))</f>
        <v>0.920634098048904</v>
      </c>
      <c r="J55" s="16" t="n">
        <f aca="false">1-A55</f>
        <v>0.51</v>
      </c>
      <c r="K55" s="17" t="n">
        <f aca="false">MIN(I55,J55)</f>
        <v>0.51</v>
      </c>
      <c r="L55" s="20" t="n">
        <v>0.79747</v>
      </c>
      <c r="M55" s="21" t="n">
        <v>0.08615</v>
      </c>
      <c r="N55" s="21" t="n">
        <v>0.08416</v>
      </c>
      <c r="O55" s="16" t="n">
        <f aca="false">IF(M55&lt;=Alpha,A55,-1)</f>
        <v>-1</v>
      </c>
      <c r="P55" s="16" t="n">
        <f aca="false">IF(L55&gt;=0.95,A55,-1)</f>
        <v>-1</v>
      </c>
      <c r="Q55" s="17" t="n">
        <f aca="false">MIN(I55^2,J55)</f>
        <v>0.51</v>
      </c>
      <c r="R55" s="17" t="n">
        <f aca="false">MIN(SQRT(I55),J55)</f>
        <v>0.51</v>
      </c>
    </row>
    <row r="56" customFormat="false" ht="15" hidden="false" customHeight="false" outlineLevel="0" collapsed="false">
      <c r="A56" s="16" t="n">
        <v>0.5</v>
      </c>
      <c r="B56" s="11" t="n">
        <f aca="false">DNever-(DNever-DUsual)*A56</f>
        <v>125</v>
      </c>
      <c r="C56" s="11" t="n">
        <f aca="false">SNever-(SNever-SPlaus)*A56</f>
        <v>210</v>
      </c>
      <c r="D56" s="18" t="n">
        <f aca="false">MAX(0,(B56-Plan!$H$5)/Plan!$I$5,(B56-Plan!$H$6)/Plan!$I$6,(B56-Plan!$H$7)/Plan!$I$7,(B56-Plan!$H$8)/Plan!$I$8,(B56-Plan!$H$9)/Plan!$I$9,(B56-Plan!$H$10)/Plan!$I$10,(B56-Plan!$H$11)/Plan!$I$11,(B56-Plan!$H$12)/Plan!$I$12,(B56-Plan!$H$13)/Plan!$I$13,(B56-Plan!$H$14)/Plan!$I$14,(B56-Plan!$H$15)/Plan!$I$15,(B56-Plan!$H$16)/Plan!$I$16)</f>
        <v>0</v>
      </c>
      <c r="E56" s="16" t="n">
        <f aca="false">MIN(C56,Plan!$H$5-B56+Plan!$I$5*D56,Plan!$H$6-B56+Plan!$I$6*D56,Plan!$H$7-B56+Plan!$I$7*D56,Plan!$H$8-B56+Plan!$I$8*D56,Plan!$H$9-B56+Plan!$I$9*D56,Plan!$H$10-B56+Plan!$I$10*D56,Plan!$H$11-B56+Plan!$I$11*D56,Plan!$H$12-B56+Plan!$I$12*D56,Plan!$H$13-B56+Plan!$I$13*D56,Plan!$H$14-B56+Plan!$I$14*D56,Plan!$H$15-B56+Plan!$I$15*D56,Plan!$H$16-B56+Plan!$I$16*D56)</f>
        <v>6.95038235778554</v>
      </c>
      <c r="F56" s="11" t="n">
        <f aca="false">C56-E56</f>
        <v>203.049617642214</v>
      </c>
      <c r="G56" s="17" t="n">
        <f aca="false">D56</f>
        <v>0</v>
      </c>
      <c r="H56" s="16" t="n">
        <f aca="false">Fee*F56+VQ*G56</f>
        <v>6.09148852926643</v>
      </c>
      <c r="I56" s="17" t="n">
        <f aca="false">MAX(0,MIN(1,(GNone-H56)/(GNone-GFull)))</f>
        <v>0.927234098048904</v>
      </c>
      <c r="J56" s="16" t="n">
        <f aca="false">1-A56</f>
        <v>0.5</v>
      </c>
      <c r="K56" s="17" t="n">
        <f aca="false">MIN(I56,J56)</f>
        <v>0.5</v>
      </c>
      <c r="L56" s="20" t="n">
        <v>0.78907</v>
      </c>
      <c r="M56" s="21" t="n">
        <v>0.08645</v>
      </c>
      <c r="N56" s="21" t="n">
        <v>0.08435</v>
      </c>
      <c r="O56" s="16" t="n">
        <f aca="false">IF(M56&lt;=Alpha,A56,-1)</f>
        <v>-1</v>
      </c>
      <c r="P56" s="16" t="n">
        <f aca="false">IF(L56&gt;=0.95,A56,-1)</f>
        <v>-1</v>
      </c>
      <c r="Q56" s="17" t="n">
        <f aca="false">MIN(I56^2,J56)</f>
        <v>0.5</v>
      </c>
      <c r="R56" s="17" t="n">
        <f aca="false">MIN(SQRT(I56),J56)</f>
        <v>0.5</v>
      </c>
    </row>
    <row r="57" customFormat="false" ht="15" hidden="false" customHeight="false" outlineLevel="0" collapsed="false">
      <c r="A57" s="16" t="n">
        <v>0.51</v>
      </c>
      <c r="B57" s="11" t="n">
        <f aca="false">DNever-(DNever-DUsual)*A57</f>
        <v>123.5</v>
      </c>
      <c r="C57" s="11" t="n">
        <f aca="false">SNever-(SNever-SPlaus)*A57</f>
        <v>208.2</v>
      </c>
      <c r="D57" s="18" t="n">
        <f aca="false">MAX(0,(B57-Plan!$H$5)/Plan!$I$5,(B57-Plan!$H$6)/Plan!$I$6,(B57-Plan!$H$7)/Plan!$I$7,(B57-Plan!$H$8)/Plan!$I$8,(B57-Plan!$H$9)/Plan!$I$9,(B57-Plan!$H$10)/Plan!$I$10,(B57-Plan!$H$11)/Plan!$I$11,(B57-Plan!$H$12)/Plan!$I$12,(B57-Plan!$H$13)/Plan!$I$13,(B57-Plan!$H$14)/Plan!$I$14,(B57-Plan!$H$15)/Plan!$I$15,(B57-Plan!$H$16)/Plan!$I$16)</f>
        <v>0</v>
      </c>
      <c r="E57" s="16" t="n">
        <f aca="false">MIN(C57,Plan!$H$5-B57+Plan!$I$5*D57,Plan!$H$6-B57+Plan!$I$6*D57,Plan!$H$7-B57+Plan!$I$7*D57,Plan!$H$8-B57+Plan!$I$8*D57,Plan!$H$9-B57+Plan!$I$9*D57,Plan!$H$10-B57+Plan!$I$10*D57,Plan!$H$11-B57+Plan!$I$11*D57,Plan!$H$12-B57+Plan!$I$12*D57,Plan!$H$13-B57+Plan!$I$13*D57,Plan!$H$14-B57+Plan!$I$14*D57,Plan!$H$15-B57+Plan!$I$15*D57,Plan!$H$16-B57+Plan!$I$16*D57)</f>
        <v>8.45038235778554</v>
      </c>
      <c r="F57" s="11" t="n">
        <f aca="false">C57-E57</f>
        <v>199.749617642214</v>
      </c>
      <c r="G57" s="17" t="n">
        <f aca="false">D57</f>
        <v>0</v>
      </c>
      <c r="H57" s="16" t="n">
        <f aca="false">Fee*F57+VQ*G57</f>
        <v>5.99248852926643</v>
      </c>
      <c r="I57" s="17" t="n">
        <f aca="false">MAX(0,MIN(1,(GNone-H57)/(GNone-GFull)))</f>
        <v>0.933834098048905</v>
      </c>
      <c r="J57" s="16" t="n">
        <f aca="false">1-A57</f>
        <v>0.49</v>
      </c>
      <c r="K57" s="17" t="n">
        <f aca="false">MIN(I57,J57)</f>
        <v>0.49</v>
      </c>
      <c r="L57" s="20" t="n">
        <v>0.77996</v>
      </c>
      <c r="M57" s="21" t="n">
        <v>0.08676</v>
      </c>
      <c r="N57" s="21" t="n">
        <v>0.08462</v>
      </c>
      <c r="O57" s="16" t="n">
        <f aca="false">IF(M57&lt;=Alpha,A57,-1)</f>
        <v>-1</v>
      </c>
      <c r="P57" s="16" t="n">
        <f aca="false">IF(L57&gt;=0.95,A57,-1)</f>
        <v>-1</v>
      </c>
      <c r="Q57" s="17" t="n">
        <f aca="false">MIN(I57^2,J57)</f>
        <v>0.49</v>
      </c>
      <c r="R57" s="17" t="n">
        <f aca="false">MIN(SQRT(I57),J57)</f>
        <v>0.49</v>
      </c>
    </row>
    <row r="58" customFormat="false" ht="15" hidden="false" customHeight="false" outlineLevel="0" collapsed="false">
      <c r="A58" s="16" t="n">
        <v>0.52</v>
      </c>
      <c r="B58" s="11" t="n">
        <f aca="false">DNever-(DNever-DUsual)*A58</f>
        <v>122</v>
      </c>
      <c r="C58" s="11" t="n">
        <f aca="false">SNever-(SNever-SPlaus)*A58</f>
        <v>206.4</v>
      </c>
      <c r="D58" s="18" t="n">
        <f aca="false">MAX(0,(B58-Plan!$H$5)/Plan!$I$5,(B58-Plan!$H$6)/Plan!$I$6,(B58-Plan!$H$7)/Plan!$I$7,(B58-Plan!$H$8)/Plan!$I$8,(B58-Plan!$H$9)/Plan!$I$9,(B58-Plan!$H$10)/Plan!$I$10,(B58-Plan!$H$11)/Plan!$I$11,(B58-Plan!$H$12)/Plan!$I$12,(B58-Plan!$H$13)/Plan!$I$13,(B58-Plan!$H$14)/Plan!$I$14,(B58-Plan!$H$15)/Plan!$I$15,(B58-Plan!$H$16)/Plan!$I$16)</f>
        <v>0</v>
      </c>
      <c r="E58" s="16" t="n">
        <f aca="false">MIN(C58,Plan!$H$5-B58+Plan!$I$5*D58,Plan!$H$6-B58+Plan!$I$6*D58,Plan!$H$7-B58+Plan!$I$7*D58,Plan!$H$8-B58+Plan!$I$8*D58,Plan!$H$9-B58+Plan!$I$9*D58,Plan!$H$10-B58+Plan!$I$10*D58,Plan!$H$11-B58+Plan!$I$11*D58,Plan!$H$12-B58+Plan!$I$12*D58,Plan!$H$13-B58+Plan!$I$13*D58,Plan!$H$14-B58+Plan!$I$14*D58,Plan!$H$15-B58+Plan!$I$15*D58,Plan!$H$16-B58+Plan!$I$16*D58)</f>
        <v>9.95038235778554</v>
      </c>
      <c r="F58" s="11" t="n">
        <f aca="false">C58-E58</f>
        <v>196.449617642214</v>
      </c>
      <c r="G58" s="17" t="n">
        <f aca="false">D58</f>
        <v>0</v>
      </c>
      <c r="H58" s="16" t="n">
        <f aca="false">Fee*F58+VQ*G58</f>
        <v>5.89348852926643</v>
      </c>
      <c r="I58" s="17" t="n">
        <f aca="false">MAX(0,MIN(1,(GNone-H58)/(GNone-GFull)))</f>
        <v>0.940434098048904</v>
      </c>
      <c r="J58" s="16" t="n">
        <f aca="false">1-A58</f>
        <v>0.48</v>
      </c>
      <c r="K58" s="17" t="n">
        <f aca="false">MIN(I58,J58)</f>
        <v>0.48</v>
      </c>
      <c r="L58" s="20" t="n">
        <v>0.77092</v>
      </c>
      <c r="M58" s="21" t="n">
        <v>0.08714</v>
      </c>
      <c r="N58" s="21" t="n">
        <v>0.08494</v>
      </c>
      <c r="O58" s="16" t="n">
        <f aca="false">IF(M58&lt;=Alpha,A58,-1)</f>
        <v>-1</v>
      </c>
      <c r="P58" s="16" t="n">
        <f aca="false">IF(L58&gt;=0.95,A58,-1)</f>
        <v>-1</v>
      </c>
      <c r="Q58" s="17" t="n">
        <f aca="false">MIN(I58^2,J58)</f>
        <v>0.48</v>
      </c>
      <c r="R58" s="17" t="n">
        <f aca="false">MIN(SQRT(I58),J58)</f>
        <v>0.48</v>
      </c>
    </row>
    <row r="59" customFormat="false" ht="15" hidden="false" customHeight="false" outlineLevel="0" collapsed="false">
      <c r="A59" s="16" t="n">
        <v>0.53</v>
      </c>
      <c r="B59" s="11" t="n">
        <f aca="false">DNever-(DNever-DUsual)*A59</f>
        <v>120.5</v>
      </c>
      <c r="C59" s="11" t="n">
        <f aca="false">SNever-(SNever-SPlaus)*A59</f>
        <v>204.6</v>
      </c>
      <c r="D59" s="18" t="n">
        <f aca="false">MAX(0,(B59-Plan!$H$5)/Plan!$I$5,(B59-Plan!$H$6)/Plan!$I$6,(B59-Plan!$H$7)/Plan!$I$7,(B59-Plan!$H$8)/Plan!$I$8,(B59-Plan!$H$9)/Plan!$I$9,(B59-Plan!$H$10)/Plan!$I$10,(B59-Plan!$H$11)/Plan!$I$11,(B59-Plan!$H$12)/Plan!$I$12,(B59-Plan!$H$13)/Plan!$I$13,(B59-Plan!$H$14)/Plan!$I$14,(B59-Plan!$H$15)/Plan!$I$15,(B59-Plan!$H$16)/Plan!$I$16)</f>
        <v>0</v>
      </c>
      <c r="E59" s="16" t="n">
        <f aca="false">MIN(C59,Plan!$H$5-B59+Plan!$I$5*D59,Plan!$H$6-B59+Plan!$I$6*D59,Plan!$H$7-B59+Plan!$I$7*D59,Plan!$H$8-B59+Plan!$I$8*D59,Plan!$H$9-B59+Plan!$I$9*D59,Plan!$H$10-B59+Plan!$I$10*D59,Plan!$H$11-B59+Plan!$I$11*D59,Plan!$H$12-B59+Plan!$I$12*D59,Plan!$H$13-B59+Plan!$I$13*D59,Plan!$H$14-B59+Plan!$I$14*D59,Plan!$H$15-B59+Plan!$I$15*D59,Plan!$H$16-B59+Plan!$I$16*D59)</f>
        <v>11.4503823577855</v>
      </c>
      <c r="F59" s="11" t="n">
        <f aca="false">C59-E59</f>
        <v>193.149617642214</v>
      </c>
      <c r="G59" s="17" t="n">
        <f aca="false">D59</f>
        <v>0</v>
      </c>
      <c r="H59" s="16" t="n">
        <f aca="false">Fee*F59+VQ*G59</f>
        <v>5.79448852926643</v>
      </c>
      <c r="I59" s="17" t="n">
        <f aca="false">MAX(0,MIN(1,(GNone-H59)/(GNone-GFull)))</f>
        <v>0.947034098048904</v>
      </c>
      <c r="J59" s="16" t="n">
        <f aca="false">1-A59</f>
        <v>0.47</v>
      </c>
      <c r="K59" s="17" t="n">
        <f aca="false">MIN(I59,J59)</f>
        <v>0.47</v>
      </c>
      <c r="L59" s="20" t="n">
        <v>0.76209</v>
      </c>
      <c r="M59" s="21" t="n">
        <v>0.08745</v>
      </c>
      <c r="N59" s="21" t="n">
        <v>0.08534</v>
      </c>
      <c r="O59" s="16" t="n">
        <f aca="false">IF(M59&lt;=Alpha,A59,-1)</f>
        <v>-1</v>
      </c>
      <c r="P59" s="16" t="n">
        <f aca="false">IF(L59&gt;=0.95,A59,-1)</f>
        <v>-1</v>
      </c>
      <c r="Q59" s="17" t="n">
        <f aca="false">MIN(I59^2,J59)</f>
        <v>0.47</v>
      </c>
      <c r="R59" s="17" t="n">
        <f aca="false">MIN(SQRT(I59),J59)</f>
        <v>0.47</v>
      </c>
    </row>
    <row r="60" customFormat="false" ht="15" hidden="false" customHeight="false" outlineLevel="0" collapsed="false">
      <c r="A60" s="16" t="n">
        <v>0.54</v>
      </c>
      <c r="B60" s="11" t="n">
        <f aca="false">DNever-(DNever-DUsual)*A60</f>
        <v>119</v>
      </c>
      <c r="C60" s="11" t="n">
        <f aca="false">SNever-(SNever-SPlaus)*A60</f>
        <v>202.8</v>
      </c>
      <c r="D60" s="18" t="n">
        <f aca="false">MAX(0,(B60-Plan!$H$5)/Plan!$I$5,(B60-Plan!$H$6)/Plan!$I$6,(B60-Plan!$H$7)/Plan!$I$7,(B60-Plan!$H$8)/Plan!$I$8,(B60-Plan!$H$9)/Plan!$I$9,(B60-Plan!$H$10)/Plan!$I$10,(B60-Plan!$H$11)/Plan!$I$11,(B60-Plan!$H$12)/Plan!$I$12,(B60-Plan!$H$13)/Plan!$I$13,(B60-Plan!$H$14)/Plan!$I$14,(B60-Plan!$H$15)/Plan!$I$15,(B60-Plan!$H$16)/Plan!$I$16)</f>
        <v>0</v>
      </c>
      <c r="E60" s="16" t="n">
        <f aca="false">MIN(C60,Plan!$H$5-B60+Plan!$I$5*D60,Plan!$H$6-B60+Plan!$I$6*D60,Plan!$H$7-B60+Plan!$I$7*D60,Plan!$H$8-B60+Plan!$I$8*D60,Plan!$H$9-B60+Plan!$I$9*D60,Plan!$H$10-B60+Plan!$I$10*D60,Plan!$H$11-B60+Plan!$I$11*D60,Plan!$H$12-B60+Plan!$I$12*D60,Plan!$H$13-B60+Plan!$I$13*D60,Plan!$H$14-B60+Plan!$I$14*D60,Plan!$H$15-B60+Plan!$I$15*D60,Plan!$H$16-B60+Plan!$I$16*D60)</f>
        <v>12.9503823577855</v>
      </c>
      <c r="F60" s="11" t="n">
        <f aca="false">C60-E60</f>
        <v>189.849617642214</v>
      </c>
      <c r="G60" s="17" t="n">
        <f aca="false">D60</f>
        <v>0</v>
      </c>
      <c r="H60" s="16" t="n">
        <f aca="false">Fee*F60+VQ*G60</f>
        <v>5.69548852926643</v>
      </c>
      <c r="I60" s="17" t="n">
        <f aca="false">MAX(0,MIN(1,(GNone-H60)/(GNone-GFull)))</f>
        <v>0.953634098048904</v>
      </c>
      <c r="J60" s="16" t="n">
        <f aca="false">1-A60</f>
        <v>0.46</v>
      </c>
      <c r="K60" s="17" t="n">
        <f aca="false">MIN(I60,J60)</f>
        <v>0.46</v>
      </c>
      <c r="L60" s="20" t="n">
        <v>0.75277</v>
      </c>
      <c r="M60" s="21" t="n">
        <v>0.08781</v>
      </c>
      <c r="N60" s="21" t="n">
        <v>0.0856</v>
      </c>
      <c r="O60" s="16" t="n">
        <f aca="false">IF(M60&lt;=Alpha,A60,-1)</f>
        <v>-1</v>
      </c>
      <c r="P60" s="16" t="n">
        <f aca="false">IF(L60&gt;=0.95,A60,-1)</f>
        <v>-1</v>
      </c>
      <c r="Q60" s="17" t="n">
        <f aca="false">MIN(I60^2,J60)</f>
        <v>0.46</v>
      </c>
      <c r="R60" s="17" t="n">
        <f aca="false">MIN(SQRT(I60),J60)</f>
        <v>0.46</v>
      </c>
    </row>
    <row r="61" customFormat="false" ht="15" hidden="false" customHeight="false" outlineLevel="0" collapsed="false">
      <c r="A61" s="16" t="n">
        <v>0.55</v>
      </c>
      <c r="B61" s="11" t="n">
        <f aca="false">DNever-(DNever-DUsual)*A61</f>
        <v>117.5</v>
      </c>
      <c r="C61" s="11" t="n">
        <f aca="false">SNever-(SNever-SPlaus)*A61</f>
        <v>201</v>
      </c>
      <c r="D61" s="18" t="n">
        <f aca="false">MAX(0,(B61-Plan!$H$5)/Plan!$I$5,(B61-Plan!$H$6)/Plan!$I$6,(B61-Plan!$H$7)/Plan!$I$7,(B61-Plan!$H$8)/Plan!$I$8,(B61-Plan!$H$9)/Plan!$I$9,(B61-Plan!$H$10)/Plan!$I$10,(B61-Plan!$H$11)/Plan!$I$11,(B61-Plan!$H$12)/Plan!$I$12,(B61-Plan!$H$13)/Plan!$I$13,(B61-Plan!$H$14)/Plan!$I$14,(B61-Plan!$H$15)/Plan!$I$15,(B61-Plan!$H$16)/Plan!$I$16)</f>
        <v>0</v>
      </c>
      <c r="E61" s="16" t="n">
        <f aca="false">MIN(C61,Plan!$H$5-B61+Plan!$I$5*D61,Plan!$H$6-B61+Plan!$I$6*D61,Plan!$H$7-B61+Plan!$I$7*D61,Plan!$H$8-B61+Plan!$I$8*D61,Plan!$H$9-B61+Plan!$I$9*D61,Plan!$H$10-B61+Plan!$I$10*D61,Plan!$H$11-B61+Plan!$I$11*D61,Plan!$H$12-B61+Plan!$I$12*D61,Plan!$H$13-B61+Plan!$I$13*D61,Plan!$H$14-B61+Plan!$I$14*D61,Plan!$H$15-B61+Plan!$I$15*D61,Plan!$H$16-B61+Plan!$I$16*D61)</f>
        <v>14.4503823577855</v>
      </c>
      <c r="F61" s="11" t="n">
        <f aca="false">C61-E61</f>
        <v>186.549617642214</v>
      </c>
      <c r="G61" s="17" t="n">
        <f aca="false">D61</f>
        <v>0</v>
      </c>
      <c r="H61" s="16" t="n">
        <f aca="false">Fee*F61+VQ*G61</f>
        <v>5.59648852926643</v>
      </c>
      <c r="I61" s="17" t="n">
        <f aca="false">MAX(0,MIN(1,(GNone-H61)/(GNone-GFull)))</f>
        <v>0.960234098048904</v>
      </c>
      <c r="J61" s="16" t="n">
        <f aca="false">1-A61</f>
        <v>0.45</v>
      </c>
      <c r="K61" s="17" t="n">
        <f aca="false">MIN(I61,J61)</f>
        <v>0.45</v>
      </c>
      <c r="L61" s="20" t="n">
        <v>0.74306</v>
      </c>
      <c r="M61" s="21" t="n">
        <v>0.08817</v>
      </c>
      <c r="N61" s="21" t="n">
        <v>0.08601</v>
      </c>
      <c r="O61" s="16" t="n">
        <f aca="false">IF(M61&lt;=Alpha,A61,-1)</f>
        <v>-1</v>
      </c>
      <c r="P61" s="16" t="n">
        <f aca="false">IF(L61&gt;=0.95,A61,-1)</f>
        <v>-1</v>
      </c>
      <c r="Q61" s="17" t="n">
        <f aca="false">MIN(I61^2,J61)</f>
        <v>0.45</v>
      </c>
      <c r="R61" s="17" t="n">
        <f aca="false">MIN(SQRT(I61),J61)</f>
        <v>0.45</v>
      </c>
    </row>
    <row r="62" customFormat="false" ht="15" hidden="false" customHeight="false" outlineLevel="0" collapsed="false">
      <c r="A62" s="16" t="n">
        <v>0.56</v>
      </c>
      <c r="B62" s="11" t="n">
        <f aca="false">DNever-(DNever-DUsual)*A62</f>
        <v>116</v>
      </c>
      <c r="C62" s="11" t="n">
        <f aca="false">SNever-(SNever-SPlaus)*A62</f>
        <v>199.2</v>
      </c>
      <c r="D62" s="18" t="n">
        <f aca="false">MAX(0,(B62-Plan!$H$5)/Plan!$I$5,(B62-Plan!$H$6)/Plan!$I$6,(B62-Plan!$H$7)/Plan!$I$7,(B62-Plan!$H$8)/Plan!$I$8,(B62-Plan!$H$9)/Plan!$I$9,(B62-Plan!$H$10)/Plan!$I$10,(B62-Plan!$H$11)/Plan!$I$11,(B62-Plan!$H$12)/Plan!$I$12,(B62-Plan!$H$13)/Plan!$I$13,(B62-Plan!$H$14)/Plan!$I$14,(B62-Plan!$H$15)/Plan!$I$15,(B62-Plan!$H$16)/Plan!$I$16)</f>
        <v>0</v>
      </c>
      <c r="E62" s="16" t="n">
        <f aca="false">MIN(C62,Plan!$H$5-B62+Plan!$I$5*D62,Plan!$H$6-B62+Plan!$I$6*D62,Plan!$H$7-B62+Plan!$I$7*D62,Plan!$H$8-B62+Plan!$I$8*D62,Plan!$H$9-B62+Plan!$I$9*D62,Plan!$H$10-B62+Plan!$I$10*D62,Plan!$H$11-B62+Plan!$I$11*D62,Plan!$H$12-B62+Plan!$I$12*D62,Plan!$H$13-B62+Plan!$I$13*D62,Plan!$H$14-B62+Plan!$I$14*D62,Plan!$H$15-B62+Plan!$I$15*D62,Plan!$H$16-B62+Plan!$I$16*D62)</f>
        <v>15.9503823577856</v>
      </c>
      <c r="F62" s="11" t="n">
        <f aca="false">C62-E62</f>
        <v>183.249617642214</v>
      </c>
      <c r="G62" s="17" t="n">
        <f aca="false">D62</f>
        <v>0</v>
      </c>
      <c r="H62" s="16" t="n">
        <f aca="false">Fee*F62+VQ*G62</f>
        <v>5.49748852926643</v>
      </c>
      <c r="I62" s="17" t="n">
        <f aca="false">MAX(0,MIN(1,(GNone-H62)/(GNone-GFull)))</f>
        <v>0.966834098048904</v>
      </c>
      <c r="J62" s="16" t="n">
        <f aca="false">1-A62</f>
        <v>0.44</v>
      </c>
      <c r="K62" s="17" t="n">
        <f aca="false">MIN(I62,J62)</f>
        <v>0.44</v>
      </c>
      <c r="L62" s="20" t="n">
        <v>0.73331</v>
      </c>
      <c r="M62" s="21" t="n">
        <v>0.08856</v>
      </c>
      <c r="N62" s="21" t="n">
        <v>0.08647</v>
      </c>
      <c r="O62" s="16" t="n">
        <f aca="false">IF(M62&lt;=Alpha,A62,-1)</f>
        <v>-1</v>
      </c>
      <c r="P62" s="16" t="n">
        <f aca="false">IF(L62&gt;=0.95,A62,-1)</f>
        <v>-1</v>
      </c>
      <c r="Q62" s="17" t="n">
        <f aca="false">MIN(I62^2,J62)</f>
        <v>0.44</v>
      </c>
      <c r="R62" s="17" t="n">
        <f aca="false">MIN(SQRT(I62),J62)</f>
        <v>0.44</v>
      </c>
    </row>
    <row r="63" customFormat="false" ht="15" hidden="false" customHeight="false" outlineLevel="0" collapsed="false">
      <c r="A63" s="16" t="n">
        <v>0.57</v>
      </c>
      <c r="B63" s="11" t="n">
        <f aca="false">DNever-(DNever-DUsual)*A63</f>
        <v>114.5</v>
      </c>
      <c r="C63" s="11" t="n">
        <f aca="false">SNever-(SNever-SPlaus)*A63</f>
        <v>197.4</v>
      </c>
      <c r="D63" s="18" t="n">
        <f aca="false">MAX(0,(B63-Plan!$H$5)/Plan!$I$5,(B63-Plan!$H$6)/Plan!$I$6,(B63-Plan!$H$7)/Plan!$I$7,(B63-Plan!$H$8)/Plan!$I$8,(B63-Plan!$H$9)/Plan!$I$9,(B63-Plan!$H$10)/Plan!$I$10,(B63-Plan!$H$11)/Plan!$I$11,(B63-Plan!$H$12)/Plan!$I$12,(B63-Plan!$H$13)/Plan!$I$13,(B63-Plan!$H$14)/Plan!$I$14,(B63-Plan!$H$15)/Plan!$I$15,(B63-Plan!$H$16)/Plan!$I$16)</f>
        <v>0</v>
      </c>
      <c r="E63" s="16" t="n">
        <f aca="false">MIN(C63,Plan!$H$5-B63+Plan!$I$5*D63,Plan!$H$6-B63+Plan!$I$6*D63,Plan!$H$7-B63+Plan!$I$7*D63,Plan!$H$8-B63+Plan!$I$8*D63,Plan!$H$9-B63+Plan!$I$9*D63,Plan!$H$10-B63+Plan!$I$10*D63,Plan!$H$11-B63+Plan!$I$11*D63,Plan!$H$12-B63+Plan!$I$12*D63,Plan!$H$13-B63+Plan!$I$13*D63,Plan!$H$14-B63+Plan!$I$14*D63,Plan!$H$15-B63+Plan!$I$15*D63,Plan!$H$16-B63+Plan!$I$16*D63)</f>
        <v>17.4503823577855</v>
      </c>
      <c r="F63" s="11" t="n">
        <f aca="false">C63-E63</f>
        <v>179.949617642215</v>
      </c>
      <c r="G63" s="17" t="n">
        <f aca="false">D63</f>
        <v>0</v>
      </c>
      <c r="H63" s="16" t="n">
        <f aca="false">Fee*F63+VQ*G63</f>
        <v>5.39848852926644</v>
      </c>
      <c r="I63" s="17" t="n">
        <f aca="false">MAX(0,MIN(1,(GNone-H63)/(GNone-GFull)))</f>
        <v>0.973434098048905</v>
      </c>
      <c r="J63" s="16" t="n">
        <f aca="false">1-A63</f>
        <v>0.43</v>
      </c>
      <c r="K63" s="17" t="n">
        <f aca="false">MIN(I63,J63)</f>
        <v>0.43</v>
      </c>
      <c r="L63" s="20" t="n">
        <v>0.72332</v>
      </c>
      <c r="M63" s="21" t="n">
        <v>0.08893</v>
      </c>
      <c r="N63" s="21" t="n">
        <v>0.087</v>
      </c>
      <c r="O63" s="16" t="n">
        <f aca="false">IF(M63&lt;=Alpha,A63,-1)</f>
        <v>-1</v>
      </c>
      <c r="P63" s="16" t="n">
        <f aca="false">IF(L63&gt;=0.95,A63,-1)</f>
        <v>-1</v>
      </c>
      <c r="Q63" s="17" t="n">
        <f aca="false">MIN(I63^2,J63)</f>
        <v>0.43</v>
      </c>
      <c r="R63" s="17" t="n">
        <f aca="false">MIN(SQRT(I63),J63)</f>
        <v>0.43</v>
      </c>
    </row>
    <row r="64" customFormat="false" ht="15" hidden="false" customHeight="false" outlineLevel="0" collapsed="false">
      <c r="A64" s="16" t="n">
        <v>0.58</v>
      </c>
      <c r="B64" s="11" t="n">
        <f aca="false">DNever-(DNever-DUsual)*A64</f>
        <v>113</v>
      </c>
      <c r="C64" s="11" t="n">
        <f aca="false">SNever-(SNever-SPlaus)*A64</f>
        <v>195.6</v>
      </c>
      <c r="D64" s="18" t="n">
        <f aca="false">MAX(0,(B64-Plan!$H$5)/Plan!$I$5,(B64-Plan!$H$6)/Plan!$I$6,(B64-Plan!$H$7)/Plan!$I$7,(B64-Plan!$H$8)/Plan!$I$8,(B64-Plan!$H$9)/Plan!$I$9,(B64-Plan!$H$10)/Plan!$I$10,(B64-Plan!$H$11)/Plan!$I$11,(B64-Plan!$H$12)/Plan!$I$12,(B64-Plan!$H$13)/Plan!$I$13,(B64-Plan!$H$14)/Plan!$I$14,(B64-Plan!$H$15)/Plan!$I$15,(B64-Plan!$H$16)/Plan!$I$16)</f>
        <v>0</v>
      </c>
      <c r="E64" s="16" t="n">
        <f aca="false">MIN(C64,Plan!$H$5-B64+Plan!$I$5*D64,Plan!$H$6-B64+Plan!$I$6*D64,Plan!$H$7-B64+Plan!$I$7*D64,Plan!$H$8-B64+Plan!$I$8*D64,Plan!$H$9-B64+Plan!$I$9*D64,Plan!$H$10-B64+Plan!$I$10*D64,Plan!$H$11-B64+Plan!$I$11*D64,Plan!$H$12-B64+Plan!$I$12*D64,Plan!$H$13-B64+Plan!$I$13*D64,Plan!$H$14-B64+Plan!$I$14*D64,Plan!$H$15-B64+Plan!$I$15*D64,Plan!$H$16-B64+Plan!$I$16*D64)</f>
        <v>18.9503823577855</v>
      </c>
      <c r="F64" s="11" t="n">
        <f aca="false">C64-E64</f>
        <v>176.649617642214</v>
      </c>
      <c r="G64" s="17" t="n">
        <f aca="false">D64</f>
        <v>0</v>
      </c>
      <c r="H64" s="16" t="n">
        <f aca="false">Fee*F64+VQ*G64</f>
        <v>5.29948852926643</v>
      </c>
      <c r="I64" s="17" t="n">
        <f aca="false">MAX(0,MIN(1,(GNone-H64)/(GNone-GFull)))</f>
        <v>0.980034098048904</v>
      </c>
      <c r="J64" s="16" t="n">
        <f aca="false">1-A64</f>
        <v>0.42</v>
      </c>
      <c r="K64" s="17" t="n">
        <f aca="false">MIN(I64,J64)</f>
        <v>0.42</v>
      </c>
      <c r="L64" s="20" t="n">
        <v>0.71268</v>
      </c>
      <c r="M64" s="21" t="n">
        <v>0.08949</v>
      </c>
      <c r="N64" s="21" t="n">
        <v>0.08743</v>
      </c>
      <c r="O64" s="16" t="n">
        <f aca="false">IF(M64&lt;=Alpha,A64,-1)</f>
        <v>-1</v>
      </c>
      <c r="P64" s="16" t="n">
        <f aca="false">IF(L64&gt;=0.95,A64,-1)</f>
        <v>-1</v>
      </c>
      <c r="Q64" s="17" t="n">
        <f aca="false">MIN(I64^2,J64)</f>
        <v>0.42</v>
      </c>
      <c r="R64" s="17" t="n">
        <f aca="false">MIN(SQRT(I64),J64)</f>
        <v>0.42</v>
      </c>
    </row>
    <row r="65" customFormat="false" ht="15" hidden="false" customHeight="false" outlineLevel="0" collapsed="false">
      <c r="A65" s="16" t="n">
        <v>0.59</v>
      </c>
      <c r="B65" s="11" t="n">
        <f aca="false">DNever-(DNever-DUsual)*A65</f>
        <v>111.5</v>
      </c>
      <c r="C65" s="11" t="n">
        <f aca="false">SNever-(SNever-SPlaus)*A65</f>
        <v>193.8</v>
      </c>
      <c r="D65" s="18" t="n">
        <f aca="false">MAX(0,(B65-Plan!$H$5)/Plan!$I$5,(B65-Plan!$H$6)/Plan!$I$6,(B65-Plan!$H$7)/Plan!$I$7,(B65-Plan!$H$8)/Plan!$I$8,(B65-Plan!$H$9)/Plan!$I$9,(B65-Plan!$H$10)/Plan!$I$10,(B65-Plan!$H$11)/Plan!$I$11,(B65-Plan!$H$12)/Plan!$I$12,(B65-Plan!$H$13)/Plan!$I$13,(B65-Plan!$H$14)/Plan!$I$14,(B65-Plan!$H$15)/Plan!$I$15,(B65-Plan!$H$16)/Plan!$I$16)</f>
        <v>0</v>
      </c>
      <c r="E65" s="16" t="n">
        <f aca="false">MIN(C65,Plan!$H$5-B65+Plan!$I$5*D65,Plan!$H$6-B65+Plan!$I$6*D65,Plan!$H$7-B65+Plan!$I$7*D65,Plan!$H$8-B65+Plan!$I$8*D65,Plan!$H$9-B65+Plan!$I$9*D65,Plan!$H$10-B65+Plan!$I$10*D65,Plan!$H$11-B65+Plan!$I$11*D65,Plan!$H$12-B65+Plan!$I$12*D65,Plan!$H$13-B65+Plan!$I$13*D65,Plan!$H$14-B65+Plan!$I$14*D65,Plan!$H$15-B65+Plan!$I$15*D65,Plan!$H$16-B65+Plan!$I$16*D65)</f>
        <v>20.4503823577855</v>
      </c>
      <c r="F65" s="11" t="n">
        <f aca="false">C65-E65</f>
        <v>173.349617642214</v>
      </c>
      <c r="G65" s="17" t="n">
        <f aca="false">D65</f>
        <v>0</v>
      </c>
      <c r="H65" s="16" t="n">
        <f aca="false">Fee*F65+VQ*G65</f>
        <v>5.20048852926643</v>
      </c>
      <c r="I65" s="17" t="n">
        <f aca="false">MAX(0,MIN(1,(GNone-H65)/(GNone-GFull)))</f>
        <v>0.986634098048905</v>
      </c>
      <c r="J65" s="16" t="n">
        <f aca="false">1-A65</f>
        <v>0.41</v>
      </c>
      <c r="K65" s="17" t="n">
        <f aca="false">MIN(I65,J65)</f>
        <v>0.41</v>
      </c>
      <c r="L65" s="20" t="n">
        <v>0.70241</v>
      </c>
      <c r="M65" s="21" t="n">
        <v>0.09011</v>
      </c>
      <c r="N65" s="21" t="n">
        <v>0.08803</v>
      </c>
      <c r="O65" s="16" t="n">
        <f aca="false">IF(M65&lt;=Alpha,A65,-1)</f>
        <v>-1</v>
      </c>
      <c r="P65" s="16" t="n">
        <f aca="false">IF(L65&gt;=0.95,A65,-1)</f>
        <v>-1</v>
      </c>
      <c r="Q65" s="17" t="n">
        <f aca="false">MIN(I65^2,J65)</f>
        <v>0.41</v>
      </c>
      <c r="R65" s="17" t="n">
        <f aca="false">MIN(SQRT(I65),J65)</f>
        <v>0.41</v>
      </c>
    </row>
    <row r="66" customFormat="false" ht="15" hidden="false" customHeight="false" outlineLevel="0" collapsed="false">
      <c r="A66" s="16" t="n">
        <v>0.6</v>
      </c>
      <c r="B66" s="11" t="n">
        <f aca="false">DNever-(DNever-DUsual)*A66</f>
        <v>110</v>
      </c>
      <c r="C66" s="11" t="n">
        <f aca="false">SNever-(SNever-SPlaus)*A66</f>
        <v>192</v>
      </c>
      <c r="D66" s="18" t="n">
        <f aca="false">MAX(0,(B66-Plan!$H$5)/Plan!$I$5,(B66-Plan!$H$6)/Plan!$I$6,(B66-Plan!$H$7)/Plan!$I$7,(B66-Plan!$H$8)/Plan!$I$8,(B66-Plan!$H$9)/Plan!$I$9,(B66-Plan!$H$10)/Plan!$I$10,(B66-Plan!$H$11)/Plan!$I$11,(B66-Plan!$H$12)/Plan!$I$12,(B66-Plan!$H$13)/Plan!$I$13,(B66-Plan!$H$14)/Plan!$I$14,(B66-Plan!$H$15)/Plan!$I$15,(B66-Plan!$H$16)/Plan!$I$16)</f>
        <v>0</v>
      </c>
      <c r="E66" s="16" t="n">
        <f aca="false">MIN(C66,Plan!$H$5-B66+Plan!$I$5*D66,Plan!$H$6-B66+Plan!$I$6*D66,Plan!$H$7-B66+Plan!$I$7*D66,Plan!$H$8-B66+Plan!$I$8*D66,Plan!$H$9-B66+Plan!$I$9*D66,Plan!$H$10-B66+Plan!$I$10*D66,Plan!$H$11-B66+Plan!$I$11*D66,Plan!$H$12-B66+Plan!$I$12*D66,Plan!$H$13-B66+Plan!$I$13*D66,Plan!$H$14-B66+Plan!$I$14*D66,Plan!$H$15-B66+Plan!$I$15*D66,Plan!$H$16-B66+Plan!$I$16*D66)</f>
        <v>21.9503823577855</v>
      </c>
      <c r="F66" s="11" t="n">
        <f aca="false">C66-E66</f>
        <v>170.049617642214</v>
      </c>
      <c r="G66" s="17" t="n">
        <f aca="false">D66</f>
        <v>0</v>
      </c>
      <c r="H66" s="16" t="n">
        <f aca="false">Fee*F66+VQ*G66</f>
        <v>5.10148852926643</v>
      </c>
      <c r="I66" s="17" t="n">
        <f aca="false">MAX(0,MIN(1,(GNone-H66)/(GNone-GFull)))</f>
        <v>0.993234098048905</v>
      </c>
      <c r="J66" s="16" t="n">
        <f aca="false">1-A66</f>
        <v>0.4</v>
      </c>
      <c r="K66" s="17" t="n">
        <f aca="false">MIN(I66,J66)</f>
        <v>0.4</v>
      </c>
      <c r="L66" s="20" t="n">
        <v>0.69124</v>
      </c>
      <c r="M66" s="21" t="n">
        <v>0.09075</v>
      </c>
      <c r="N66" s="21" t="n">
        <v>0.08858</v>
      </c>
      <c r="O66" s="16" t="n">
        <f aca="false">IF(M66&lt;=Alpha,A66,-1)</f>
        <v>-1</v>
      </c>
      <c r="P66" s="16" t="n">
        <f aca="false">IF(L66&gt;=0.95,A66,-1)</f>
        <v>-1</v>
      </c>
      <c r="Q66" s="17" t="n">
        <f aca="false">MIN(I66^2,J66)</f>
        <v>0.4</v>
      </c>
      <c r="R66" s="17" t="n">
        <f aca="false">MIN(SQRT(I66),J66)</f>
        <v>0.4</v>
      </c>
    </row>
    <row r="67" customFormat="false" ht="15" hidden="false" customHeight="false" outlineLevel="0" collapsed="false">
      <c r="A67" s="16" t="n">
        <v>0.61</v>
      </c>
      <c r="B67" s="11" t="n">
        <f aca="false">DNever-(DNever-DUsual)*A67</f>
        <v>108.5</v>
      </c>
      <c r="C67" s="11" t="n">
        <f aca="false">SNever-(SNever-SPlaus)*A67</f>
        <v>190.2</v>
      </c>
      <c r="D67" s="18" t="n">
        <f aca="false">MAX(0,(B67-Plan!$H$5)/Plan!$I$5,(B67-Plan!$H$6)/Plan!$I$6,(B67-Plan!$H$7)/Plan!$I$7,(B67-Plan!$H$8)/Plan!$I$8,(B67-Plan!$H$9)/Plan!$I$9,(B67-Plan!$H$10)/Plan!$I$10,(B67-Plan!$H$11)/Plan!$I$11,(B67-Plan!$H$12)/Plan!$I$12,(B67-Plan!$H$13)/Plan!$I$13,(B67-Plan!$H$14)/Plan!$I$14,(B67-Plan!$H$15)/Plan!$I$15,(B67-Plan!$H$16)/Plan!$I$16)</f>
        <v>0</v>
      </c>
      <c r="E67" s="16" t="n">
        <f aca="false">MIN(C67,Plan!$H$5-B67+Plan!$I$5*D67,Plan!$H$6-B67+Plan!$I$6*D67,Plan!$H$7-B67+Plan!$I$7*D67,Plan!$H$8-B67+Plan!$I$8*D67,Plan!$H$9-B67+Plan!$I$9*D67,Plan!$H$10-B67+Plan!$I$10*D67,Plan!$H$11-B67+Plan!$I$11*D67,Plan!$H$12-B67+Plan!$I$12*D67,Plan!$H$13-B67+Plan!$I$13*D67,Plan!$H$14-B67+Plan!$I$14*D67,Plan!$H$15-B67+Plan!$I$15*D67,Plan!$H$16-B67+Plan!$I$16*D67)</f>
        <v>23.4503823577855</v>
      </c>
      <c r="F67" s="11" t="n">
        <f aca="false">C67-E67</f>
        <v>166.749617642214</v>
      </c>
      <c r="G67" s="17" t="n">
        <f aca="false">D67</f>
        <v>0</v>
      </c>
      <c r="H67" s="16" t="n">
        <f aca="false">Fee*F67+VQ*G67</f>
        <v>5.00248852926643</v>
      </c>
      <c r="I67" s="17" t="n">
        <f aca="false">MAX(0,MIN(1,(GNone-H67)/(GNone-GFull)))</f>
        <v>0.999834098048904</v>
      </c>
      <c r="J67" s="16" t="n">
        <f aca="false">1-A67</f>
        <v>0.39</v>
      </c>
      <c r="K67" s="17" t="n">
        <f aca="false">MIN(I67,J67)</f>
        <v>0.39</v>
      </c>
      <c r="L67" s="20" t="n">
        <v>0.68015</v>
      </c>
      <c r="M67" s="21" t="n">
        <v>0.09135</v>
      </c>
      <c r="N67" s="21" t="n">
        <v>0.08928</v>
      </c>
      <c r="O67" s="16" t="n">
        <f aca="false">IF(M67&lt;=Alpha,A67,-1)</f>
        <v>-1</v>
      </c>
      <c r="P67" s="16" t="n">
        <f aca="false">IF(L67&gt;=0.95,A67,-1)</f>
        <v>-1</v>
      </c>
      <c r="Q67" s="17" t="n">
        <f aca="false">MIN(I67^2,J67)</f>
        <v>0.39</v>
      </c>
      <c r="R67" s="17" t="n">
        <f aca="false">MIN(SQRT(I67),J67)</f>
        <v>0.39</v>
      </c>
    </row>
    <row r="68" customFormat="false" ht="15" hidden="false" customHeight="false" outlineLevel="0" collapsed="false">
      <c r="A68" s="16" t="n">
        <v>0.62</v>
      </c>
      <c r="B68" s="11" t="n">
        <f aca="false">DNever-(DNever-DUsual)*A68</f>
        <v>107</v>
      </c>
      <c r="C68" s="11" t="n">
        <f aca="false">SNever-(SNever-SPlaus)*A68</f>
        <v>188.4</v>
      </c>
      <c r="D68" s="18" t="n">
        <f aca="false">MAX(0,(B68-Plan!$H$5)/Plan!$I$5,(B68-Plan!$H$6)/Plan!$I$6,(B68-Plan!$H$7)/Plan!$I$7,(B68-Plan!$H$8)/Plan!$I$8,(B68-Plan!$H$9)/Plan!$I$9,(B68-Plan!$H$10)/Plan!$I$10,(B68-Plan!$H$11)/Plan!$I$11,(B68-Plan!$H$12)/Plan!$I$12,(B68-Plan!$H$13)/Plan!$I$13,(B68-Plan!$H$14)/Plan!$I$14,(B68-Plan!$H$15)/Plan!$I$15,(B68-Plan!$H$16)/Plan!$I$16)</f>
        <v>0</v>
      </c>
      <c r="E68" s="16" t="n">
        <f aca="false">MIN(C68,Plan!$H$5-B68+Plan!$I$5*D68,Plan!$H$6-B68+Plan!$I$6*D68,Plan!$H$7-B68+Plan!$I$7*D68,Plan!$H$8-B68+Plan!$I$8*D68,Plan!$H$9-B68+Plan!$I$9*D68,Plan!$H$10-B68+Plan!$I$10*D68,Plan!$H$11-B68+Plan!$I$11*D68,Plan!$H$12-B68+Plan!$I$12*D68,Plan!$H$13-B68+Plan!$I$13*D68,Plan!$H$14-B68+Plan!$I$14*D68,Plan!$H$15-B68+Plan!$I$15*D68,Plan!$H$16-B68+Plan!$I$16*D68)</f>
        <v>24.9503823577855</v>
      </c>
      <c r="F68" s="11" t="n">
        <f aca="false">C68-E68</f>
        <v>163.449617642214</v>
      </c>
      <c r="G68" s="17" t="n">
        <f aca="false">D68</f>
        <v>0</v>
      </c>
      <c r="H68" s="16" t="n">
        <f aca="false">Fee*F68+VQ*G68</f>
        <v>4.90348852926643</v>
      </c>
      <c r="I68" s="17" t="n">
        <f aca="false">MAX(0,MIN(1,(GNone-H68)/(GNone-GFull)))</f>
        <v>1</v>
      </c>
      <c r="J68" s="16" t="n">
        <f aca="false">1-A68</f>
        <v>0.38</v>
      </c>
      <c r="K68" s="17" t="n">
        <f aca="false">MIN(I68,J68)</f>
        <v>0.38</v>
      </c>
      <c r="L68" s="20" t="n">
        <v>0.66855</v>
      </c>
      <c r="M68" s="21" t="n">
        <v>0.09209</v>
      </c>
      <c r="N68" s="21" t="n">
        <v>0.0899</v>
      </c>
      <c r="O68" s="16" t="n">
        <f aca="false">IF(M68&lt;=Alpha,A68,-1)</f>
        <v>-1</v>
      </c>
      <c r="P68" s="16" t="n">
        <f aca="false">IF(L68&gt;=0.95,A68,-1)</f>
        <v>-1</v>
      </c>
      <c r="Q68" s="17" t="n">
        <f aca="false">MIN(I68^2,J68)</f>
        <v>0.38</v>
      </c>
      <c r="R68" s="17" t="n">
        <f aca="false">MIN(SQRT(I68),J68)</f>
        <v>0.38</v>
      </c>
    </row>
    <row r="69" customFormat="false" ht="15" hidden="false" customHeight="false" outlineLevel="0" collapsed="false">
      <c r="A69" s="16" t="n">
        <v>0.63</v>
      </c>
      <c r="B69" s="11" t="n">
        <f aca="false">DNever-(DNever-DUsual)*A69</f>
        <v>105.5</v>
      </c>
      <c r="C69" s="11" t="n">
        <f aca="false">SNever-(SNever-SPlaus)*A69</f>
        <v>186.6</v>
      </c>
      <c r="D69" s="18" t="n">
        <f aca="false">MAX(0,(B69-Plan!$H$5)/Plan!$I$5,(B69-Plan!$H$6)/Plan!$I$6,(B69-Plan!$H$7)/Plan!$I$7,(B69-Plan!$H$8)/Plan!$I$8,(B69-Plan!$H$9)/Plan!$I$9,(B69-Plan!$H$10)/Plan!$I$10,(B69-Plan!$H$11)/Plan!$I$11,(B69-Plan!$H$12)/Plan!$I$12,(B69-Plan!$H$13)/Plan!$I$13,(B69-Plan!$H$14)/Plan!$I$14,(B69-Plan!$H$15)/Plan!$I$15,(B69-Plan!$H$16)/Plan!$I$16)</f>
        <v>0</v>
      </c>
      <c r="E69" s="16" t="n">
        <f aca="false">MIN(C69,Plan!$H$5-B69+Plan!$I$5*D69,Plan!$H$6-B69+Plan!$I$6*D69,Plan!$H$7-B69+Plan!$I$7*D69,Plan!$H$8-B69+Plan!$I$8*D69,Plan!$H$9-B69+Plan!$I$9*D69,Plan!$H$10-B69+Plan!$I$10*D69,Plan!$H$11-B69+Plan!$I$11*D69,Plan!$H$12-B69+Plan!$I$12*D69,Plan!$H$13-B69+Plan!$I$13*D69,Plan!$H$14-B69+Plan!$I$14*D69,Plan!$H$15-B69+Plan!$I$15*D69,Plan!$H$16-B69+Plan!$I$16*D69)</f>
        <v>26.4503823577855</v>
      </c>
      <c r="F69" s="11" t="n">
        <f aca="false">C69-E69</f>
        <v>160.149617642214</v>
      </c>
      <c r="G69" s="17" t="n">
        <f aca="false">D69</f>
        <v>0</v>
      </c>
      <c r="H69" s="16" t="n">
        <f aca="false">Fee*F69+VQ*G69</f>
        <v>4.80448852926643</v>
      </c>
      <c r="I69" s="17" t="n">
        <f aca="false">MAX(0,MIN(1,(GNone-H69)/(GNone-GFull)))</f>
        <v>1</v>
      </c>
      <c r="J69" s="16" t="n">
        <f aca="false">1-A69</f>
        <v>0.37</v>
      </c>
      <c r="K69" s="17" t="n">
        <f aca="false">MIN(I69,J69)</f>
        <v>0.37</v>
      </c>
      <c r="L69" s="20" t="n">
        <v>0.6566</v>
      </c>
      <c r="M69" s="21" t="n">
        <v>0.09305</v>
      </c>
      <c r="N69" s="21" t="n">
        <v>0.09063</v>
      </c>
      <c r="O69" s="16" t="n">
        <f aca="false">IF(M69&lt;=Alpha,A69,-1)</f>
        <v>-1</v>
      </c>
      <c r="P69" s="16" t="n">
        <f aca="false">IF(L69&gt;=0.95,A69,-1)</f>
        <v>-1</v>
      </c>
      <c r="Q69" s="17" t="n">
        <f aca="false">MIN(I69^2,J69)</f>
        <v>0.37</v>
      </c>
      <c r="R69" s="17" t="n">
        <f aca="false">MIN(SQRT(I69),J69)</f>
        <v>0.37</v>
      </c>
    </row>
    <row r="70" customFormat="false" ht="15" hidden="false" customHeight="false" outlineLevel="0" collapsed="false">
      <c r="A70" s="16" t="n">
        <v>0.64</v>
      </c>
      <c r="B70" s="11" t="n">
        <f aca="false">DNever-(DNever-DUsual)*A70</f>
        <v>104</v>
      </c>
      <c r="C70" s="11" t="n">
        <f aca="false">SNever-(SNever-SPlaus)*A70</f>
        <v>184.8</v>
      </c>
      <c r="D70" s="18" t="n">
        <f aca="false">MAX(0,(B70-Plan!$H$5)/Plan!$I$5,(B70-Plan!$H$6)/Plan!$I$6,(B70-Plan!$H$7)/Plan!$I$7,(B70-Plan!$H$8)/Plan!$I$8,(B70-Plan!$H$9)/Plan!$I$9,(B70-Plan!$H$10)/Plan!$I$10,(B70-Plan!$H$11)/Plan!$I$11,(B70-Plan!$H$12)/Plan!$I$12,(B70-Plan!$H$13)/Plan!$I$13,(B70-Plan!$H$14)/Plan!$I$14,(B70-Plan!$H$15)/Plan!$I$15,(B70-Plan!$H$16)/Plan!$I$16)</f>
        <v>0</v>
      </c>
      <c r="E70" s="16" t="n">
        <f aca="false">MIN(C70,Plan!$H$5-B70+Plan!$I$5*D70,Plan!$H$6-B70+Plan!$I$6*D70,Plan!$H$7-B70+Plan!$I$7*D70,Plan!$H$8-B70+Plan!$I$8*D70,Plan!$H$9-B70+Plan!$I$9*D70,Plan!$H$10-B70+Plan!$I$10*D70,Plan!$H$11-B70+Plan!$I$11*D70,Plan!$H$12-B70+Plan!$I$12*D70,Plan!$H$13-B70+Plan!$I$13*D70,Plan!$H$14-B70+Plan!$I$14*D70,Plan!$H$15-B70+Plan!$I$15*D70,Plan!$H$16-B70+Plan!$I$16*D70)</f>
        <v>27.9503823577855</v>
      </c>
      <c r="F70" s="11" t="n">
        <f aca="false">C70-E70</f>
        <v>156.849617642214</v>
      </c>
      <c r="G70" s="17" t="n">
        <f aca="false">D70</f>
        <v>0</v>
      </c>
      <c r="H70" s="16" t="n">
        <f aca="false">Fee*F70+VQ*G70</f>
        <v>4.70548852926643</v>
      </c>
      <c r="I70" s="17" t="n">
        <f aca="false">MAX(0,MIN(1,(GNone-H70)/(GNone-GFull)))</f>
        <v>1</v>
      </c>
      <c r="J70" s="16" t="n">
        <f aca="false">1-A70</f>
        <v>0.36</v>
      </c>
      <c r="K70" s="17" t="n">
        <f aca="false">MIN(I70,J70)</f>
        <v>0.36</v>
      </c>
      <c r="L70" s="20" t="n">
        <v>0.64473</v>
      </c>
      <c r="M70" s="21" t="n">
        <v>0.09395</v>
      </c>
      <c r="N70" s="21" t="n">
        <v>0.09155</v>
      </c>
      <c r="O70" s="16" t="n">
        <f aca="false">IF(M70&lt;=Alpha,A70,-1)</f>
        <v>-1</v>
      </c>
      <c r="P70" s="16" t="n">
        <f aca="false">IF(L70&gt;=0.95,A70,-1)</f>
        <v>-1</v>
      </c>
      <c r="Q70" s="17" t="n">
        <f aca="false">MIN(I70^2,J70)</f>
        <v>0.36</v>
      </c>
      <c r="R70" s="17" t="n">
        <f aca="false">MIN(SQRT(I70),J70)</f>
        <v>0.36</v>
      </c>
    </row>
    <row r="71" customFormat="false" ht="15" hidden="false" customHeight="false" outlineLevel="0" collapsed="false">
      <c r="A71" s="16" t="n">
        <v>0.65</v>
      </c>
      <c r="B71" s="11" t="n">
        <f aca="false">DNever-(DNever-DUsual)*A71</f>
        <v>102.5</v>
      </c>
      <c r="C71" s="11" t="n">
        <f aca="false">SNever-(SNever-SPlaus)*A71</f>
        <v>183</v>
      </c>
      <c r="D71" s="18" t="n">
        <f aca="false">MAX(0,(B71-Plan!$H$5)/Plan!$I$5,(B71-Plan!$H$6)/Plan!$I$6,(B71-Plan!$H$7)/Plan!$I$7,(B71-Plan!$H$8)/Plan!$I$8,(B71-Plan!$H$9)/Plan!$I$9,(B71-Plan!$H$10)/Plan!$I$10,(B71-Plan!$H$11)/Plan!$I$11,(B71-Plan!$H$12)/Plan!$I$12,(B71-Plan!$H$13)/Plan!$I$13,(B71-Plan!$H$14)/Plan!$I$14,(B71-Plan!$H$15)/Plan!$I$15,(B71-Plan!$H$16)/Plan!$I$16)</f>
        <v>0</v>
      </c>
      <c r="E71" s="16" t="n">
        <f aca="false">MIN(C71,Plan!$H$5-B71+Plan!$I$5*D71,Plan!$H$6-B71+Plan!$I$6*D71,Plan!$H$7-B71+Plan!$I$7*D71,Plan!$H$8-B71+Plan!$I$8*D71,Plan!$H$9-B71+Plan!$I$9*D71,Plan!$H$10-B71+Plan!$I$10*D71,Plan!$H$11-B71+Plan!$I$11*D71,Plan!$H$12-B71+Plan!$I$12*D71,Plan!$H$13-B71+Plan!$I$13*D71,Plan!$H$14-B71+Plan!$I$14*D71,Plan!$H$15-B71+Plan!$I$15*D71,Plan!$H$16-B71+Plan!$I$16*D71)</f>
        <v>29.4503823577855</v>
      </c>
      <c r="F71" s="11" t="n">
        <f aca="false">C71-E71</f>
        <v>153.549617642214</v>
      </c>
      <c r="G71" s="17" t="n">
        <f aca="false">D71</f>
        <v>0</v>
      </c>
      <c r="H71" s="16" t="n">
        <f aca="false">Fee*F71+VQ*G71</f>
        <v>4.60648852926643</v>
      </c>
      <c r="I71" s="17" t="n">
        <f aca="false">MAX(0,MIN(1,(GNone-H71)/(GNone-GFull)))</f>
        <v>1</v>
      </c>
      <c r="J71" s="16" t="n">
        <f aca="false">1-A71</f>
        <v>0.35</v>
      </c>
      <c r="K71" s="17" t="n">
        <f aca="false">MIN(I71,J71)</f>
        <v>0.35</v>
      </c>
      <c r="L71" s="20" t="n">
        <v>0.63217</v>
      </c>
      <c r="M71" s="21" t="n">
        <v>0.09505</v>
      </c>
      <c r="N71" s="21" t="n">
        <v>0.09239</v>
      </c>
      <c r="O71" s="16" t="n">
        <f aca="false">IF(M71&lt;=Alpha,A71,-1)</f>
        <v>-1</v>
      </c>
      <c r="P71" s="16" t="n">
        <f aca="false">IF(L71&gt;=0.95,A71,-1)</f>
        <v>-1</v>
      </c>
      <c r="Q71" s="17" t="n">
        <f aca="false">MIN(I71^2,J71)</f>
        <v>0.35</v>
      </c>
      <c r="R71" s="17" t="n">
        <f aca="false">MIN(SQRT(I71),J71)</f>
        <v>0.35</v>
      </c>
    </row>
    <row r="72" customFormat="false" ht="15" hidden="false" customHeight="false" outlineLevel="0" collapsed="false">
      <c r="A72" s="16" t="n">
        <v>0.66</v>
      </c>
      <c r="B72" s="11" t="n">
        <f aca="false">DNever-(DNever-DUsual)*A72</f>
        <v>101</v>
      </c>
      <c r="C72" s="11" t="n">
        <f aca="false">SNever-(SNever-SPlaus)*A72</f>
        <v>181.2</v>
      </c>
      <c r="D72" s="18" t="n">
        <f aca="false">MAX(0,(B72-Plan!$H$5)/Plan!$I$5,(B72-Plan!$H$6)/Plan!$I$6,(B72-Plan!$H$7)/Plan!$I$7,(B72-Plan!$H$8)/Plan!$I$8,(B72-Plan!$H$9)/Plan!$I$9,(B72-Plan!$H$10)/Plan!$I$10,(B72-Plan!$H$11)/Plan!$I$11,(B72-Plan!$H$12)/Plan!$I$12,(B72-Plan!$H$13)/Plan!$I$13,(B72-Plan!$H$14)/Plan!$I$14,(B72-Plan!$H$15)/Plan!$I$15,(B72-Plan!$H$16)/Plan!$I$16)</f>
        <v>0</v>
      </c>
      <c r="E72" s="16" t="n">
        <f aca="false">MIN(C72,Plan!$H$5-B72+Plan!$I$5*D72,Plan!$H$6-B72+Plan!$I$6*D72,Plan!$H$7-B72+Plan!$I$7*D72,Plan!$H$8-B72+Plan!$I$8*D72,Plan!$H$9-B72+Plan!$I$9*D72,Plan!$H$10-B72+Plan!$I$10*D72,Plan!$H$11-B72+Plan!$I$11*D72,Plan!$H$12-B72+Plan!$I$12*D72,Plan!$H$13-B72+Plan!$I$13*D72,Plan!$H$14-B72+Plan!$I$14*D72,Plan!$H$15-B72+Plan!$I$15*D72,Plan!$H$16-B72+Plan!$I$16*D72)</f>
        <v>30.9503823577855</v>
      </c>
      <c r="F72" s="11" t="n">
        <f aca="false">C72-E72</f>
        <v>150.249617642214</v>
      </c>
      <c r="G72" s="17" t="n">
        <f aca="false">D72</f>
        <v>0</v>
      </c>
      <c r="H72" s="16" t="n">
        <f aca="false">Fee*F72+VQ*G72</f>
        <v>4.50748852926643</v>
      </c>
      <c r="I72" s="17" t="n">
        <f aca="false">MAX(0,MIN(1,(GNone-H72)/(GNone-GFull)))</f>
        <v>1</v>
      </c>
      <c r="J72" s="16" t="n">
        <f aca="false">1-A72</f>
        <v>0.34</v>
      </c>
      <c r="K72" s="17" t="n">
        <f aca="false">MIN(I72,J72)</f>
        <v>0.34</v>
      </c>
      <c r="L72" s="20" t="n">
        <v>0.61961</v>
      </c>
      <c r="M72" s="21" t="n">
        <v>0.09581</v>
      </c>
      <c r="N72" s="21" t="n">
        <v>0.09329</v>
      </c>
      <c r="O72" s="16" t="n">
        <f aca="false">IF(M72&lt;=Alpha,A72,-1)</f>
        <v>-1</v>
      </c>
      <c r="P72" s="16" t="n">
        <f aca="false">IF(L72&gt;=0.95,A72,-1)</f>
        <v>-1</v>
      </c>
      <c r="Q72" s="17" t="n">
        <f aca="false">MIN(I72^2,J72)</f>
        <v>0.34</v>
      </c>
      <c r="R72" s="17" t="n">
        <f aca="false">MIN(SQRT(I72),J72)</f>
        <v>0.34</v>
      </c>
    </row>
    <row r="73" customFormat="false" ht="15" hidden="false" customHeight="false" outlineLevel="0" collapsed="false">
      <c r="A73" s="16" t="n">
        <v>0.67</v>
      </c>
      <c r="B73" s="11" t="n">
        <f aca="false">DNever-(DNever-DUsual)*A73</f>
        <v>99.5</v>
      </c>
      <c r="C73" s="11" t="n">
        <f aca="false">SNever-(SNever-SPlaus)*A73</f>
        <v>179.4</v>
      </c>
      <c r="D73" s="18" t="n">
        <f aca="false">MAX(0,(B73-Plan!$H$5)/Plan!$I$5,(B73-Plan!$H$6)/Plan!$I$6,(B73-Plan!$H$7)/Plan!$I$7,(B73-Plan!$H$8)/Plan!$I$8,(B73-Plan!$H$9)/Plan!$I$9,(B73-Plan!$H$10)/Plan!$I$10,(B73-Plan!$H$11)/Plan!$I$11,(B73-Plan!$H$12)/Plan!$I$12,(B73-Plan!$H$13)/Plan!$I$13,(B73-Plan!$H$14)/Plan!$I$14,(B73-Plan!$H$15)/Plan!$I$15,(B73-Plan!$H$16)/Plan!$I$16)</f>
        <v>0</v>
      </c>
      <c r="E73" s="16" t="n">
        <f aca="false">MIN(C73,Plan!$H$5-B73+Plan!$I$5*D73,Plan!$H$6-B73+Plan!$I$6*D73,Plan!$H$7-B73+Plan!$I$7*D73,Plan!$H$8-B73+Plan!$I$8*D73,Plan!$H$9-B73+Plan!$I$9*D73,Plan!$H$10-B73+Plan!$I$10*D73,Plan!$H$11-B73+Plan!$I$11*D73,Plan!$H$12-B73+Plan!$I$12*D73,Plan!$H$13-B73+Plan!$I$13*D73,Plan!$H$14-B73+Plan!$I$14*D73,Plan!$H$15-B73+Plan!$I$15*D73,Plan!$H$16-B73+Plan!$I$16*D73)</f>
        <v>32.4503823577855</v>
      </c>
      <c r="F73" s="11" t="n">
        <f aca="false">C73-E73</f>
        <v>146.949617642214</v>
      </c>
      <c r="G73" s="17" t="n">
        <f aca="false">D73</f>
        <v>0</v>
      </c>
      <c r="H73" s="16" t="n">
        <f aca="false">Fee*F73+VQ*G73</f>
        <v>4.40848852926643</v>
      </c>
      <c r="I73" s="17" t="n">
        <f aca="false">MAX(0,MIN(1,(GNone-H73)/(GNone-GFull)))</f>
        <v>1</v>
      </c>
      <c r="J73" s="16" t="n">
        <f aca="false">1-A73</f>
        <v>0.33</v>
      </c>
      <c r="K73" s="17" t="n">
        <f aca="false">MIN(I73,J73)</f>
        <v>0.33</v>
      </c>
      <c r="L73" s="20" t="n">
        <v>0.60665</v>
      </c>
      <c r="M73" s="21" t="n">
        <v>0.09683</v>
      </c>
      <c r="N73" s="21" t="n">
        <v>0.09459</v>
      </c>
      <c r="O73" s="16" t="n">
        <f aca="false">IF(M73&lt;=Alpha,A73,-1)</f>
        <v>-1</v>
      </c>
      <c r="P73" s="16" t="n">
        <f aca="false">IF(L73&gt;=0.95,A73,-1)</f>
        <v>-1</v>
      </c>
      <c r="Q73" s="17" t="n">
        <f aca="false">MIN(I73^2,J73)</f>
        <v>0.33</v>
      </c>
      <c r="R73" s="17" t="n">
        <f aca="false">MIN(SQRT(I73),J73)</f>
        <v>0.33</v>
      </c>
    </row>
    <row r="74" customFormat="false" ht="15" hidden="false" customHeight="false" outlineLevel="0" collapsed="false">
      <c r="A74" s="16" t="n">
        <v>0.68</v>
      </c>
      <c r="B74" s="11" t="n">
        <f aca="false">DNever-(DNever-DUsual)*A74</f>
        <v>98</v>
      </c>
      <c r="C74" s="11" t="n">
        <f aca="false">SNever-(SNever-SPlaus)*A74</f>
        <v>177.6</v>
      </c>
      <c r="D74" s="18" t="n">
        <f aca="false">MAX(0,(B74-Plan!$H$5)/Plan!$I$5,(B74-Plan!$H$6)/Plan!$I$6,(B74-Plan!$H$7)/Plan!$I$7,(B74-Plan!$H$8)/Plan!$I$8,(B74-Plan!$H$9)/Plan!$I$9,(B74-Plan!$H$10)/Plan!$I$10,(B74-Plan!$H$11)/Plan!$I$11,(B74-Plan!$H$12)/Plan!$I$12,(B74-Plan!$H$13)/Plan!$I$13,(B74-Plan!$H$14)/Plan!$I$14,(B74-Plan!$H$15)/Plan!$I$15,(B74-Plan!$H$16)/Plan!$I$16)</f>
        <v>0</v>
      </c>
      <c r="E74" s="16" t="n">
        <f aca="false">MIN(C74,Plan!$H$5-B74+Plan!$I$5*D74,Plan!$H$6-B74+Plan!$I$6*D74,Plan!$H$7-B74+Plan!$I$7*D74,Plan!$H$8-B74+Plan!$I$8*D74,Plan!$H$9-B74+Plan!$I$9*D74,Plan!$H$10-B74+Plan!$I$10*D74,Plan!$H$11-B74+Plan!$I$11*D74,Plan!$H$12-B74+Plan!$I$12*D74,Plan!$H$13-B74+Plan!$I$13*D74,Plan!$H$14-B74+Plan!$I$14*D74,Plan!$H$15-B74+Plan!$I$15*D74,Plan!$H$16-B74+Plan!$I$16*D74)</f>
        <v>33.9503823577856</v>
      </c>
      <c r="F74" s="11" t="n">
        <f aca="false">C74-E74</f>
        <v>143.649617642214</v>
      </c>
      <c r="G74" s="17" t="n">
        <f aca="false">D74</f>
        <v>0</v>
      </c>
      <c r="H74" s="16" t="n">
        <f aca="false">Fee*F74+VQ*G74</f>
        <v>4.30948852926643</v>
      </c>
      <c r="I74" s="17" t="n">
        <f aca="false">MAX(0,MIN(1,(GNone-H74)/(GNone-GFull)))</f>
        <v>1</v>
      </c>
      <c r="J74" s="16" t="n">
        <f aca="false">1-A74</f>
        <v>0.32</v>
      </c>
      <c r="K74" s="17" t="n">
        <f aca="false">MIN(I74,J74)</f>
        <v>0.32</v>
      </c>
      <c r="L74" s="20" t="n">
        <v>0.59351</v>
      </c>
      <c r="M74" s="21" t="n">
        <v>0.09802</v>
      </c>
      <c r="N74" s="21" t="n">
        <v>0.09578</v>
      </c>
      <c r="O74" s="16" t="n">
        <f aca="false">IF(M74&lt;=Alpha,A74,-1)</f>
        <v>-1</v>
      </c>
      <c r="P74" s="16" t="n">
        <f aca="false">IF(L74&gt;=0.95,A74,-1)</f>
        <v>-1</v>
      </c>
      <c r="Q74" s="17" t="n">
        <f aca="false">MIN(I74^2,J74)</f>
        <v>0.32</v>
      </c>
      <c r="R74" s="17" t="n">
        <f aca="false">MIN(SQRT(I74),J74)</f>
        <v>0.32</v>
      </c>
    </row>
    <row r="75" customFormat="false" ht="15" hidden="false" customHeight="false" outlineLevel="0" collapsed="false">
      <c r="A75" s="16" t="n">
        <v>0.69</v>
      </c>
      <c r="B75" s="11" t="n">
        <f aca="false">DNever-(DNever-DUsual)*A75</f>
        <v>96.5</v>
      </c>
      <c r="C75" s="11" t="n">
        <f aca="false">SNever-(SNever-SPlaus)*A75</f>
        <v>175.8</v>
      </c>
      <c r="D75" s="18" t="n">
        <f aca="false">MAX(0,(B75-Plan!$H$5)/Plan!$I$5,(B75-Plan!$H$6)/Plan!$I$6,(B75-Plan!$H$7)/Plan!$I$7,(B75-Plan!$H$8)/Plan!$I$8,(B75-Plan!$H$9)/Plan!$I$9,(B75-Plan!$H$10)/Plan!$I$10,(B75-Plan!$H$11)/Plan!$I$11,(B75-Plan!$H$12)/Plan!$I$12,(B75-Plan!$H$13)/Plan!$I$13,(B75-Plan!$H$14)/Plan!$I$14,(B75-Plan!$H$15)/Plan!$I$15,(B75-Plan!$H$16)/Plan!$I$16)</f>
        <v>0</v>
      </c>
      <c r="E75" s="16" t="n">
        <f aca="false">MIN(C75,Plan!$H$5-B75+Plan!$I$5*D75,Plan!$H$6-B75+Plan!$I$6*D75,Plan!$H$7-B75+Plan!$I$7*D75,Plan!$H$8-B75+Plan!$I$8*D75,Plan!$H$9-B75+Plan!$I$9*D75,Plan!$H$10-B75+Plan!$I$10*D75,Plan!$H$11-B75+Plan!$I$11*D75,Plan!$H$12-B75+Plan!$I$12*D75,Plan!$H$13-B75+Plan!$I$13*D75,Plan!$H$14-B75+Plan!$I$14*D75,Plan!$H$15-B75+Plan!$I$15*D75,Plan!$H$16-B75+Plan!$I$16*D75)</f>
        <v>35.4503823577855</v>
      </c>
      <c r="F75" s="11" t="n">
        <f aca="false">C75-E75</f>
        <v>140.349617642214</v>
      </c>
      <c r="G75" s="17" t="n">
        <f aca="false">D75</f>
        <v>0</v>
      </c>
      <c r="H75" s="16" t="n">
        <f aca="false">Fee*F75+VQ*G75</f>
        <v>4.21048852926643</v>
      </c>
      <c r="I75" s="17" t="n">
        <f aca="false">MAX(0,MIN(1,(GNone-H75)/(GNone-GFull)))</f>
        <v>1</v>
      </c>
      <c r="J75" s="16" t="n">
        <f aca="false">1-A75</f>
        <v>0.31</v>
      </c>
      <c r="K75" s="17" t="n">
        <f aca="false">MIN(I75,J75)</f>
        <v>0.31</v>
      </c>
      <c r="L75" s="20" t="n">
        <v>0.58051</v>
      </c>
      <c r="M75" s="21" t="n">
        <v>0.0992</v>
      </c>
      <c r="N75" s="21" t="n">
        <v>0.09714</v>
      </c>
      <c r="O75" s="16" t="n">
        <f aca="false">IF(M75&lt;=Alpha,A75,-1)</f>
        <v>-1</v>
      </c>
      <c r="P75" s="16" t="n">
        <f aca="false">IF(L75&gt;=0.95,A75,-1)</f>
        <v>-1</v>
      </c>
      <c r="Q75" s="17" t="n">
        <f aca="false">MIN(I75^2,J75)</f>
        <v>0.31</v>
      </c>
      <c r="R75" s="17" t="n">
        <f aca="false">MIN(SQRT(I75),J75)</f>
        <v>0.31</v>
      </c>
    </row>
    <row r="76" customFormat="false" ht="15" hidden="false" customHeight="false" outlineLevel="0" collapsed="false">
      <c r="A76" s="16" t="n">
        <v>0.7</v>
      </c>
      <c r="B76" s="11" t="n">
        <f aca="false">DNever-(DNever-DUsual)*A76</f>
        <v>95</v>
      </c>
      <c r="C76" s="11" t="n">
        <f aca="false">SNever-(SNever-SPlaus)*A76</f>
        <v>174</v>
      </c>
      <c r="D76" s="18" t="n">
        <f aca="false">MAX(0,(B76-Plan!$H$5)/Plan!$I$5,(B76-Plan!$H$6)/Plan!$I$6,(B76-Plan!$H$7)/Plan!$I$7,(B76-Plan!$H$8)/Plan!$I$8,(B76-Plan!$H$9)/Plan!$I$9,(B76-Plan!$H$10)/Plan!$I$10,(B76-Plan!$H$11)/Plan!$I$11,(B76-Plan!$H$12)/Plan!$I$12,(B76-Plan!$H$13)/Plan!$I$13,(B76-Plan!$H$14)/Plan!$I$14,(B76-Plan!$H$15)/Plan!$I$15,(B76-Plan!$H$16)/Plan!$I$16)</f>
        <v>0</v>
      </c>
      <c r="E76" s="16" t="n">
        <f aca="false">MIN(C76,Plan!$H$5-B76+Plan!$I$5*D76,Plan!$H$6-B76+Plan!$I$6*D76,Plan!$H$7-B76+Plan!$I$7*D76,Plan!$H$8-B76+Plan!$I$8*D76,Plan!$H$9-B76+Plan!$I$9*D76,Plan!$H$10-B76+Plan!$I$10*D76,Plan!$H$11-B76+Plan!$I$11*D76,Plan!$H$12-B76+Plan!$I$12*D76,Plan!$H$13-B76+Plan!$I$13*D76,Plan!$H$14-B76+Plan!$I$14*D76,Plan!$H$15-B76+Plan!$I$15*D76,Plan!$H$16-B76+Plan!$I$16*D76)</f>
        <v>36.9503823577855</v>
      </c>
      <c r="F76" s="11" t="n">
        <f aca="false">C76-E76</f>
        <v>137.049617642214</v>
      </c>
      <c r="G76" s="17" t="n">
        <f aca="false">D76</f>
        <v>0</v>
      </c>
      <c r="H76" s="16" t="n">
        <f aca="false">Fee*F76+VQ*G76</f>
        <v>4.11148852926643</v>
      </c>
      <c r="I76" s="17" t="n">
        <f aca="false">MAX(0,MIN(1,(GNone-H76)/(GNone-GFull)))</f>
        <v>1</v>
      </c>
      <c r="J76" s="16" t="n">
        <f aca="false">1-A76</f>
        <v>0.3</v>
      </c>
      <c r="K76" s="17" t="n">
        <f aca="false">MIN(I76,J76)</f>
        <v>0.3</v>
      </c>
      <c r="L76" s="20" t="n">
        <v>0.56757</v>
      </c>
      <c r="M76" s="21" t="n">
        <v>0.10048</v>
      </c>
      <c r="N76" s="21" t="n">
        <v>0.09854</v>
      </c>
      <c r="O76" s="16" t="n">
        <f aca="false">IF(M76&lt;=Alpha,A76,-1)</f>
        <v>-1</v>
      </c>
      <c r="P76" s="16" t="n">
        <f aca="false">IF(L76&gt;=0.95,A76,-1)</f>
        <v>-1</v>
      </c>
      <c r="Q76" s="17" t="n">
        <f aca="false">MIN(I76^2,J76)</f>
        <v>0.3</v>
      </c>
      <c r="R76" s="17" t="n">
        <f aca="false">MIN(SQRT(I76),J76)</f>
        <v>0.3</v>
      </c>
    </row>
    <row r="77" customFormat="false" ht="15" hidden="false" customHeight="false" outlineLevel="0" collapsed="false">
      <c r="A77" s="16" t="n">
        <v>0.71</v>
      </c>
      <c r="B77" s="11" t="n">
        <f aca="false">DNever-(DNever-DUsual)*A77</f>
        <v>93.5</v>
      </c>
      <c r="C77" s="11" t="n">
        <f aca="false">SNever-(SNever-SPlaus)*A77</f>
        <v>172.2</v>
      </c>
      <c r="D77" s="18" t="n">
        <f aca="false">MAX(0,(B77-Plan!$H$5)/Plan!$I$5,(B77-Plan!$H$6)/Plan!$I$6,(B77-Plan!$H$7)/Plan!$I$7,(B77-Plan!$H$8)/Plan!$I$8,(B77-Plan!$H$9)/Plan!$I$9,(B77-Plan!$H$10)/Plan!$I$10,(B77-Plan!$H$11)/Plan!$I$11,(B77-Plan!$H$12)/Plan!$I$12,(B77-Plan!$H$13)/Plan!$I$13,(B77-Plan!$H$14)/Plan!$I$14,(B77-Plan!$H$15)/Plan!$I$15,(B77-Plan!$H$16)/Plan!$I$16)</f>
        <v>0</v>
      </c>
      <c r="E77" s="16" t="n">
        <f aca="false">MIN(C77,Plan!$H$5-B77+Plan!$I$5*D77,Plan!$H$6-B77+Plan!$I$6*D77,Plan!$H$7-B77+Plan!$I$7*D77,Plan!$H$8-B77+Plan!$I$8*D77,Plan!$H$9-B77+Plan!$I$9*D77,Plan!$H$10-B77+Plan!$I$10*D77,Plan!$H$11-B77+Plan!$I$11*D77,Plan!$H$12-B77+Plan!$I$12*D77,Plan!$H$13-B77+Plan!$I$13*D77,Plan!$H$14-B77+Plan!$I$14*D77,Plan!$H$15-B77+Plan!$I$15*D77,Plan!$H$16-B77+Plan!$I$16*D77)</f>
        <v>38.4503823577855</v>
      </c>
      <c r="F77" s="11" t="n">
        <f aca="false">C77-E77</f>
        <v>133.749617642214</v>
      </c>
      <c r="G77" s="17" t="n">
        <f aca="false">D77</f>
        <v>0</v>
      </c>
      <c r="H77" s="16" t="n">
        <f aca="false">Fee*F77+VQ*G77</f>
        <v>4.01248852926643</v>
      </c>
      <c r="I77" s="17" t="n">
        <f aca="false">MAX(0,MIN(1,(GNone-H77)/(GNone-GFull)))</f>
        <v>1</v>
      </c>
      <c r="J77" s="16" t="n">
        <f aca="false">1-A77</f>
        <v>0.29</v>
      </c>
      <c r="K77" s="17" t="n">
        <f aca="false">MIN(I77,J77)</f>
        <v>0.29</v>
      </c>
      <c r="L77" s="20" t="n">
        <v>0.55367</v>
      </c>
      <c r="M77" s="21" t="n">
        <v>0.10197</v>
      </c>
      <c r="N77" s="21" t="n">
        <v>0.09969</v>
      </c>
      <c r="O77" s="16" t="n">
        <f aca="false">IF(M77&lt;=Alpha,A77,-1)</f>
        <v>-1</v>
      </c>
      <c r="P77" s="16" t="n">
        <f aca="false">IF(L77&gt;=0.95,A77,-1)</f>
        <v>-1</v>
      </c>
      <c r="Q77" s="17" t="n">
        <f aca="false">MIN(I77^2,J77)</f>
        <v>0.29</v>
      </c>
      <c r="R77" s="17" t="n">
        <f aca="false">MIN(SQRT(I77),J77)</f>
        <v>0.29</v>
      </c>
    </row>
    <row r="78" customFormat="false" ht="15" hidden="false" customHeight="false" outlineLevel="0" collapsed="false">
      <c r="A78" s="16" t="n">
        <v>0.72</v>
      </c>
      <c r="B78" s="11" t="n">
        <f aca="false">DNever-(DNever-DUsual)*A78</f>
        <v>92</v>
      </c>
      <c r="C78" s="11" t="n">
        <f aca="false">SNever-(SNever-SPlaus)*A78</f>
        <v>170.4</v>
      </c>
      <c r="D78" s="18" t="n">
        <f aca="false">MAX(0,(B78-Plan!$H$5)/Plan!$I$5,(B78-Plan!$H$6)/Plan!$I$6,(B78-Plan!$H$7)/Plan!$I$7,(B78-Plan!$H$8)/Plan!$I$8,(B78-Plan!$H$9)/Plan!$I$9,(B78-Plan!$H$10)/Plan!$I$10,(B78-Plan!$H$11)/Plan!$I$11,(B78-Plan!$H$12)/Plan!$I$12,(B78-Plan!$H$13)/Plan!$I$13,(B78-Plan!$H$14)/Plan!$I$14,(B78-Plan!$H$15)/Plan!$I$15,(B78-Plan!$H$16)/Plan!$I$16)</f>
        <v>0</v>
      </c>
      <c r="E78" s="16" t="n">
        <f aca="false">MIN(C78,Plan!$H$5-B78+Plan!$I$5*D78,Plan!$H$6-B78+Plan!$I$6*D78,Plan!$H$7-B78+Plan!$I$7*D78,Plan!$H$8-B78+Plan!$I$8*D78,Plan!$H$9-B78+Plan!$I$9*D78,Plan!$H$10-B78+Plan!$I$10*D78,Plan!$H$11-B78+Plan!$I$11*D78,Plan!$H$12-B78+Plan!$I$12*D78,Plan!$H$13-B78+Plan!$I$13*D78,Plan!$H$14-B78+Plan!$I$14*D78,Plan!$H$15-B78+Plan!$I$15*D78,Plan!$H$16-B78+Plan!$I$16*D78)</f>
        <v>39.9503823577855</v>
      </c>
      <c r="F78" s="11" t="n">
        <f aca="false">C78-E78</f>
        <v>130.449617642214</v>
      </c>
      <c r="G78" s="17" t="n">
        <f aca="false">D78</f>
        <v>0</v>
      </c>
      <c r="H78" s="16" t="n">
        <f aca="false">Fee*F78+VQ*G78</f>
        <v>3.91348852926643</v>
      </c>
      <c r="I78" s="17" t="n">
        <f aca="false">MAX(0,MIN(1,(GNone-H78)/(GNone-GFull)))</f>
        <v>1</v>
      </c>
      <c r="J78" s="16" t="n">
        <f aca="false">1-A78</f>
        <v>0.28</v>
      </c>
      <c r="K78" s="17" t="n">
        <f aca="false">MIN(I78,J78)</f>
        <v>0.28</v>
      </c>
      <c r="L78" s="20" t="n">
        <v>0.54045</v>
      </c>
      <c r="M78" s="21" t="n">
        <v>0.10364</v>
      </c>
      <c r="N78" s="21" t="n">
        <v>0.10134</v>
      </c>
      <c r="O78" s="16" t="n">
        <f aca="false">IF(M78&lt;=Alpha,A78,-1)</f>
        <v>-1</v>
      </c>
      <c r="P78" s="16" t="n">
        <f aca="false">IF(L78&gt;=0.95,A78,-1)</f>
        <v>-1</v>
      </c>
      <c r="Q78" s="17" t="n">
        <f aca="false">MIN(I78^2,J78)</f>
        <v>0.28</v>
      </c>
      <c r="R78" s="17" t="n">
        <f aca="false">MIN(SQRT(I78),J78)</f>
        <v>0.28</v>
      </c>
    </row>
    <row r="79" customFormat="false" ht="15" hidden="false" customHeight="false" outlineLevel="0" collapsed="false">
      <c r="A79" s="16" t="n">
        <v>0.73</v>
      </c>
      <c r="B79" s="11" t="n">
        <f aca="false">DNever-(DNever-DUsual)*A79</f>
        <v>90.5</v>
      </c>
      <c r="C79" s="11" t="n">
        <f aca="false">SNever-(SNever-SPlaus)*A79</f>
        <v>168.6</v>
      </c>
      <c r="D79" s="18" t="n">
        <f aca="false">MAX(0,(B79-Plan!$H$5)/Plan!$I$5,(B79-Plan!$H$6)/Plan!$I$6,(B79-Plan!$H$7)/Plan!$I$7,(B79-Plan!$H$8)/Plan!$I$8,(B79-Plan!$H$9)/Plan!$I$9,(B79-Plan!$H$10)/Plan!$I$10,(B79-Plan!$H$11)/Plan!$I$11,(B79-Plan!$H$12)/Plan!$I$12,(B79-Plan!$H$13)/Plan!$I$13,(B79-Plan!$H$14)/Plan!$I$14,(B79-Plan!$H$15)/Plan!$I$15,(B79-Plan!$H$16)/Plan!$I$16)</f>
        <v>0</v>
      </c>
      <c r="E79" s="16" t="n">
        <f aca="false">MIN(C79,Plan!$H$5-B79+Plan!$I$5*D79,Plan!$H$6-B79+Plan!$I$6*D79,Plan!$H$7-B79+Plan!$I$7*D79,Plan!$H$8-B79+Plan!$I$8*D79,Plan!$H$9-B79+Plan!$I$9*D79,Plan!$H$10-B79+Plan!$I$10*D79,Plan!$H$11-B79+Plan!$I$11*D79,Plan!$H$12-B79+Plan!$I$12*D79,Plan!$H$13-B79+Plan!$I$13*D79,Plan!$H$14-B79+Plan!$I$14*D79,Plan!$H$15-B79+Plan!$I$15*D79,Plan!$H$16-B79+Plan!$I$16*D79)</f>
        <v>41.4503823577855</v>
      </c>
      <c r="F79" s="11" t="n">
        <f aca="false">C79-E79</f>
        <v>127.149617642214</v>
      </c>
      <c r="G79" s="17" t="n">
        <f aca="false">D79</f>
        <v>0</v>
      </c>
      <c r="H79" s="16" t="n">
        <f aca="false">Fee*F79+VQ*G79</f>
        <v>3.81448852926643</v>
      </c>
      <c r="I79" s="17" t="n">
        <f aca="false">MAX(0,MIN(1,(GNone-H79)/(GNone-GFull)))</f>
        <v>1</v>
      </c>
      <c r="J79" s="16" t="n">
        <f aca="false">1-A79</f>
        <v>0.27</v>
      </c>
      <c r="K79" s="17" t="n">
        <f aca="false">MIN(I79,J79)</f>
        <v>0.27</v>
      </c>
      <c r="L79" s="20" t="n">
        <v>0.5268</v>
      </c>
      <c r="M79" s="21" t="n">
        <v>0.10528</v>
      </c>
      <c r="N79" s="21" t="n">
        <v>0.10291</v>
      </c>
      <c r="O79" s="16" t="n">
        <f aca="false">IF(M79&lt;=Alpha,A79,-1)</f>
        <v>-1</v>
      </c>
      <c r="P79" s="16" t="n">
        <f aca="false">IF(L79&gt;=0.95,A79,-1)</f>
        <v>-1</v>
      </c>
      <c r="Q79" s="17" t="n">
        <f aca="false">MIN(I79^2,J79)</f>
        <v>0.27</v>
      </c>
      <c r="R79" s="17" t="n">
        <f aca="false">MIN(SQRT(I79),J79)</f>
        <v>0.27</v>
      </c>
    </row>
    <row r="80" customFormat="false" ht="15" hidden="false" customHeight="false" outlineLevel="0" collapsed="false">
      <c r="A80" s="16" t="n">
        <v>0.74</v>
      </c>
      <c r="B80" s="11" t="n">
        <f aca="false">DNever-(DNever-DUsual)*A80</f>
        <v>89</v>
      </c>
      <c r="C80" s="11" t="n">
        <f aca="false">SNever-(SNever-SPlaus)*A80</f>
        <v>166.8</v>
      </c>
      <c r="D80" s="18" t="n">
        <f aca="false">MAX(0,(B80-Plan!$H$5)/Plan!$I$5,(B80-Plan!$H$6)/Plan!$I$6,(B80-Plan!$H$7)/Plan!$I$7,(B80-Plan!$H$8)/Plan!$I$8,(B80-Plan!$H$9)/Plan!$I$9,(B80-Plan!$H$10)/Plan!$I$10,(B80-Plan!$H$11)/Plan!$I$11,(B80-Plan!$H$12)/Plan!$I$12,(B80-Plan!$H$13)/Plan!$I$13,(B80-Plan!$H$14)/Plan!$I$14,(B80-Plan!$H$15)/Plan!$I$15,(B80-Plan!$H$16)/Plan!$I$16)</f>
        <v>0</v>
      </c>
      <c r="E80" s="16" t="n">
        <f aca="false">MIN(C80,Plan!$H$5-B80+Plan!$I$5*D80,Plan!$H$6-B80+Plan!$I$6*D80,Plan!$H$7-B80+Plan!$I$7*D80,Plan!$H$8-B80+Plan!$I$8*D80,Plan!$H$9-B80+Plan!$I$9*D80,Plan!$H$10-B80+Plan!$I$10*D80,Plan!$H$11-B80+Plan!$I$11*D80,Plan!$H$12-B80+Plan!$I$12*D80,Plan!$H$13-B80+Plan!$I$13*D80,Plan!$H$14-B80+Plan!$I$14*D80,Plan!$H$15-B80+Plan!$I$15*D80,Plan!$H$16-B80+Plan!$I$16*D80)</f>
        <v>42.9503823577855</v>
      </c>
      <c r="F80" s="11" t="n">
        <f aca="false">C80-E80</f>
        <v>123.849617642214</v>
      </c>
      <c r="G80" s="17" t="n">
        <f aca="false">D80</f>
        <v>0</v>
      </c>
      <c r="H80" s="16" t="n">
        <f aca="false">Fee*F80+VQ*G80</f>
        <v>3.71548852926643</v>
      </c>
      <c r="I80" s="17" t="n">
        <f aca="false">MAX(0,MIN(1,(GNone-H80)/(GNone-GFull)))</f>
        <v>1</v>
      </c>
      <c r="J80" s="16" t="n">
        <f aca="false">1-A80</f>
        <v>0.26</v>
      </c>
      <c r="K80" s="17" t="n">
        <f aca="false">MIN(I80,J80)</f>
        <v>0.26</v>
      </c>
      <c r="L80" s="20" t="n">
        <v>0.5129</v>
      </c>
      <c r="M80" s="21" t="n">
        <v>0.10704</v>
      </c>
      <c r="N80" s="21" t="n">
        <v>0.10471</v>
      </c>
      <c r="O80" s="16" t="n">
        <f aca="false">IF(M80&lt;=Alpha,A80,-1)</f>
        <v>-1</v>
      </c>
      <c r="P80" s="16" t="n">
        <f aca="false">IF(L80&gt;=0.95,A80,-1)</f>
        <v>-1</v>
      </c>
      <c r="Q80" s="17" t="n">
        <f aca="false">MIN(I80^2,J80)</f>
        <v>0.26</v>
      </c>
      <c r="R80" s="17" t="n">
        <f aca="false">MIN(SQRT(I80),J80)</f>
        <v>0.26</v>
      </c>
    </row>
    <row r="81" customFormat="false" ht="15" hidden="false" customHeight="false" outlineLevel="0" collapsed="false">
      <c r="A81" s="16" t="n">
        <v>0.75</v>
      </c>
      <c r="B81" s="11" t="n">
        <f aca="false">DNever-(DNever-DUsual)*A81</f>
        <v>87.5</v>
      </c>
      <c r="C81" s="11" t="n">
        <f aca="false">SNever-(SNever-SPlaus)*A81</f>
        <v>165</v>
      </c>
      <c r="D81" s="18" t="n">
        <f aca="false">MAX(0,(B81-Plan!$H$5)/Plan!$I$5,(B81-Plan!$H$6)/Plan!$I$6,(B81-Plan!$H$7)/Plan!$I$7,(B81-Plan!$H$8)/Plan!$I$8,(B81-Plan!$H$9)/Plan!$I$9,(B81-Plan!$H$10)/Plan!$I$10,(B81-Plan!$H$11)/Plan!$I$11,(B81-Plan!$H$12)/Plan!$I$12,(B81-Plan!$H$13)/Plan!$I$13,(B81-Plan!$H$14)/Plan!$I$14,(B81-Plan!$H$15)/Plan!$I$15,(B81-Plan!$H$16)/Plan!$I$16)</f>
        <v>0</v>
      </c>
      <c r="E81" s="16" t="n">
        <f aca="false">MIN(C81,Plan!$H$5-B81+Plan!$I$5*D81,Plan!$H$6-B81+Plan!$I$6*D81,Plan!$H$7-B81+Plan!$I$7*D81,Plan!$H$8-B81+Plan!$I$8*D81,Plan!$H$9-B81+Plan!$I$9*D81,Plan!$H$10-B81+Plan!$I$10*D81,Plan!$H$11-B81+Plan!$I$11*D81,Plan!$H$12-B81+Plan!$I$12*D81,Plan!$H$13-B81+Plan!$I$13*D81,Plan!$H$14-B81+Plan!$I$14*D81,Plan!$H$15-B81+Plan!$I$15*D81,Plan!$H$16-B81+Plan!$I$16*D81)</f>
        <v>44.4503823577855</v>
      </c>
      <c r="F81" s="11" t="n">
        <f aca="false">C81-E81</f>
        <v>120.549617642214</v>
      </c>
      <c r="G81" s="17" t="n">
        <f aca="false">D81</f>
        <v>0</v>
      </c>
      <c r="H81" s="16" t="n">
        <f aca="false">Fee*F81+VQ*G81</f>
        <v>3.61648852926643</v>
      </c>
      <c r="I81" s="17" t="n">
        <f aca="false">MAX(0,MIN(1,(GNone-H81)/(GNone-GFull)))</f>
        <v>1</v>
      </c>
      <c r="J81" s="16" t="n">
        <f aca="false">1-A81</f>
        <v>0.25</v>
      </c>
      <c r="K81" s="17" t="n">
        <f aca="false">MIN(I81,J81)</f>
        <v>0.25</v>
      </c>
      <c r="L81" s="20" t="n">
        <v>0.49856</v>
      </c>
      <c r="M81" s="21" t="n">
        <v>0.10894</v>
      </c>
      <c r="N81" s="21" t="n">
        <v>0.10684</v>
      </c>
      <c r="O81" s="16" t="n">
        <f aca="false">IF(M81&lt;=Alpha,A81,-1)</f>
        <v>-1</v>
      </c>
      <c r="P81" s="16" t="n">
        <f aca="false">IF(L81&gt;=0.95,A81,-1)</f>
        <v>-1</v>
      </c>
      <c r="Q81" s="17" t="n">
        <f aca="false">MIN(I81^2,J81)</f>
        <v>0.25</v>
      </c>
      <c r="R81" s="17" t="n">
        <f aca="false">MIN(SQRT(I81),J81)</f>
        <v>0.25</v>
      </c>
    </row>
    <row r="82" customFormat="false" ht="15" hidden="false" customHeight="false" outlineLevel="0" collapsed="false">
      <c r="A82" s="16" t="n">
        <v>0.76</v>
      </c>
      <c r="B82" s="11" t="n">
        <f aca="false">DNever-(DNever-DUsual)*A82</f>
        <v>86</v>
      </c>
      <c r="C82" s="11" t="n">
        <f aca="false">SNever-(SNever-SPlaus)*A82</f>
        <v>163.2</v>
      </c>
      <c r="D82" s="18" t="n">
        <f aca="false">MAX(0,(B82-Plan!$H$5)/Plan!$I$5,(B82-Plan!$H$6)/Plan!$I$6,(B82-Plan!$H$7)/Plan!$I$7,(B82-Plan!$H$8)/Plan!$I$8,(B82-Plan!$H$9)/Plan!$I$9,(B82-Plan!$H$10)/Plan!$I$10,(B82-Plan!$H$11)/Plan!$I$11,(B82-Plan!$H$12)/Plan!$I$12,(B82-Plan!$H$13)/Plan!$I$13,(B82-Plan!$H$14)/Plan!$I$14,(B82-Plan!$H$15)/Plan!$I$15,(B82-Plan!$H$16)/Plan!$I$16)</f>
        <v>0</v>
      </c>
      <c r="E82" s="16" t="n">
        <f aca="false">MIN(C82,Plan!$H$5-B82+Plan!$I$5*D82,Plan!$H$6-B82+Plan!$I$6*D82,Plan!$H$7-B82+Plan!$I$7*D82,Plan!$H$8-B82+Plan!$I$8*D82,Plan!$H$9-B82+Plan!$I$9*D82,Plan!$H$10-B82+Plan!$I$10*D82,Plan!$H$11-B82+Plan!$I$11*D82,Plan!$H$12-B82+Plan!$I$12*D82,Plan!$H$13-B82+Plan!$I$13*D82,Plan!$H$14-B82+Plan!$I$14*D82,Plan!$H$15-B82+Plan!$I$15*D82,Plan!$H$16-B82+Plan!$I$16*D82)</f>
        <v>45.9503823577855</v>
      </c>
      <c r="F82" s="11" t="n">
        <f aca="false">C82-E82</f>
        <v>117.249617642214</v>
      </c>
      <c r="G82" s="17" t="n">
        <f aca="false">D82</f>
        <v>0</v>
      </c>
      <c r="H82" s="16" t="n">
        <f aca="false">Fee*F82+VQ*G82</f>
        <v>3.51748852926643</v>
      </c>
      <c r="I82" s="17" t="n">
        <f aca="false">MAX(0,MIN(1,(GNone-H82)/(GNone-GFull)))</f>
        <v>1</v>
      </c>
      <c r="J82" s="16" t="n">
        <f aca="false">1-A82</f>
        <v>0.24</v>
      </c>
      <c r="K82" s="17" t="n">
        <f aca="false">MIN(I82,J82)</f>
        <v>0.24</v>
      </c>
      <c r="L82" s="20" t="n">
        <v>0.48509</v>
      </c>
      <c r="M82" s="21" t="n">
        <v>0.11102</v>
      </c>
      <c r="N82" s="21" t="n">
        <v>0.1084</v>
      </c>
      <c r="O82" s="16" t="n">
        <f aca="false">IF(M82&lt;=Alpha,A82,-1)</f>
        <v>-1</v>
      </c>
      <c r="P82" s="16" t="n">
        <f aca="false">IF(L82&gt;=0.95,A82,-1)</f>
        <v>-1</v>
      </c>
      <c r="Q82" s="17" t="n">
        <f aca="false">MIN(I82^2,J82)</f>
        <v>0.24</v>
      </c>
      <c r="R82" s="17" t="n">
        <f aca="false">MIN(SQRT(I82),J82)</f>
        <v>0.24</v>
      </c>
    </row>
    <row r="83" customFormat="false" ht="15" hidden="false" customHeight="false" outlineLevel="0" collapsed="false">
      <c r="A83" s="16" t="n">
        <v>0.77</v>
      </c>
      <c r="B83" s="11" t="n">
        <f aca="false">DNever-(DNever-DUsual)*A83</f>
        <v>84.5</v>
      </c>
      <c r="C83" s="11" t="n">
        <f aca="false">SNever-(SNever-SPlaus)*A83</f>
        <v>161.4</v>
      </c>
      <c r="D83" s="18" t="n">
        <f aca="false">MAX(0,(B83-Plan!$H$5)/Plan!$I$5,(B83-Plan!$H$6)/Plan!$I$6,(B83-Plan!$H$7)/Plan!$I$7,(B83-Plan!$H$8)/Plan!$I$8,(B83-Plan!$H$9)/Plan!$I$9,(B83-Plan!$H$10)/Plan!$I$10,(B83-Plan!$H$11)/Plan!$I$11,(B83-Plan!$H$12)/Plan!$I$12,(B83-Plan!$H$13)/Plan!$I$13,(B83-Plan!$H$14)/Plan!$I$14,(B83-Plan!$H$15)/Plan!$I$15,(B83-Plan!$H$16)/Plan!$I$16)</f>
        <v>0</v>
      </c>
      <c r="E83" s="16" t="n">
        <f aca="false">MIN(C83,Plan!$H$5-B83+Plan!$I$5*D83,Plan!$H$6-B83+Plan!$I$6*D83,Plan!$H$7-B83+Plan!$I$7*D83,Plan!$H$8-B83+Plan!$I$8*D83,Plan!$H$9-B83+Plan!$I$9*D83,Plan!$H$10-B83+Plan!$I$10*D83,Plan!$H$11-B83+Plan!$I$11*D83,Plan!$H$12-B83+Plan!$I$12*D83,Plan!$H$13-B83+Plan!$I$13*D83,Plan!$H$14-B83+Plan!$I$14*D83,Plan!$H$15-B83+Plan!$I$15*D83,Plan!$H$16-B83+Plan!$I$16*D83)</f>
        <v>47.4503823577855</v>
      </c>
      <c r="F83" s="11" t="n">
        <f aca="false">C83-E83</f>
        <v>113.949617642214</v>
      </c>
      <c r="G83" s="17" t="n">
        <f aca="false">D83</f>
        <v>0</v>
      </c>
      <c r="H83" s="16" t="n">
        <f aca="false">Fee*F83+VQ*G83</f>
        <v>3.41848852926643</v>
      </c>
      <c r="I83" s="17" t="n">
        <f aca="false">MAX(0,MIN(1,(GNone-H83)/(GNone-GFull)))</f>
        <v>1</v>
      </c>
      <c r="J83" s="16" t="n">
        <f aca="false">1-A83</f>
        <v>0.23</v>
      </c>
      <c r="K83" s="17" t="n">
        <f aca="false">MIN(I83,J83)</f>
        <v>0.23</v>
      </c>
      <c r="L83" s="20" t="n">
        <v>0.47162</v>
      </c>
      <c r="M83" s="21" t="n">
        <v>0.11309</v>
      </c>
      <c r="N83" s="21" t="n">
        <v>0.11078</v>
      </c>
      <c r="O83" s="16" t="n">
        <f aca="false">IF(M83&lt;=Alpha,A83,-1)</f>
        <v>-1</v>
      </c>
      <c r="P83" s="16" t="n">
        <f aca="false">IF(L83&gt;=0.95,A83,-1)</f>
        <v>-1</v>
      </c>
      <c r="Q83" s="17" t="n">
        <f aca="false">MIN(I83^2,J83)</f>
        <v>0.23</v>
      </c>
      <c r="R83" s="17" t="n">
        <f aca="false">MIN(SQRT(I83),J83)</f>
        <v>0.23</v>
      </c>
    </row>
    <row r="84" customFormat="false" ht="15" hidden="false" customHeight="false" outlineLevel="0" collapsed="false">
      <c r="A84" s="16" t="n">
        <v>0.78</v>
      </c>
      <c r="B84" s="11" t="n">
        <f aca="false">DNever-(DNever-DUsual)*A84</f>
        <v>83</v>
      </c>
      <c r="C84" s="11" t="n">
        <f aca="false">SNever-(SNever-SPlaus)*A84</f>
        <v>159.6</v>
      </c>
      <c r="D84" s="18" t="n">
        <f aca="false">MAX(0,(B84-Plan!$H$5)/Plan!$I$5,(B84-Plan!$H$6)/Plan!$I$6,(B84-Plan!$H$7)/Plan!$I$7,(B84-Plan!$H$8)/Plan!$I$8,(B84-Plan!$H$9)/Plan!$I$9,(B84-Plan!$H$10)/Plan!$I$10,(B84-Plan!$H$11)/Plan!$I$11,(B84-Plan!$H$12)/Plan!$I$12,(B84-Plan!$H$13)/Plan!$I$13,(B84-Plan!$H$14)/Plan!$I$14,(B84-Plan!$H$15)/Plan!$I$15,(B84-Plan!$H$16)/Plan!$I$16)</f>
        <v>0</v>
      </c>
      <c r="E84" s="16" t="n">
        <f aca="false">MIN(C84,Plan!$H$5-B84+Plan!$I$5*D84,Plan!$H$6-B84+Plan!$I$6*D84,Plan!$H$7-B84+Plan!$I$7*D84,Plan!$H$8-B84+Plan!$I$8*D84,Plan!$H$9-B84+Plan!$I$9*D84,Plan!$H$10-B84+Plan!$I$10*D84,Plan!$H$11-B84+Plan!$I$11*D84,Plan!$H$12-B84+Plan!$I$12*D84,Plan!$H$13-B84+Plan!$I$13*D84,Plan!$H$14-B84+Plan!$I$14*D84,Plan!$H$15-B84+Plan!$I$15*D84,Plan!$H$16-B84+Plan!$I$16*D84)</f>
        <v>48.9503823577855</v>
      </c>
      <c r="F84" s="11" t="n">
        <f aca="false">C84-E84</f>
        <v>110.649617642214</v>
      </c>
      <c r="G84" s="17" t="n">
        <f aca="false">D84</f>
        <v>0</v>
      </c>
      <c r="H84" s="16" t="n">
        <f aca="false">Fee*F84+VQ*G84</f>
        <v>3.31948852926643</v>
      </c>
      <c r="I84" s="17" t="n">
        <f aca="false">MAX(0,MIN(1,(GNone-H84)/(GNone-GFull)))</f>
        <v>1</v>
      </c>
      <c r="J84" s="16" t="n">
        <f aca="false">1-A84</f>
        <v>0.22</v>
      </c>
      <c r="K84" s="17" t="n">
        <f aca="false">MIN(I84,J84)</f>
        <v>0.22</v>
      </c>
      <c r="L84" s="20" t="n">
        <v>0.45741</v>
      </c>
      <c r="M84" s="21" t="n">
        <v>0.11517</v>
      </c>
      <c r="N84" s="21" t="n">
        <v>0.11318</v>
      </c>
      <c r="O84" s="16" t="n">
        <f aca="false">IF(M84&lt;=Alpha,A84,-1)</f>
        <v>-1</v>
      </c>
      <c r="P84" s="16" t="n">
        <f aca="false">IF(L84&gt;=0.95,A84,-1)</f>
        <v>-1</v>
      </c>
      <c r="Q84" s="17" t="n">
        <f aca="false">MIN(I84^2,J84)</f>
        <v>0.22</v>
      </c>
      <c r="R84" s="17" t="n">
        <f aca="false">MIN(SQRT(I84),J84)</f>
        <v>0.22</v>
      </c>
    </row>
    <row r="85" customFormat="false" ht="15" hidden="false" customHeight="false" outlineLevel="0" collapsed="false">
      <c r="A85" s="16" t="n">
        <v>0.79</v>
      </c>
      <c r="B85" s="11" t="n">
        <f aca="false">DNever-(DNever-DUsual)*A85</f>
        <v>81.5</v>
      </c>
      <c r="C85" s="11" t="n">
        <f aca="false">SNever-(SNever-SPlaus)*A85</f>
        <v>157.8</v>
      </c>
      <c r="D85" s="18" t="n">
        <f aca="false">MAX(0,(B85-Plan!$H$5)/Plan!$I$5,(B85-Plan!$H$6)/Plan!$I$6,(B85-Plan!$H$7)/Plan!$I$7,(B85-Plan!$H$8)/Plan!$I$8,(B85-Plan!$H$9)/Plan!$I$9,(B85-Plan!$H$10)/Plan!$I$10,(B85-Plan!$H$11)/Plan!$I$11,(B85-Plan!$H$12)/Plan!$I$12,(B85-Plan!$H$13)/Plan!$I$13,(B85-Plan!$H$14)/Plan!$I$14,(B85-Plan!$H$15)/Plan!$I$15,(B85-Plan!$H$16)/Plan!$I$16)</f>
        <v>0</v>
      </c>
      <c r="E85" s="16" t="n">
        <f aca="false">MIN(C85,Plan!$H$5-B85+Plan!$I$5*D85,Plan!$H$6-B85+Plan!$I$6*D85,Plan!$H$7-B85+Plan!$I$7*D85,Plan!$H$8-B85+Plan!$I$8*D85,Plan!$H$9-B85+Plan!$I$9*D85,Plan!$H$10-B85+Plan!$I$10*D85,Plan!$H$11-B85+Plan!$I$11*D85,Plan!$H$12-B85+Plan!$I$12*D85,Plan!$H$13-B85+Plan!$I$13*D85,Plan!$H$14-B85+Plan!$I$14*D85,Plan!$H$15-B85+Plan!$I$15*D85,Plan!$H$16-B85+Plan!$I$16*D85)</f>
        <v>50.4503823577855</v>
      </c>
      <c r="F85" s="11" t="n">
        <f aca="false">C85-E85</f>
        <v>107.349617642214</v>
      </c>
      <c r="G85" s="17" t="n">
        <f aca="false">D85</f>
        <v>0</v>
      </c>
      <c r="H85" s="16" t="n">
        <f aca="false">Fee*F85+VQ*G85</f>
        <v>3.22048852926643</v>
      </c>
      <c r="I85" s="17" t="n">
        <f aca="false">MAX(0,MIN(1,(GNone-H85)/(GNone-GFull)))</f>
        <v>1</v>
      </c>
      <c r="J85" s="16" t="n">
        <f aca="false">1-A85</f>
        <v>0.21</v>
      </c>
      <c r="K85" s="17" t="n">
        <f aca="false">MIN(I85,J85)</f>
        <v>0.21</v>
      </c>
      <c r="L85" s="20" t="n">
        <v>0.44399</v>
      </c>
      <c r="M85" s="21" t="n">
        <v>0.11786</v>
      </c>
      <c r="N85" s="21" t="n">
        <v>0.11565</v>
      </c>
      <c r="O85" s="16" t="n">
        <f aca="false">IF(M85&lt;=Alpha,A85,-1)</f>
        <v>-1</v>
      </c>
      <c r="P85" s="16" t="n">
        <f aca="false">IF(L85&gt;=0.95,A85,-1)</f>
        <v>-1</v>
      </c>
      <c r="Q85" s="17" t="n">
        <f aca="false">MIN(I85^2,J85)</f>
        <v>0.21</v>
      </c>
      <c r="R85" s="17" t="n">
        <f aca="false">MIN(SQRT(I85),J85)</f>
        <v>0.21</v>
      </c>
    </row>
    <row r="86" customFormat="false" ht="15" hidden="false" customHeight="false" outlineLevel="0" collapsed="false">
      <c r="A86" s="16" t="n">
        <v>0.8</v>
      </c>
      <c r="B86" s="11" t="n">
        <f aca="false">DNever-(DNever-DUsual)*A86</f>
        <v>80</v>
      </c>
      <c r="C86" s="11" t="n">
        <f aca="false">SNever-(SNever-SPlaus)*A86</f>
        <v>156</v>
      </c>
      <c r="D86" s="18" t="n">
        <f aca="false">MAX(0,(B86-Plan!$H$5)/Plan!$I$5,(B86-Plan!$H$6)/Plan!$I$6,(B86-Plan!$H$7)/Plan!$I$7,(B86-Plan!$H$8)/Plan!$I$8,(B86-Plan!$H$9)/Plan!$I$9,(B86-Plan!$H$10)/Plan!$I$10,(B86-Plan!$H$11)/Plan!$I$11,(B86-Plan!$H$12)/Plan!$I$12,(B86-Plan!$H$13)/Plan!$I$13,(B86-Plan!$H$14)/Plan!$I$14,(B86-Plan!$H$15)/Plan!$I$15,(B86-Plan!$H$16)/Plan!$I$16)</f>
        <v>0</v>
      </c>
      <c r="E86" s="16" t="n">
        <f aca="false">MIN(C86,Plan!$H$5-B86+Plan!$I$5*D86,Plan!$H$6-B86+Plan!$I$6*D86,Plan!$H$7-B86+Plan!$I$7*D86,Plan!$H$8-B86+Plan!$I$8*D86,Plan!$H$9-B86+Plan!$I$9*D86,Plan!$H$10-B86+Plan!$I$10*D86,Plan!$H$11-B86+Plan!$I$11*D86,Plan!$H$12-B86+Plan!$I$12*D86,Plan!$H$13-B86+Plan!$I$13*D86,Plan!$H$14-B86+Plan!$I$14*D86,Plan!$H$15-B86+Plan!$I$15*D86,Plan!$H$16-B86+Plan!$I$16*D86)</f>
        <v>51.9503823577855</v>
      </c>
      <c r="F86" s="11" t="n">
        <f aca="false">C86-E86</f>
        <v>104.049617642214</v>
      </c>
      <c r="G86" s="17" t="n">
        <f aca="false">D86</f>
        <v>0</v>
      </c>
      <c r="H86" s="16" t="n">
        <f aca="false">Fee*F86+VQ*G86</f>
        <v>3.12148852926643</v>
      </c>
      <c r="I86" s="17" t="n">
        <f aca="false">MAX(0,MIN(1,(GNone-H86)/(GNone-GFull)))</f>
        <v>1</v>
      </c>
      <c r="J86" s="16" t="n">
        <f aca="false">1-A86</f>
        <v>0.2</v>
      </c>
      <c r="K86" s="17" t="n">
        <f aca="false">MIN(I86,J86)</f>
        <v>0.2</v>
      </c>
      <c r="L86" s="20" t="n">
        <v>0.42971</v>
      </c>
      <c r="M86" s="21" t="n">
        <v>0.12046</v>
      </c>
      <c r="N86" s="21" t="n">
        <v>0.11825</v>
      </c>
      <c r="O86" s="16" t="n">
        <f aca="false">IF(M86&lt;=Alpha,A86,-1)</f>
        <v>-1</v>
      </c>
      <c r="P86" s="16" t="n">
        <f aca="false">IF(L86&gt;=0.95,A86,-1)</f>
        <v>-1</v>
      </c>
      <c r="Q86" s="17" t="n">
        <f aca="false">MIN(I86^2,J86)</f>
        <v>0.2</v>
      </c>
      <c r="R86" s="17" t="n">
        <f aca="false">MIN(SQRT(I86),J86)</f>
        <v>0.2</v>
      </c>
    </row>
    <row r="87" customFormat="false" ht="15" hidden="false" customHeight="false" outlineLevel="0" collapsed="false">
      <c r="A87" s="16" t="n">
        <v>0.81</v>
      </c>
      <c r="B87" s="11" t="n">
        <f aca="false">DNever-(DNever-DUsual)*A87</f>
        <v>78.5</v>
      </c>
      <c r="C87" s="11" t="n">
        <f aca="false">SNever-(SNever-SPlaus)*A87</f>
        <v>154.2</v>
      </c>
      <c r="D87" s="18" t="n">
        <f aca="false">MAX(0,(B87-Plan!$H$5)/Plan!$I$5,(B87-Plan!$H$6)/Plan!$I$6,(B87-Plan!$H$7)/Plan!$I$7,(B87-Plan!$H$8)/Plan!$I$8,(B87-Plan!$H$9)/Plan!$I$9,(B87-Plan!$H$10)/Plan!$I$10,(B87-Plan!$H$11)/Plan!$I$11,(B87-Plan!$H$12)/Plan!$I$12,(B87-Plan!$H$13)/Plan!$I$13,(B87-Plan!$H$14)/Plan!$I$14,(B87-Plan!$H$15)/Plan!$I$15,(B87-Plan!$H$16)/Plan!$I$16)</f>
        <v>0</v>
      </c>
      <c r="E87" s="16" t="n">
        <f aca="false">MIN(C87,Plan!$H$5-B87+Plan!$I$5*D87,Plan!$H$6-B87+Plan!$I$6*D87,Plan!$H$7-B87+Plan!$I$7*D87,Plan!$H$8-B87+Plan!$I$8*D87,Plan!$H$9-B87+Plan!$I$9*D87,Plan!$H$10-B87+Plan!$I$10*D87,Plan!$H$11-B87+Plan!$I$11*D87,Plan!$H$12-B87+Plan!$I$12*D87,Plan!$H$13-B87+Plan!$I$13*D87,Plan!$H$14-B87+Plan!$I$14*D87,Plan!$H$15-B87+Plan!$I$15*D87,Plan!$H$16-B87+Plan!$I$16*D87)</f>
        <v>53.4503823577856</v>
      </c>
      <c r="F87" s="11" t="n">
        <f aca="false">C87-E87</f>
        <v>100.749617642214</v>
      </c>
      <c r="G87" s="17" t="n">
        <f aca="false">D87</f>
        <v>0</v>
      </c>
      <c r="H87" s="16" t="n">
        <f aca="false">Fee*F87+VQ*G87</f>
        <v>3.02248852926643</v>
      </c>
      <c r="I87" s="17" t="n">
        <f aca="false">MAX(0,MIN(1,(GNone-H87)/(GNone-GFull)))</f>
        <v>1</v>
      </c>
      <c r="J87" s="16" t="n">
        <f aca="false">1-A87</f>
        <v>0.19</v>
      </c>
      <c r="K87" s="17" t="n">
        <f aca="false">MIN(I87,J87)</f>
        <v>0.19</v>
      </c>
      <c r="L87" s="20" t="n">
        <v>0.41606</v>
      </c>
      <c r="M87" s="21" t="n">
        <v>0.12313</v>
      </c>
      <c r="N87" s="21" t="n">
        <v>0.12121</v>
      </c>
      <c r="O87" s="16" t="n">
        <f aca="false">IF(M87&lt;=Alpha,A87,-1)</f>
        <v>-1</v>
      </c>
      <c r="P87" s="16" t="n">
        <f aca="false">IF(L87&gt;=0.95,A87,-1)</f>
        <v>-1</v>
      </c>
      <c r="Q87" s="17" t="n">
        <f aca="false">MIN(I87^2,J87)</f>
        <v>0.19</v>
      </c>
      <c r="R87" s="17" t="n">
        <f aca="false">MIN(SQRT(I87),J87)</f>
        <v>0.19</v>
      </c>
    </row>
    <row r="88" customFormat="false" ht="15" hidden="false" customHeight="false" outlineLevel="0" collapsed="false">
      <c r="A88" s="16" t="n">
        <v>0.82</v>
      </c>
      <c r="B88" s="11" t="n">
        <f aca="false">DNever-(DNever-DUsual)*A88</f>
        <v>77</v>
      </c>
      <c r="C88" s="11" t="n">
        <f aca="false">SNever-(SNever-SPlaus)*A88</f>
        <v>152.4</v>
      </c>
      <c r="D88" s="18" t="n">
        <f aca="false">MAX(0,(B88-Plan!$H$5)/Plan!$I$5,(B88-Plan!$H$6)/Plan!$I$6,(B88-Plan!$H$7)/Plan!$I$7,(B88-Plan!$H$8)/Plan!$I$8,(B88-Plan!$H$9)/Plan!$I$9,(B88-Plan!$H$10)/Plan!$I$10,(B88-Plan!$H$11)/Plan!$I$11,(B88-Plan!$H$12)/Plan!$I$12,(B88-Plan!$H$13)/Plan!$I$13,(B88-Plan!$H$14)/Plan!$I$14,(B88-Plan!$H$15)/Plan!$I$15,(B88-Plan!$H$16)/Plan!$I$16)</f>
        <v>0</v>
      </c>
      <c r="E88" s="16" t="n">
        <f aca="false">MIN(C88,Plan!$H$5-B88+Plan!$I$5*D88,Plan!$H$6-B88+Plan!$I$6*D88,Plan!$H$7-B88+Plan!$I$7*D88,Plan!$H$8-B88+Plan!$I$8*D88,Plan!$H$9-B88+Plan!$I$9*D88,Plan!$H$10-B88+Plan!$I$10*D88,Plan!$H$11-B88+Plan!$I$11*D88,Plan!$H$12-B88+Plan!$I$12*D88,Plan!$H$13-B88+Plan!$I$13*D88,Plan!$H$14-B88+Plan!$I$14*D88,Plan!$H$15-B88+Plan!$I$15*D88,Plan!$H$16-B88+Plan!$I$16*D88)</f>
        <v>54.9503823577855</v>
      </c>
      <c r="F88" s="11" t="n">
        <f aca="false">C88-E88</f>
        <v>97.4496176422145</v>
      </c>
      <c r="G88" s="17" t="n">
        <f aca="false">D88</f>
        <v>0</v>
      </c>
      <c r="H88" s="16" t="n">
        <f aca="false">Fee*F88+VQ*G88</f>
        <v>2.92348852926643</v>
      </c>
      <c r="I88" s="17" t="n">
        <f aca="false">MAX(0,MIN(1,(GNone-H88)/(GNone-GFull)))</f>
        <v>1</v>
      </c>
      <c r="J88" s="16" t="n">
        <f aca="false">1-A88</f>
        <v>0.18</v>
      </c>
      <c r="K88" s="17" t="n">
        <f aca="false">MIN(I88,J88)</f>
        <v>0.18</v>
      </c>
      <c r="L88" s="20" t="n">
        <v>0.40259</v>
      </c>
      <c r="M88" s="21" t="n">
        <v>0.12577</v>
      </c>
      <c r="N88" s="21" t="n">
        <v>0.12387</v>
      </c>
      <c r="O88" s="16" t="n">
        <f aca="false">IF(M88&lt;=Alpha,A88,-1)</f>
        <v>-1</v>
      </c>
      <c r="P88" s="16" t="n">
        <f aca="false">IF(L88&gt;=0.95,A88,-1)</f>
        <v>-1</v>
      </c>
      <c r="Q88" s="17" t="n">
        <f aca="false">MIN(I88^2,J88)</f>
        <v>0.18</v>
      </c>
      <c r="R88" s="17" t="n">
        <f aca="false">MIN(SQRT(I88),J88)</f>
        <v>0.18</v>
      </c>
    </row>
    <row r="89" customFormat="false" ht="15" hidden="false" customHeight="false" outlineLevel="0" collapsed="false">
      <c r="A89" s="16" t="n">
        <v>0.83</v>
      </c>
      <c r="B89" s="11" t="n">
        <f aca="false">DNever-(DNever-DUsual)*A89</f>
        <v>75.5</v>
      </c>
      <c r="C89" s="11" t="n">
        <f aca="false">SNever-(SNever-SPlaus)*A89</f>
        <v>150.6</v>
      </c>
      <c r="D89" s="18" t="n">
        <f aca="false">MAX(0,(B89-Plan!$H$5)/Plan!$I$5,(B89-Plan!$H$6)/Plan!$I$6,(B89-Plan!$H$7)/Plan!$I$7,(B89-Plan!$H$8)/Plan!$I$8,(B89-Plan!$H$9)/Plan!$I$9,(B89-Plan!$H$10)/Plan!$I$10,(B89-Plan!$H$11)/Plan!$I$11,(B89-Plan!$H$12)/Plan!$I$12,(B89-Plan!$H$13)/Plan!$I$13,(B89-Plan!$H$14)/Plan!$I$14,(B89-Plan!$H$15)/Plan!$I$15,(B89-Plan!$H$16)/Plan!$I$16)</f>
        <v>0</v>
      </c>
      <c r="E89" s="16" t="n">
        <f aca="false">MIN(C89,Plan!$H$5-B89+Plan!$I$5*D89,Plan!$H$6-B89+Plan!$I$6*D89,Plan!$H$7-B89+Plan!$I$7*D89,Plan!$H$8-B89+Plan!$I$8*D89,Plan!$H$9-B89+Plan!$I$9*D89,Plan!$H$10-B89+Plan!$I$10*D89,Plan!$H$11-B89+Plan!$I$11*D89,Plan!$H$12-B89+Plan!$I$12*D89,Plan!$H$13-B89+Plan!$I$13*D89,Plan!$H$14-B89+Plan!$I$14*D89,Plan!$H$15-B89+Plan!$I$15*D89,Plan!$H$16-B89+Plan!$I$16*D89)</f>
        <v>56.4503823577855</v>
      </c>
      <c r="F89" s="11" t="n">
        <f aca="false">C89-E89</f>
        <v>94.1496176422145</v>
      </c>
      <c r="G89" s="17" t="n">
        <f aca="false">D89</f>
        <v>0</v>
      </c>
      <c r="H89" s="16" t="n">
        <f aca="false">Fee*F89+VQ*G89</f>
        <v>2.82448852926643</v>
      </c>
      <c r="I89" s="17" t="n">
        <f aca="false">MAX(0,MIN(1,(GNone-H89)/(GNone-GFull)))</f>
        <v>1</v>
      </c>
      <c r="J89" s="16" t="n">
        <f aca="false">1-A89</f>
        <v>0.17</v>
      </c>
      <c r="K89" s="17" t="n">
        <f aca="false">MIN(I89,J89)</f>
        <v>0.17</v>
      </c>
      <c r="L89" s="20" t="n">
        <v>0.3895</v>
      </c>
      <c r="M89" s="21" t="n">
        <v>0.12899</v>
      </c>
      <c r="N89" s="21" t="n">
        <v>0.12675</v>
      </c>
      <c r="O89" s="16" t="n">
        <f aca="false">IF(M89&lt;=Alpha,A89,-1)</f>
        <v>-1</v>
      </c>
      <c r="P89" s="16" t="n">
        <f aca="false">IF(L89&gt;=0.95,A89,-1)</f>
        <v>-1</v>
      </c>
      <c r="Q89" s="17" t="n">
        <f aca="false">MIN(I89^2,J89)</f>
        <v>0.17</v>
      </c>
      <c r="R89" s="17" t="n">
        <f aca="false">MIN(SQRT(I89),J89)</f>
        <v>0.17</v>
      </c>
    </row>
    <row r="90" customFormat="false" ht="15" hidden="false" customHeight="false" outlineLevel="0" collapsed="false">
      <c r="A90" s="16" t="n">
        <v>0.84</v>
      </c>
      <c r="B90" s="11" t="n">
        <f aca="false">DNever-(DNever-DUsual)*A90</f>
        <v>74</v>
      </c>
      <c r="C90" s="11" t="n">
        <f aca="false">SNever-(SNever-SPlaus)*A90</f>
        <v>148.8</v>
      </c>
      <c r="D90" s="18" t="n">
        <f aca="false">MAX(0,(B90-Plan!$H$5)/Plan!$I$5,(B90-Plan!$H$6)/Plan!$I$6,(B90-Plan!$H$7)/Plan!$I$7,(B90-Plan!$H$8)/Plan!$I$8,(B90-Plan!$H$9)/Plan!$I$9,(B90-Plan!$H$10)/Plan!$I$10,(B90-Plan!$H$11)/Plan!$I$11,(B90-Plan!$H$12)/Plan!$I$12,(B90-Plan!$H$13)/Plan!$I$13,(B90-Plan!$H$14)/Plan!$I$14,(B90-Plan!$H$15)/Plan!$I$15,(B90-Plan!$H$16)/Plan!$I$16)</f>
        <v>0</v>
      </c>
      <c r="E90" s="16" t="n">
        <f aca="false">MIN(C90,Plan!$H$5-B90+Plan!$I$5*D90,Plan!$H$6-B90+Plan!$I$6*D90,Plan!$H$7-B90+Plan!$I$7*D90,Plan!$H$8-B90+Plan!$I$8*D90,Plan!$H$9-B90+Plan!$I$9*D90,Plan!$H$10-B90+Plan!$I$10*D90,Plan!$H$11-B90+Plan!$I$11*D90,Plan!$H$12-B90+Plan!$I$12*D90,Plan!$H$13-B90+Plan!$I$13*D90,Plan!$H$14-B90+Plan!$I$14*D90,Plan!$H$15-B90+Plan!$I$15*D90,Plan!$H$16-B90+Plan!$I$16*D90)</f>
        <v>57.9503823577855</v>
      </c>
      <c r="F90" s="11" t="n">
        <f aca="false">C90-E90</f>
        <v>90.8496176422145</v>
      </c>
      <c r="G90" s="17" t="n">
        <f aca="false">D90</f>
        <v>0</v>
      </c>
      <c r="H90" s="16" t="n">
        <f aca="false">Fee*F90+VQ*G90</f>
        <v>2.72548852926643</v>
      </c>
      <c r="I90" s="17" t="n">
        <f aca="false">MAX(0,MIN(1,(GNone-H90)/(GNone-GFull)))</f>
        <v>1</v>
      </c>
      <c r="J90" s="16" t="n">
        <f aca="false">1-A90</f>
        <v>0.16</v>
      </c>
      <c r="K90" s="17" t="n">
        <f aca="false">MIN(I90,J90)</f>
        <v>0.16</v>
      </c>
      <c r="L90" s="20" t="n">
        <v>0.37477</v>
      </c>
      <c r="M90" s="21" t="n">
        <v>0.1321</v>
      </c>
      <c r="N90" s="21" t="n">
        <v>0.12972</v>
      </c>
      <c r="O90" s="16" t="n">
        <f aca="false">IF(M90&lt;=Alpha,A90,-1)</f>
        <v>-1</v>
      </c>
      <c r="P90" s="16" t="n">
        <f aca="false">IF(L90&gt;=0.95,A90,-1)</f>
        <v>-1</v>
      </c>
      <c r="Q90" s="17" t="n">
        <f aca="false">MIN(I90^2,J90)</f>
        <v>0.16</v>
      </c>
      <c r="R90" s="17" t="n">
        <f aca="false">MIN(SQRT(I90),J90)</f>
        <v>0.16</v>
      </c>
    </row>
    <row r="91" customFormat="false" ht="15" hidden="false" customHeight="false" outlineLevel="0" collapsed="false">
      <c r="A91" s="16" t="n">
        <v>0.85</v>
      </c>
      <c r="B91" s="11" t="n">
        <f aca="false">DNever-(DNever-DUsual)*A91</f>
        <v>72.5</v>
      </c>
      <c r="C91" s="11" t="n">
        <f aca="false">SNever-(SNever-SPlaus)*A91</f>
        <v>147</v>
      </c>
      <c r="D91" s="18" t="n">
        <f aca="false">MAX(0,(B91-Plan!$H$5)/Plan!$I$5,(B91-Plan!$H$6)/Plan!$I$6,(B91-Plan!$H$7)/Plan!$I$7,(B91-Plan!$H$8)/Plan!$I$8,(B91-Plan!$H$9)/Plan!$I$9,(B91-Plan!$H$10)/Plan!$I$10,(B91-Plan!$H$11)/Plan!$I$11,(B91-Plan!$H$12)/Plan!$I$12,(B91-Plan!$H$13)/Plan!$I$13,(B91-Plan!$H$14)/Plan!$I$14,(B91-Plan!$H$15)/Plan!$I$15,(B91-Plan!$H$16)/Plan!$I$16)</f>
        <v>0</v>
      </c>
      <c r="E91" s="16" t="n">
        <f aca="false">MIN(C91,Plan!$H$5-B91+Plan!$I$5*D91,Plan!$H$6-B91+Plan!$I$6*D91,Plan!$H$7-B91+Plan!$I$7*D91,Plan!$H$8-B91+Plan!$I$8*D91,Plan!$H$9-B91+Plan!$I$9*D91,Plan!$H$10-B91+Plan!$I$10*D91,Plan!$H$11-B91+Plan!$I$11*D91,Plan!$H$12-B91+Plan!$I$12*D91,Plan!$H$13-B91+Plan!$I$13*D91,Plan!$H$14-B91+Plan!$I$14*D91,Plan!$H$15-B91+Plan!$I$15*D91,Plan!$H$16-B91+Plan!$I$16*D91)</f>
        <v>59.4503823577855</v>
      </c>
      <c r="F91" s="11" t="n">
        <f aca="false">C91-E91</f>
        <v>87.5496176422145</v>
      </c>
      <c r="G91" s="17" t="n">
        <f aca="false">D91</f>
        <v>0</v>
      </c>
      <c r="H91" s="16" t="n">
        <f aca="false">Fee*F91+VQ*G91</f>
        <v>2.62648852926643</v>
      </c>
      <c r="I91" s="17" t="n">
        <f aca="false">MAX(0,MIN(1,(GNone-H91)/(GNone-GFull)))</f>
        <v>1</v>
      </c>
      <c r="J91" s="16" t="n">
        <f aca="false">1-A91</f>
        <v>0.15</v>
      </c>
      <c r="K91" s="17" t="n">
        <f aca="false">MIN(I91,J91)</f>
        <v>0.15</v>
      </c>
      <c r="L91" s="20" t="n">
        <v>0.36059</v>
      </c>
      <c r="M91" s="21" t="n">
        <v>0.13553</v>
      </c>
      <c r="N91" s="21" t="n">
        <v>0.13317</v>
      </c>
      <c r="O91" s="16" t="n">
        <f aca="false">IF(M91&lt;=Alpha,A91,-1)</f>
        <v>-1</v>
      </c>
      <c r="P91" s="16" t="n">
        <f aca="false">IF(L91&gt;=0.95,A91,-1)</f>
        <v>-1</v>
      </c>
      <c r="Q91" s="17" t="n">
        <f aca="false">MIN(I91^2,J91)</f>
        <v>0.15</v>
      </c>
      <c r="R91" s="17" t="n">
        <f aca="false">MIN(SQRT(I91),J91)</f>
        <v>0.15</v>
      </c>
    </row>
    <row r="92" customFormat="false" ht="15" hidden="false" customHeight="false" outlineLevel="0" collapsed="false">
      <c r="A92" s="16" t="n">
        <v>0.86</v>
      </c>
      <c r="B92" s="11" t="n">
        <f aca="false">DNever-(DNever-DUsual)*A92</f>
        <v>71</v>
      </c>
      <c r="C92" s="11" t="n">
        <f aca="false">SNever-(SNever-SPlaus)*A92</f>
        <v>145.2</v>
      </c>
      <c r="D92" s="18" t="n">
        <f aca="false">MAX(0,(B92-Plan!$H$5)/Plan!$I$5,(B92-Plan!$H$6)/Plan!$I$6,(B92-Plan!$H$7)/Plan!$I$7,(B92-Plan!$H$8)/Plan!$I$8,(B92-Plan!$H$9)/Plan!$I$9,(B92-Plan!$H$10)/Plan!$I$10,(B92-Plan!$H$11)/Plan!$I$11,(B92-Plan!$H$12)/Plan!$I$12,(B92-Plan!$H$13)/Plan!$I$13,(B92-Plan!$H$14)/Plan!$I$14,(B92-Plan!$H$15)/Plan!$I$15,(B92-Plan!$H$16)/Plan!$I$16)</f>
        <v>0</v>
      </c>
      <c r="E92" s="16" t="n">
        <f aca="false">MIN(C92,Plan!$H$5-B92+Plan!$I$5*D92,Plan!$H$6-B92+Plan!$I$6*D92,Plan!$H$7-B92+Plan!$I$7*D92,Plan!$H$8-B92+Plan!$I$8*D92,Plan!$H$9-B92+Plan!$I$9*D92,Plan!$H$10-B92+Plan!$I$10*D92,Plan!$H$11-B92+Plan!$I$11*D92,Plan!$H$12-B92+Plan!$I$12*D92,Plan!$H$13-B92+Plan!$I$13*D92,Plan!$H$14-B92+Plan!$I$14*D92,Plan!$H$15-B92+Plan!$I$15*D92,Plan!$H$16-B92+Plan!$I$16*D92)</f>
        <v>60.9503823577855</v>
      </c>
      <c r="F92" s="11" t="n">
        <f aca="false">C92-E92</f>
        <v>84.2496176422145</v>
      </c>
      <c r="G92" s="17" t="n">
        <f aca="false">D92</f>
        <v>0</v>
      </c>
      <c r="H92" s="16" t="n">
        <f aca="false">Fee*F92+VQ*G92</f>
        <v>2.52748852926643</v>
      </c>
      <c r="I92" s="17" t="n">
        <f aca="false">MAX(0,MIN(1,(GNone-H92)/(GNone-GFull)))</f>
        <v>1</v>
      </c>
      <c r="J92" s="16" t="n">
        <f aca="false">1-A92</f>
        <v>0.14</v>
      </c>
      <c r="K92" s="17" t="n">
        <f aca="false">MIN(I92,J92)</f>
        <v>0.14</v>
      </c>
      <c r="L92" s="20" t="n">
        <v>0.3467</v>
      </c>
      <c r="M92" s="21" t="n">
        <v>0.13901</v>
      </c>
      <c r="N92" s="21" t="n">
        <v>0.13631</v>
      </c>
      <c r="O92" s="16" t="n">
        <f aca="false">IF(M92&lt;=Alpha,A92,-1)</f>
        <v>-1</v>
      </c>
      <c r="P92" s="16" t="n">
        <f aca="false">IF(L92&gt;=0.95,A92,-1)</f>
        <v>-1</v>
      </c>
      <c r="Q92" s="17" t="n">
        <f aca="false">MIN(I92^2,J92)</f>
        <v>0.14</v>
      </c>
      <c r="R92" s="17" t="n">
        <f aca="false">MIN(SQRT(I92),J92)</f>
        <v>0.14</v>
      </c>
    </row>
    <row r="93" customFormat="false" ht="15" hidden="false" customHeight="false" outlineLevel="0" collapsed="false">
      <c r="A93" s="16" t="n">
        <v>0.87</v>
      </c>
      <c r="B93" s="11" t="n">
        <f aca="false">DNever-(DNever-DUsual)*A93</f>
        <v>69.5</v>
      </c>
      <c r="C93" s="11" t="n">
        <f aca="false">SNever-(SNever-SPlaus)*A93</f>
        <v>143.4</v>
      </c>
      <c r="D93" s="18" t="n">
        <f aca="false">MAX(0,(B93-Plan!$H$5)/Plan!$I$5,(B93-Plan!$H$6)/Plan!$I$6,(B93-Plan!$H$7)/Plan!$I$7,(B93-Plan!$H$8)/Plan!$I$8,(B93-Plan!$H$9)/Plan!$I$9,(B93-Plan!$H$10)/Plan!$I$10,(B93-Plan!$H$11)/Plan!$I$11,(B93-Plan!$H$12)/Plan!$I$12,(B93-Plan!$H$13)/Plan!$I$13,(B93-Plan!$H$14)/Plan!$I$14,(B93-Plan!$H$15)/Plan!$I$15,(B93-Plan!$H$16)/Plan!$I$16)</f>
        <v>0</v>
      </c>
      <c r="E93" s="16" t="n">
        <f aca="false">MIN(C93,Plan!$H$5-B93+Plan!$I$5*D93,Plan!$H$6-B93+Plan!$I$6*D93,Plan!$H$7-B93+Plan!$I$7*D93,Plan!$H$8-B93+Plan!$I$8*D93,Plan!$H$9-B93+Plan!$I$9*D93,Plan!$H$10-B93+Plan!$I$10*D93,Plan!$H$11-B93+Plan!$I$11*D93,Plan!$H$12-B93+Plan!$I$12*D93,Plan!$H$13-B93+Plan!$I$13*D93,Plan!$H$14-B93+Plan!$I$14*D93,Plan!$H$15-B93+Plan!$I$15*D93,Plan!$H$16-B93+Plan!$I$16*D93)</f>
        <v>62.4503823577855</v>
      </c>
      <c r="F93" s="11" t="n">
        <f aca="false">C93-E93</f>
        <v>80.9496176422145</v>
      </c>
      <c r="G93" s="17" t="n">
        <f aca="false">D93</f>
        <v>0</v>
      </c>
      <c r="H93" s="16" t="n">
        <f aca="false">Fee*F93+VQ*G93</f>
        <v>2.42848852926643</v>
      </c>
      <c r="I93" s="17" t="n">
        <f aca="false">MAX(0,MIN(1,(GNone-H93)/(GNone-GFull)))</f>
        <v>1</v>
      </c>
      <c r="J93" s="16" t="n">
        <f aca="false">1-A93</f>
        <v>0.13</v>
      </c>
      <c r="K93" s="17" t="n">
        <f aca="false">MIN(I93,J93)</f>
        <v>0.13</v>
      </c>
      <c r="L93" s="20" t="n">
        <v>0.3328</v>
      </c>
      <c r="M93" s="21" t="n">
        <v>0.14242</v>
      </c>
      <c r="N93" s="21" t="n">
        <v>0.13983</v>
      </c>
      <c r="O93" s="16" t="n">
        <f aca="false">IF(M93&lt;=Alpha,A93,-1)</f>
        <v>-1</v>
      </c>
      <c r="P93" s="16" t="n">
        <f aca="false">IF(L93&gt;=0.95,A93,-1)</f>
        <v>-1</v>
      </c>
      <c r="Q93" s="17" t="n">
        <f aca="false">MIN(I93^2,J93)</f>
        <v>0.13</v>
      </c>
      <c r="R93" s="17" t="n">
        <f aca="false">MIN(SQRT(I93),J93)</f>
        <v>0.13</v>
      </c>
    </row>
    <row r="94" customFormat="false" ht="15" hidden="false" customHeight="false" outlineLevel="0" collapsed="false">
      <c r="A94" s="16" t="n">
        <v>0.88</v>
      </c>
      <c r="B94" s="11" t="n">
        <f aca="false">DNever-(DNever-DUsual)*A94</f>
        <v>68</v>
      </c>
      <c r="C94" s="11" t="n">
        <f aca="false">SNever-(SNever-SPlaus)*A94</f>
        <v>141.6</v>
      </c>
      <c r="D94" s="18" t="n">
        <f aca="false">MAX(0,(B94-Plan!$H$5)/Plan!$I$5,(B94-Plan!$H$6)/Plan!$I$6,(B94-Plan!$H$7)/Plan!$I$7,(B94-Plan!$H$8)/Plan!$I$8,(B94-Plan!$H$9)/Plan!$I$9,(B94-Plan!$H$10)/Plan!$I$10,(B94-Plan!$H$11)/Plan!$I$11,(B94-Plan!$H$12)/Plan!$I$12,(B94-Plan!$H$13)/Plan!$I$13,(B94-Plan!$H$14)/Plan!$I$14,(B94-Plan!$H$15)/Plan!$I$15,(B94-Plan!$H$16)/Plan!$I$16)</f>
        <v>0</v>
      </c>
      <c r="E94" s="16" t="n">
        <f aca="false">MIN(C94,Plan!$H$5-B94+Plan!$I$5*D94,Plan!$H$6-B94+Plan!$I$6*D94,Plan!$H$7-B94+Plan!$I$7*D94,Plan!$H$8-B94+Plan!$I$8*D94,Plan!$H$9-B94+Plan!$I$9*D94,Plan!$H$10-B94+Plan!$I$10*D94,Plan!$H$11-B94+Plan!$I$11*D94,Plan!$H$12-B94+Plan!$I$12*D94,Plan!$H$13-B94+Plan!$I$13*D94,Plan!$H$14-B94+Plan!$I$14*D94,Plan!$H$15-B94+Plan!$I$15*D94,Plan!$H$16-B94+Plan!$I$16*D94)</f>
        <v>63.9503823577855</v>
      </c>
      <c r="F94" s="11" t="n">
        <f aca="false">C94-E94</f>
        <v>77.6496176422145</v>
      </c>
      <c r="G94" s="17" t="n">
        <f aca="false">D94</f>
        <v>0</v>
      </c>
      <c r="H94" s="16" t="n">
        <f aca="false">Fee*F94+VQ*G94</f>
        <v>2.32948852926643</v>
      </c>
      <c r="I94" s="17" t="n">
        <f aca="false">MAX(0,MIN(1,(GNone-H94)/(GNone-GFull)))</f>
        <v>1</v>
      </c>
      <c r="J94" s="16" t="n">
        <f aca="false">1-A94</f>
        <v>0.12</v>
      </c>
      <c r="K94" s="17" t="n">
        <f aca="false">MIN(I94,J94)</f>
        <v>0.12</v>
      </c>
      <c r="L94" s="20" t="n">
        <v>0.31936</v>
      </c>
      <c r="M94" s="21" t="n">
        <v>0.14634</v>
      </c>
      <c r="N94" s="21" t="n">
        <v>0.14334</v>
      </c>
      <c r="O94" s="16" t="n">
        <f aca="false">IF(M94&lt;=Alpha,A94,-1)</f>
        <v>-1</v>
      </c>
      <c r="P94" s="16" t="n">
        <f aca="false">IF(L94&gt;=0.95,A94,-1)</f>
        <v>-1</v>
      </c>
      <c r="Q94" s="17" t="n">
        <f aca="false">MIN(I94^2,J94)</f>
        <v>0.12</v>
      </c>
      <c r="R94" s="17" t="n">
        <f aca="false">MIN(SQRT(I94),J94)</f>
        <v>0.12</v>
      </c>
    </row>
    <row r="95" customFormat="false" ht="15" hidden="false" customHeight="false" outlineLevel="0" collapsed="false">
      <c r="A95" s="16" t="n">
        <v>0.89</v>
      </c>
      <c r="B95" s="11" t="n">
        <f aca="false">DNever-(DNever-DUsual)*A95</f>
        <v>66.5</v>
      </c>
      <c r="C95" s="11" t="n">
        <f aca="false">SNever-(SNever-SPlaus)*A95</f>
        <v>139.8</v>
      </c>
      <c r="D95" s="18" t="n">
        <f aca="false">MAX(0,(B95-Plan!$H$5)/Plan!$I$5,(B95-Plan!$H$6)/Plan!$I$6,(B95-Plan!$H$7)/Plan!$I$7,(B95-Plan!$H$8)/Plan!$I$8,(B95-Plan!$H$9)/Plan!$I$9,(B95-Plan!$H$10)/Plan!$I$10,(B95-Plan!$H$11)/Plan!$I$11,(B95-Plan!$H$12)/Plan!$I$12,(B95-Plan!$H$13)/Plan!$I$13,(B95-Plan!$H$14)/Plan!$I$14,(B95-Plan!$H$15)/Plan!$I$15,(B95-Plan!$H$16)/Plan!$I$16)</f>
        <v>0</v>
      </c>
      <c r="E95" s="16" t="n">
        <f aca="false">MIN(C95,Plan!$H$5-B95+Plan!$I$5*D95,Plan!$H$6-B95+Plan!$I$6*D95,Plan!$H$7-B95+Plan!$I$7*D95,Plan!$H$8-B95+Plan!$I$8*D95,Plan!$H$9-B95+Plan!$I$9*D95,Plan!$H$10-B95+Plan!$I$10*D95,Plan!$H$11-B95+Plan!$I$11*D95,Plan!$H$12-B95+Plan!$I$12*D95,Plan!$H$13-B95+Plan!$I$13*D95,Plan!$H$14-B95+Plan!$I$14*D95,Plan!$H$15-B95+Plan!$I$15*D95,Plan!$H$16-B95+Plan!$I$16*D95)</f>
        <v>65.4503823577855</v>
      </c>
      <c r="F95" s="11" t="n">
        <f aca="false">C95-E95</f>
        <v>74.3496176422145</v>
      </c>
      <c r="G95" s="17" t="n">
        <f aca="false">D95</f>
        <v>0</v>
      </c>
      <c r="H95" s="16" t="n">
        <f aca="false">Fee*F95+VQ*G95</f>
        <v>2.23048852926643</v>
      </c>
      <c r="I95" s="17" t="n">
        <f aca="false">MAX(0,MIN(1,(GNone-H95)/(GNone-GFull)))</f>
        <v>1</v>
      </c>
      <c r="J95" s="16" t="n">
        <f aca="false">1-A95</f>
        <v>0.11</v>
      </c>
      <c r="K95" s="17" t="n">
        <f aca="false">MIN(I95,J95)</f>
        <v>0.11</v>
      </c>
      <c r="L95" s="20" t="n">
        <v>0.3062</v>
      </c>
      <c r="M95" s="21" t="n">
        <v>0.15001</v>
      </c>
      <c r="N95" s="21" t="n">
        <v>0.14689</v>
      </c>
      <c r="O95" s="16" t="n">
        <f aca="false">IF(M95&lt;=Alpha,A95,-1)</f>
        <v>-1</v>
      </c>
      <c r="P95" s="16" t="n">
        <f aca="false">IF(L95&gt;=0.95,A95,-1)</f>
        <v>-1</v>
      </c>
      <c r="Q95" s="17" t="n">
        <f aca="false">MIN(I95^2,J95)</f>
        <v>0.11</v>
      </c>
      <c r="R95" s="17" t="n">
        <f aca="false">MIN(SQRT(I95),J95)</f>
        <v>0.11</v>
      </c>
    </row>
    <row r="96" customFormat="false" ht="15" hidden="false" customHeight="false" outlineLevel="0" collapsed="false">
      <c r="A96" s="16" t="n">
        <v>0.9</v>
      </c>
      <c r="B96" s="11" t="n">
        <f aca="false">DNever-(DNever-DUsual)*A96</f>
        <v>65</v>
      </c>
      <c r="C96" s="11" t="n">
        <f aca="false">SNever-(SNever-SPlaus)*A96</f>
        <v>138</v>
      </c>
      <c r="D96" s="18" t="n">
        <f aca="false">MAX(0,(B96-Plan!$H$5)/Plan!$I$5,(B96-Plan!$H$6)/Plan!$I$6,(B96-Plan!$H$7)/Plan!$I$7,(B96-Plan!$H$8)/Plan!$I$8,(B96-Plan!$H$9)/Plan!$I$9,(B96-Plan!$H$10)/Plan!$I$10,(B96-Plan!$H$11)/Plan!$I$11,(B96-Plan!$H$12)/Plan!$I$12,(B96-Plan!$H$13)/Plan!$I$13,(B96-Plan!$H$14)/Plan!$I$14,(B96-Plan!$H$15)/Plan!$I$15,(B96-Plan!$H$16)/Plan!$I$16)</f>
        <v>0</v>
      </c>
      <c r="E96" s="16" t="n">
        <f aca="false">MIN(C96,Plan!$H$5-B96+Plan!$I$5*D96,Plan!$H$6-B96+Plan!$I$6*D96,Plan!$H$7-B96+Plan!$I$7*D96,Plan!$H$8-B96+Plan!$I$8*D96,Plan!$H$9-B96+Plan!$I$9*D96,Plan!$H$10-B96+Plan!$I$10*D96,Plan!$H$11-B96+Plan!$I$11*D96,Plan!$H$12-B96+Plan!$I$12*D96,Plan!$H$13-B96+Plan!$I$13*D96,Plan!$H$14-B96+Plan!$I$14*D96,Plan!$H$15-B96+Plan!$I$15*D96,Plan!$H$16-B96+Plan!$I$16*D96)</f>
        <v>66.9503823577855</v>
      </c>
      <c r="F96" s="11" t="n">
        <f aca="false">C96-E96</f>
        <v>71.0496176422145</v>
      </c>
      <c r="G96" s="17" t="n">
        <f aca="false">D96</f>
        <v>0</v>
      </c>
      <c r="H96" s="16" t="n">
        <f aca="false">Fee*F96+VQ*G96</f>
        <v>2.13148852926643</v>
      </c>
      <c r="I96" s="17" t="n">
        <f aca="false">MAX(0,MIN(1,(GNone-H96)/(GNone-GFull)))</f>
        <v>1</v>
      </c>
      <c r="J96" s="16" t="n">
        <f aca="false">1-A96</f>
        <v>0.1</v>
      </c>
      <c r="K96" s="17" t="n">
        <f aca="false">MIN(I96,J96)</f>
        <v>0.1</v>
      </c>
      <c r="L96" s="20" t="n">
        <v>0.29343</v>
      </c>
      <c r="M96" s="21" t="n">
        <v>0.15379</v>
      </c>
      <c r="N96" s="21" t="n">
        <v>0.15077</v>
      </c>
      <c r="O96" s="16" t="n">
        <f aca="false">IF(M96&lt;=Alpha,A96,-1)</f>
        <v>-1</v>
      </c>
      <c r="P96" s="16" t="n">
        <f aca="false">IF(L96&gt;=0.95,A96,-1)</f>
        <v>-1</v>
      </c>
      <c r="Q96" s="17" t="n">
        <f aca="false">MIN(I96^2,J96)</f>
        <v>0.1</v>
      </c>
      <c r="R96" s="17" t="n">
        <f aca="false">MIN(SQRT(I96),J96)</f>
        <v>0.1</v>
      </c>
    </row>
    <row r="97" customFormat="false" ht="15" hidden="false" customHeight="false" outlineLevel="0" collapsed="false">
      <c r="A97" s="16" t="n">
        <v>0.91</v>
      </c>
      <c r="B97" s="11" t="n">
        <f aca="false">DNever-(DNever-DUsual)*A97</f>
        <v>63.5</v>
      </c>
      <c r="C97" s="11" t="n">
        <f aca="false">SNever-(SNever-SPlaus)*A97</f>
        <v>136.2</v>
      </c>
      <c r="D97" s="18" t="n">
        <f aca="false">MAX(0,(B97-Plan!$H$5)/Plan!$I$5,(B97-Plan!$H$6)/Plan!$I$6,(B97-Plan!$H$7)/Plan!$I$7,(B97-Plan!$H$8)/Plan!$I$8,(B97-Plan!$H$9)/Plan!$I$9,(B97-Plan!$H$10)/Plan!$I$10,(B97-Plan!$H$11)/Plan!$I$11,(B97-Plan!$H$12)/Plan!$I$12,(B97-Plan!$H$13)/Plan!$I$13,(B97-Plan!$H$14)/Plan!$I$14,(B97-Plan!$H$15)/Plan!$I$15,(B97-Plan!$H$16)/Plan!$I$16)</f>
        <v>0</v>
      </c>
      <c r="E97" s="16" t="n">
        <f aca="false">MIN(C97,Plan!$H$5-B97+Plan!$I$5*D97,Plan!$H$6-B97+Plan!$I$6*D97,Plan!$H$7-B97+Plan!$I$7*D97,Plan!$H$8-B97+Plan!$I$8*D97,Plan!$H$9-B97+Plan!$I$9*D97,Plan!$H$10-B97+Plan!$I$10*D97,Plan!$H$11-B97+Plan!$I$11*D97,Plan!$H$12-B97+Plan!$I$12*D97,Plan!$H$13-B97+Plan!$I$13*D97,Plan!$H$14-B97+Plan!$I$14*D97,Plan!$H$15-B97+Plan!$I$15*D97,Plan!$H$16-B97+Plan!$I$16*D97)</f>
        <v>68.4503823577855</v>
      </c>
      <c r="F97" s="11" t="n">
        <f aca="false">C97-E97</f>
        <v>67.7496176422145</v>
      </c>
      <c r="G97" s="17" t="n">
        <f aca="false">D97</f>
        <v>0</v>
      </c>
      <c r="H97" s="16" t="n">
        <f aca="false">Fee*F97+VQ*G97</f>
        <v>2.03248852926643</v>
      </c>
      <c r="I97" s="17" t="n">
        <f aca="false">MAX(0,MIN(1,(GNone-H97)/(GNone-GFull)))</f>
        <v>1</v>
      </c>
      <c r="J97" s="16" t="n">
        <f aca="false">1-A97</f>
        <v>0.09</v>
      </c>
      <c r="K97" s="17" t="n">
        <f aca="false">MIN(I97,J97)</f>
        <v>0.09</v>
      </c>
      <c r="L97" s="20" t="n">
        <v>0.28106</v>
      </c>
      <c r="M97" s="21" t="n">
        <v>0.15799</v>
      </c>
      <c r="N97" s="21" t="n">
        <v>0.15488</v>
      </c>
      <c r="O97" s="16" t="n">
        <f aca="false">IF(M97&lt;=Alpha,A97,-1)</f>
        <v>-1</v>
      </c>
      <c r="P97" s="16" t="n">
        <f aca="false">IF(L97&gt;=0.95,A97,-1)</f>
        <v>-1</v>
      </c>
      <c r="Q97" s="17" t="n">
        <f aca="false">MIN(I97^2,J97)</f>
        <v>0.09</v>
      </c>
      <c r="R97" s="17" t="n">
        <f aca="false">MIN(SQRT(I97),J97)</f>
        <v>0.09</v>
      </c>
    </row>
    <row r="98" customFormat="false" ht="15" hidden="false" customHeight="false" outlineLevel="0" collapsed="false">
      <c r="A98" s="16" t="n">
        <v>0.92</v>
      </c>
      <c r="B98" s="11" t="n">
        <f aca="false">DNever-(DNever-DUsual)*A98</f>
        <v>62</v>
      </c>
      <c r="C98" s="11" t="n">
        <f aca="false">SNever-(SNever-SPlaus)*A98</f>
        <v>134.4</v>
      </c>
      <c r="D98" s="18" t="n">
        <f aca="false">MAX(0,(B98-Plan!$H$5)/Plan!$I$5,(B98-Plan!$H$6)/Plan!$I$6,(B98-Plan!$H$7)/Plan!$I$7,(B98-Plan!$H$8)/Plan!$I$8,(B98-Plan!$H$9)/Plan!$I$9,(B98-Plan!$H$10)/Plan!$I$10,(B98-Plan!$H$11)/Plan!$I$11,(B98-Plan!$H$12)/Plan!$I$12,(B98-Plan!$H$13)/Plan!$I$13,(B98-Plan!$H$14)/Plan!$I$14,(B98-Plan!$H$15)/Plan!$I$15,(B98-Plan!$H$16)/Plan!$I$16)</f>
        <v>0</v>
      </c>
      <c r="E98" s="16" t="n">
        <f aca="false">MIN(C98,Plan!$H$5-B98+Plan!$I$5*D98,Plan!$H$6-B98+Plan!$I$6*D98,Plan!$H$7-B98+Plan!$I$7*D98,Plan!$H$8-B98+Plan!$I$8*D98,Plan!$H$9-B98+Plan!$I$9*D98,Plan!$H$10-B98+Plan!$I$10*D98,Plan!$H$11-B98+Plan!$I$11*D98,Plan!$H$12-B98+Plan!$I$12*D98,Plan!$H$13-B98+Plan!$I$13*D98,Plan!$H$14-B98+Plan!$I$14*D98,Plan!$H$15-B98+Plan!$I$15*D98,Plan!$H$16-B98+Plan!$I$16*D98)</f>
        <v>69.9503823577855</v>
      </c>
      <c r="F98" s="11" t="n">
        <f aca="false">C98-E98</f>
        <v>64.4496176422145</v>
      </c>
      <c r="G98" s="17" t="n">
        <f aca="false">D98</f>
        <v>0</v>
      </c>
      <c r="H98" s="16" t="n">
        <f aca="false">Fee*F98+VQ*G98</f>
        <v>1.93348852926643</v>
      </c>
      <c r="I98" s="17" t="n">
        <f aca="false">MAX(0,MIN(1,(GNone-H98)/(GNone-GFull)))</f>
        <v>1</v>
      </c>
      <c r="J98" s="16" t="n">
        <f aca="false">1-A98</f>
        <v>0.08</v>
      </c>
      <c r="K98" s="17" t="n">
        <f aca="false">MIN(I98,J98)</f>
        <v>0.08</v>
      </c>
      <c r="L98" s="20" t="n">
        <v>0.26879</v>
      </c>
      <c r="M98" s="21" t="n">
        <v>0.16213</v>
      </c>
      <c r="N98" s="21" t="n">
        <v>0.15914</v>
      </c>
      <c r="O98" s="16" t="n">
        <f aca="false">IF(M98&lt;=Alpha,A98,-1)</f>
        <v>-1</v>
      </c>
      <c r="P98" s="16" t="n">
        <f aca="false">IF(L98&gt;=0.95,A98,-1)</f>
        <v>-1</v>
      </c>
      <c r="Q98" s="17" t="n">
        <f aca="false">MIN(I98^2,J98)</f>
        <v>0.08</v>
      </c>
      <c r="R98" s="17" t="n">
        <f aca="false">MIN(SQRT(I98),J98)</f>
        <v>0.08</v>
      </c>
    </row>
    <row r="99" customFormat="false" ht="15" hidden="false" customHeight="false" outlineLevel="0" collapsed="false">
      <c r="A99" s="16" t="n">
        <v>0.93</v>
      </c>
      <c r="B99" s="11" t="n">
        <f aca="false">DNever-(DNever-DUsual)*A99</f>
        <v>60.5</v>
      </c>
      <c r="C99" s="11" t="n">
        <f aca="false">SNever-(SNever-SPlaus)*A99</f>
        <v>132.6</v>
      </c>
      <c r="D99" s="18" t="n">
        <f aca="false">MAX(0,(B99-Plan!$H$5)/Plan!$I$5,(B99-Plan!$H$6)/Plan!$I$6,(B99-Plan!$H$7)/Plan!$I$7,(B99-Plan!$H$8)/Plan!$I$8,(B99-Plan!$H$9)/Plan!$I$9,(B99-Plan!$H$10)/Plan!$I$10,(B99-Plan!$H$11)/Plan!$I$11,(B99-Plan!$H$12)/Plan!$I$12,(B99-Plan!$H$13)/Plan!$I$13,(B99-Plan!$H$14)/Plan!$I$14,(B99-Plan!$H$15)/Plan!$I$15,(B99-Plan!$H$16)/Plan!$I$16)</f>
        <v>0</v>
      </c>
      <c r="E99" s="16" t="n">
        <f aca="false">MIN(C99,Plan!$H$5-B99+Plan!$I$5*D99,Plan!$H$6-B99+Plan!$I$6*D99,Plan!$H$7-B99+Plan!$I$7*D99,Plan!$H$8-B99+Plan!$I$8*D99,Plan!$H$9-B99+Plan!$I$9*D99,Plan!$H$10-B99+Plan!$I$10*D99,Plan!$H$11-B99+Plan!$I$11*D99,Plan!$H$12-B99+Plan!$I$12*D99,Plan!$H$13-B99+Plan!$I$13*D99,Plan!$H$14-B99+Plan!$I$14*D99,Plan!$H$15-B99+Plan!$I$15*D99,Plan!$H$16-B99+Plan!$I$16*D99)</f>
        <v>71.4503823577855</v>
      </c>
      <c r="F99" s="11" t="n">
        <f aca="false">C99-E99</f>
        <v>61.1496176422145</v>
      </c>
      <c r="G99" s="17" t="n">
        <f aca="false">D99</f>
        <v>0</v>
      </c>
      <c r="H99" s="16" t="n">
        <f aca="false">Fee*F99+VQ*G99</f>
        <v>1.83448852926643</v>
      </c>
      <c r="I99" s="17" t="n">
        <f aca="false">MAX(0,MIN(1,(GNone-H99)/(GNone-GFull)))</f>
        <v>1</v>
      </c>
      <c r="J99" s="16" t="n">
        <f aca="false">1-A99</f>
        <v>0.07</v>
      </c>
      <c r="K99" s="17" t="n">
        <f aca="false">MIN(I99,J99)</f>
        <v>0.07</v>
      </c>
      <c r="L99" s="20" t="n">
        <v>0.25707</v>
      </c>
      <c r="M99" s="21" t="n">
        <v>0.16627</v>
      </c>
      <c r="N99" s="21" t="n">
        <v>0.16331</v>
      </c>
      <c r="O99" s="16" t="n">
        <f aca="false">IF(M99&lt;=Alpha,A99,-1)</f>
        <v>-1</v>
      </c>
      <c r="P99" s="16" t="n">
        <f aca="false">IF(L99&gt;=0.95,A99,-1)</f>
        <v>-1</v>
      </c>
      <c r="Q99" s="17" t="n">
        <f aca="false">MIN(I99^2,J99)</f>
        <v>0.07</v>
      </c>
      <c r="R99" s="17" t="n">
        <f aca="false">MIN(SQRT(I99),J99)</f>
        <v>0.07</v>
      </c>
    </row>
    <row r="100" customFormat="false" ht="15" hidden="false" customHeight="false" outlineLevel="0" collapsed="false">
      <c r="A100" s="16" t="n">
        <v>0.94</v>
      </c>
      <c r="B100" s="11" t="n">
        <f aca="false">DNever-(DNever-DUsual)*A100</f>
        <v>59</v>
      </c>
      <c r="C100" s="11" t="n">
        <f aca="false">SNever-(SNever-SPlaus)*A100</f>
        <v>130.8</v>
      </c>
      <c r="D100" s="18" t="n">
        <f aca="false">MAX(0,(B100-Plan!$H$5)/Plan!$I$5,(B100-Plan!$H$6)/Plan!$I$6,(B100-Plan!$H$7)/Plan!$I$7,(B100-Plan!$H$8)/Plan!$I$8,(B100-Plan!$H$9)/Plan!$I$9,(B100-Plan!$H$10)/Plan!$I$10,(B100-Plan!$H$11)/Plan!$I$11,(B100-Plan!$H$12)/Plan!$I$12,(B100-Plan!$H$13)/Plan!$I$13,(B100-Plan!$H$14)/Plan!$I$14,(B100-Plan!$H$15)/Plan!$I$15,(B100-Plan!$H$16)/Plan!$I$16)</f>
        <v>0</v>
      </c>
      <c r="E100" s="16" t="n">
        <f aca="false">MIN(C100,Plan!$H$5-B100+Plan!$I$5*D100,Plan!$H$6-B100+Plan!$I$6*D100,Plan!$H$7-B100+Plan!$I$7*D100,Plan!$H$8-B100+Plan!$I$8*D100,Plan!$H$9-B100+Plan!$I$9*D100,Plan!$H$10-B100+Plan!$I$10*D100,Plan!$H$11-B100+Plan!$I$11*D100,Plan!$H$12-B100+Plan!$I$12*D100,Plan!$H$13-B100+Plan!$I$13*D100,Plan!$H$14-B100+Plan!$I$14*D100,Plan!$H$15-B100+Plan!$I$15*D100,Plan!$H$16-B100+Plan!$I$16*D100)</f>
        <v>72.9503823577855</v>
      </c>
      <c r="F100" s="11" t="n">
        <f aca="false">C100-E100</f>
        <v>57.8496176422145</v>
      </c>
      <c r="G100" s="17" t="n">
        <f aca="false">D100</f>
        <v>0</v>
      </c>
      <c r="H100" s="16" t="n">
        <f aca="false">Fee*F100+VQ*G100</f>
        <v>1.73548852926643</v>
      </c>
      <c r="I100" s="17" t="n">
        <f aca="false">MAX(0,MIN(1,(GNone-H100)/(GNone-GFull)))</f>
        <v>1</v>
      </c>
      <c r="J100" s="16" t="n">
        <f aca="false">1-A100</f>
        <v>0.0600000000000001</v>
      </c>
      <c r="K100" s="17" t="n">
        <f aca="false">MIN(I100,J100)</f>
        <v>0.0600000000000001</v>
      </c>
      <c r="L100" s="20" t="n">
        <v>0.24442</v>
      </c>
      <c r="M100" s="21" t="n">
        <v>0.17034</v>
      </c>
      <c r="N100" s="21" t="n">
        <v>0.16758</v>
      </c>
      <c r="O100" s="16" t="n">
        <f aca="false">IF(M100&lt;=Alpha,A100,-1)</f>
        <v>-1</v>
      </c>
      <c r="P100" s="16" t="n">
        <f aca="false">IF(L100&gt;=0.95,A100,-1)</f>
        <v>-1</v>
      </c>
      <c r="Q100" s="17" t="n">
        <f aca="false">MIN(I100^2,J100)</f>
        <v>0.0600000000000001</v>
      </c>
      <c r="R100" s="17" t="n">
        <f aca="false">MIN(SQRT(I100),J100)</f>
        <v>0.0600000000000001</v>
      </c>
    </row>
    <row r="101" customFormat="false" ht="15" hidden="false" customHeight="false" outlineLevel="0" collapsed="false">
      <c r="A101" s="16" t="n">
        <v>0.95</v>
      </c>
      <c r="B101" s="11" t="n">
        <f aca="false">DNever-(DNever-DUsual)*A101</f>
        <v>57.5</v>
      </c>
      <c r="C101" s="11" t="n">
        <f aca="false">SNever-(SNever-SPlaus)*A101</f>
        <v>129</v>
      </c>
      <c r="D101" s="18" t="n">
        <f aca="false">MAX(0,(B101-Plan!$H$5)/Plan!$I$5,(B101-Plan!$H$6)/Plan!$I$6,(B101-Plan!$H$7)/Plan!$I$7,(B101-Plan!$H$8)/Plan!$I$8,(B101-Plan!$H$9)/Plan!$I$9,(B101-Plan!$H$10)/Plan!$I$10,(B101-Plan!$H$11)/Plan!$I$11,(B101-Plan!$H$12)/Plan!$I$12,(B101-Plan!$H$13)/Plan!$I$13,(B101-Plan!$H$14)/Plan!$I$14,(B101-Plan!$H$15)/Plan!$I$15,(B101-Plan!$H$16)/Plan!$I$16)</f>
        <v>0</v>
      </c>
      <c r="E101" s="16" t="n">
        <f aca="false">MIN(C101,Plan!$H$5-B101+Plan!$I$5*D101,Plan!$H$6-B101+Plan!$I$6*D101,Plan!$H$7-B101+Plan!$I$7*D101,Plan!$H$8-B101+Plan!$I$8*D101,Plan!$H$9-B101+Plan!$I$9*D101,Plan!$H$10-B101+Plan!$I$10*D101,Plan!$H$11-B101+Plan!$I$11*D101,Plan!$H$12-B101+Plan!$I$12*D101,Plan!$H$13-B101+Plan!$I$13*D101,Plan!$H$14-B101+Plan!$I$14*D101,Plan!$H$15-B101+Plan!$I$15*D101,Plan!$H$16-B101+Plan!$I$16*D101)</f>
        <v>74.4503823577855</v>
      </c>
      <c r="F101" s="11" t="n">
        <f aca="false">C101-E101</f>
        <v>54.5496176422145</v>
      </c>
      <c r="G101" s="17" t="n">
        <f aca="false">D101</f>
        <v>0</v>
      </c>
      <c r="H101" s="16" t="n">
        <f aca="false">Fee*F101+VQ*G101</f>
        <v>1.63648852926643</v>
      </c>
      <c r="I101" s="17" t="n">
        <f aca="false">MAX(0,MIN(1,(GNone-H101)/(GNone-GFull)))</f>
        <v>1</v>
      </c>
      <c r="J101" s="16" t="n">
        <f aca="false">1-A101</f>
        <v>0.05</v>
      </c>
      <c r="K101" s="17" t="n">
        <f aca="false">MIN(I101,J101)</f>
        <v>0.05</v>
      </c>
      <c r="L101" s="20" t="n">
        <v>0.23283</v>
      </c>
      <c r="M101" s="21" t="n">
        <v>0.17455</v>
      </c>
      <c r="N101" s="21" t="n">
        <v>0.17189</v>
      </c>
      <c r="O101" s="16" t="n">
        <f aca="false">IF(M101&lt;=Alpha,A101,-1)</f>
        <v>-1</v>
      </c>
      <c r="P101" s="16" t="n">
        <f aca="false">IF(L101&gt;=0.95,A101,-1)</f>
        <v>-1</v>
      </c>
      <c r="Q101" s="17" t="n">
        <f aca="false">MIN(I101^2,J101)</f>
        <v>0.05</v>
      </c>
      <c r="R101" s="17" t="n">
        <f aca="false">MIN(SQRT(I101),J101)</f>
        <v>0.05</v>
      </c>
    </row>
    <row r="102" customFormat="false" ht="15" hidden="false" customHeight="false" outlineLevel="0" collapsed="false">
      <c r="A102" s="16" t="n">
        <v>0.96</v>
      </c>
      <c r="B102" s="11" t="n">
        <f aca="false">DNever-(DNever-DUsual)*A102</f>
        <v>56</v>
      </c>
      <c r="C102" s="11" t="n">
        <f aca="false">SNever-(SNever-SPlaus)*A102</f>
        <v>127.2</v>
      </c>
      <c r="D102" s="18" t="n">
        <f aca="false">MAX(0,(B102-Plan!$H$5)/Plan!$I$5,(B102-Plan!$H$6)/Plan!$I$6,(B102-Plan!$H$7)/Plan!$I$7,(B102-Plan!$H$8)/Plan!$I$8,(B102-Plan!$H$9)/Plan!$I$9,(B102-Plan!$H$10)/Plan!$I$10,(B102-Plan!$H$11)/Plan!$I$11,(B102-Plan!$H$12)/Plan!$I$12,(B102-Plan!$H$13)/Plan!$I$13,(B102-Plan!$H$14)/Plan!$I$14,(B102-Plan!$H$15)/Plan!$I$15,(B102-Plan!$H$16)/Plan!$I$16)</f>
        <v>0</v>
      </c>
      <c r="E102" s="16" t="n">
        <f aca="false">MIN(C102,Plan!$H$5-B102+Plan!$I$5*D102,Plan!$H$6-B102+Plan!$I$6*D102,Plan!$H$7-B102+Plan!$I$7*D102,Plan!$H$8-B102+Plan!$I$8*D102,Plan!$H$9-B102+Plan!$I$9*D102,Plan!$H$10-B102+Plan!$I$10*D102,Plan!$H$11-B102+Plan!$I$11*D102,Plan!$H$12-B102+Plan!$I$12*D102,Plan!$H$13-B102+Plan!$I$13*D102,Plan!$H$14-B102+Plan!$I$14*D102,Plan!$H$15-B102+Plan!$I$15*D102,Plan!$H$16-B102+Plan!$I$16*D102)</f>
        <v>75.9503823577855</v>
      </c>
      <c r="F102" s="11" t="n">
        <f aca="false">C102-E102</f>
        <v>51.2496176422145</v>
      </c>
      <c r="G102" s="17" t="n">
        <f aca="false">D102</f>
        <v>0</v>
      </c>
      <c r="H102" s="16" t="n">
        <f aca="false">Fee*F102+VQ*G102</f>
        <v>1.53748852926643</v>
      </c>
      <c r="I102" s="17" t="n">
        <f aca="false">MAX(0,MIN(1,(GNone-H102)/(GNone-GFull)))</f>
        <v>1</v>
      </c>
      <c r="J102" s="16" t="n">
        <f aca="false">1-A102</f>
        <v>0.04</v>
      </c>
      <c r="K102" s="17" t="n">
        <f aca="false">MIN(I102,J102)</f>
        <v>0.04</v>
      </c>
      <c r="L102" s="20" t="n">
        <v>0.22103</v>
      </c>
      <c r="M102" s="21" t="n">
        <v>0.17902</v>
      </c>
      <c r="N102" s="21" t="n">
        <v>0.17632</v>
      </c>
      <c r="O102" s="16" t="n">
        <f aca="false">IF(M102&lt;=Alpha,A102,-1)</f>
        <v>-1</v>
      </c>
      <c r="P102" s="16" t="n">
        <f aca="false">IF(L102&gt;=0.95,A102,-1)</f>
        <v>-1</v>
      </c>
      <c r="Q102" s="17" t="n">
        <f aca="false">MIN(I102^2,J102)</f>
        <v>0.04</v>
      </c>
      <c r="R102" s="17" t="n">
        <f aca="false">MIN(SQRT(I102),J102)</f>
        <v>0.04</v>
      </c>
    </row>
    <row r="103" customFormat="false" ht="15" hidden="false" customHeight="false" outlineLevel="0" collapsed="false">
      <c r="A103" s="16" t="n">
        <v>0.97</v>
      </c>
      <c r="B103" s="11" t="n">
        <f aca="false">DNever-(DNever-DUsual)*A103</f>
        <v>54.5</v>
      </c>
      <c r="C103" s="11" t="n">
        <f aca="false">SNever-(SNever-SPlaus)*A103</f>
        <v>125.4</v>
      </c>
      <c r="D103" s="18" t="n">
        <f aca="false">MAX(0,(B103-Plan!$H$5)/Plan!$I$5,(B103-Plan!$H$6)/Plan!$I$6,(B103-Plan!$H$7)/Plan!$I$7,(B103-Plan!$H$8)/Plan!$I$8,(B103-Plan!$H$9)/Plan!$I$9,(B103-Plan!$H$10)/Plan!$I$10,(B103-Plan!$H$11)/Plan!$I$11,(B103-Plan!$H$12)/Plan!$I$12,(B103-Plan!$H$13)/Plan!$I$13,(B103-Plan!$H$14)/Plan!$I$14,(B103-Plan!$H$15)/Plan!$I$15,(B103-Plan!$H$16)/Plan!$I$16)</f>
        <v>0</v>
      </c>
      <c r="E103" s="16" t="n">
        <f aca="false">MIN(C103,Plan!$H$5-B103+Plan!$I$5*D103,Plan!$H$6-B103+Plan!$I$6*D103,Plan!$H$7-B103+Plan!$I$7*D103,Plan!$H$8-B103+Plan!$I$8*D103,Plan!$H$9-B103+Plan!$I$9*D103,Plan!$H$10-B103+Plan!$I$10*D103,Plan!$H$11-B103+Plan!$I$11*D103,Plan!$H$12-B103+Plan!$I$12*D103,Plan!$H$13-B103+Plan!$I$13*D103,Plan!$H$14-B103+Plan!$I$14*D103,Plan!$H$15-B103+Plan!$I$15*D103,Plan!$H$16-B103+Plan!$I$16*D103)</f>
        <v>77.4503823577855</v>
      </c>
      <c r="F103" s="11" t="n">
        <f aca="false">C103-E103</f>
        <v>47.9496176422145</v>
      </c>
      <c r="G103" s="17" t="n">
        <f aca="false">D103</f>
        <v>0</v>
      </c>
      <c r="H103" s="16" t="n">
        <f aca="false">Fee*F103+VQ*G103</f>
        <v>1.43848852926643</v>
      </c>
      <c r="I103" s="17" t="n">
        <f aca="false">MAX(0,MIN(1,(GNone-H103)/(GNone-GFull)))</f>
        <v>1</v>
      </c>
      <c r="J103" s="16" t="n">
        <f aca="false">1-A103</f>
        <v>0.03</v>
      </c>
      <c r="K103" s="17" t="n">
        <f aca="false">MIN(I103,J103)</f>
        <v>0.03</v>
      </c>
      <c r="L103" s="20" t="n">
        <v>0.21005</v>
      </c>
      <c r="M103" s="21" t="n">
        <v>0.18347</v>
      </c>
      <c r="N103" s="21" t="n">
        <v>0.1809</v>
      </c>
      <c r="O103" s="16" t="n">
        <f aca="false">IF(M103&lt;=Alpha,A103,-1)</f>
        <v>-1</v>
      </c>
      <c r="P103" s="16" t="n">
        <f aca="false">IF(L103&gt;=0.95,A103,-1)</f>
        <v>-1</v>
      </c>
      <c r="Q103" s="17" t="n">
        <f aca="false">MIN(I103^2,J103)</f>
        <v>0.03</v>
      </c>
      <c r="R103" s="17" t="n">
        <f aca="false">MIN(SQRT(I103),J103)</f>
        <v>0.03</v>
      </c>
    </row>
    <row r="104" customFormat="false" ht="15" hidden="false" customHeight="false" outlineLevel="0" collapsed="false">
      <c r="A104" s="16" t="n">
        <v>0.98</v>
      </c>
      <c r="B104" s="11" t="n">
        <f aca="false">DNever-(DNever-DUsual)*A104</f>
        <v>53</v>
      </c>
      <c r="C104" s="11" t="n">
        <f aca="false">SNever-(SNever-SPlaus)*A104</f>
        <v>123.6</v>
      </c>
      <c r="D104" s="18" t="n">
        <f aca="false">MAX(0,(B104-Plan!$H$5)/Plan!$I$5,(B104-Plan!$H$6)/Plan!$I$6,(B104-Plan!$H$7)/Plan!$I$7,(B104-Plan!$H$8)/Plan!$I$8,(B104-Plan!$H$9)/Plan!$I$9,(B104-Plan!$H$10)/Plan!$I$10,(B104-Plan!$H$11)/Plan!$I$11,(B104-Plan!$H$12)/Plan!$I$12,(B104-Plan!$H$13)/Plan!$I$13,(B104-Plan!$H$14)/Plan!$I$14,(B104-Plan!$H$15)/Plan!$I$15,(B104-Plan!$H$16)/Plan!$I$16)</f>
        <v>0</v>
      </c>
      <c r="E104" s="16" t="n">
        <f aca="false">MIN(C104,Plan!$H$5-B104+Plan!$I$5*D104,Plan!$H$6-B104+Plan!$I$6*D104,Plan!$H$7-B104+Plan!$I$7*D104,Plan!$H$8-B104+Plan!$I$8*D104,Plan!$H$9-B104+Plan!$I$9*D104,Plan!$H$10-B104+Plan!$I$10*D104,Plan!$H$11-B104+Plan!$I$11*D104,Plan!$H$12-B104+Plan!$I$12*D104,Plan!$H$13-B104+Plan!$I$13*D104,Plan!$H$14-B104+Plan!$I$14*D104,Plan!$H$15-B104+Plan!$I$15*D104,Plan!$H$16-B104+Plan!$I$16*D104)</f>
        <v>78.9503823577855</v>
      </c>
      <c r="F104" s="11" t="n">
        <f aca="false">C104-E104</f>
        <v>44.6496176422145</v>
      </c>
      <c r="G104" s="17" t="n">
        <f aca="false">D104</f>
        <v>0</v>
      </c>
      <c r="H104" s="16" t="n">
        <f aca="false">Fee*F104+VQ*G104</f>
        <v>1.33948852926643</v>
      </c>
      <c r="I104" s="17" t="n">
        <f aca="false">MAX(0,MIN(1,(GNone-H104)/(GNone-GFull)))</f>
        <v>1</v>
      </c>
      <c r="J104" s="16" t="n">
        <f aca="false">1-A104</f>
        <v>0.02</v>
      </c>
      <c r="K104" s="17" t="n">
        <f aca="false">MIN(I104,J104)</f>
        <v>0.02</v>
      </c>
      <c r="L104" s="20" t="n">
        <v>0.1991</v>
      </c>
      <c r="M104" s="21" t="n">
        <v>0.18821</v>
      </c>
      <c r="N104" s="21" t="n">
        <v>0.18554</v>
      </c>
      <c r="O104" s="16" t="n">
        <f aca="false">IF(M104&lt;=Alpha,A104,-1)</f>
        <v>-1</v>
      </c>
      <c r="P104" s="16" t="n">
        <f aca="false">IF(L104&gt;=0.95,A104,-1)</f>
        <v>-1</v>
      </c>
      <c r="Q104" s="17" t="n">
        <f aca="false">MIN(I104^2,J104)</f>
        <v>0.02</v>
      </c>
      <c r="R104" s="17" t="n">
        <f aca="false">MIN(SQRT(I104),J104)</f>
        <v>0.02</v>
      </c>
    </row>
    <row r="105" customFormat="false" ht="15" hidden="false" customHeight="false" outlineLevel="0" collapsed="false">
      <c r="A105" s="16" t="n">
        <v>0.99</v>
      </c>
      <c r="B105" s="11" t="n">
        <f aca="false">DNever-(DNever-DUsual)*A105</f>
        <v>51.5</v>
      </c>
      <c r="C105" s="11" t="n">
        <f aca="false">SNever-(SNever-SPlaus)*A105</f>
        <v>121.8</v>
      </c>
      <c r="D105" s="18" t="n">
        <f aca="false">MAX(0,(B105-Plan!$H$5)/Plan!$I$5,(B105-Plan!$H$6)/Plan!$I$6,(B105-Plan!$H$7)/Plan!$I$7,(B105-Plan!$H$8)/Plan!$I$8,(B105-Plan!$H$9)/Plan!$I$9,(B105-Plan!$H$10)/Plan!$I$10,(B105-Plan!$H$11)/Plan!$I$11,(B105-Plan!$H$12)/Plan!$I$12,(B105-Plan!$H$13)/Plan!$I$13,(B105-Plan!$H$14)/Plan!$I$14,(B105-Plan!$H$15)/Plan!$I$15,(B105-Plan!$H$16)/Plan!$I$16)</f>
        <v>0</v>
      </c>
      <c r="E105" s="16" t="n">
        <f aca="false">MIN(C105,Plan!$H$5-B105+Plan!$I$5*D105,Plan!$H$6-B105+Plan!$I$6*D105,Plan!$H$7-B105+Plan!$I$7*D105,Plan!$H$8-B105+Plan!$I$8*D105,Plan!$H$9-B105+Plan!$I$9*D105,Plan!$H$10-B105+Plan!$I$10*D105,Plan!$H$11-B105+Plan!$I$11*D105,Plan!$H$12-B105+Plan!$I$12*D105,Plan!$H$13-B105+Plan!$I$13*D105,Plan!$H$14-B105+Plan!$I$14*D105,Plan!$H$15-B105+Plan!$I$15*D105,Plan!$H$16-B105+Plan!$I$16*D105)</f>
        <v>80.4503823577855</v>
      </c>
      <c r="F105" s="11" t="n">
        <f aca="false">C105-E105</f>
        <v>41.3496176422145</v>
      </c>
      <c r="G105" s="17" t="n">
        <f aca="false">D105</f>
        <v>0</v>
      </c>
      <c r="H105" s="16" t="n">
        <f aca="false">Fee*F105+VQ*G105</f>
        <v>1.24048852926643</v>
      </c>
      <c r="I105" s="17" t="n">
        <f aca="false">MAX(0,MIN(1,(GNone-H105)/(GNone-GFull)))</f>
        <v>1</v>
      </c>
      <c r="J105" s="16" t="n">
        <f aca="false">1-A105</f>
        <v>0.01</v>
      </c>
      <c r="K105" s="17" t="n">
        <f aca="false">MIN(I105,J105)</f>
        <v>0.01</v>
      </c>
      <c r="L105" s="20" t="n">
        <v>0.1886</v>
      </c>
      <c r="M105" s="21" t="n">
        <v>0.19306</v>
      </c>
      <c r="N105" s="21" t="n">
        <v>0.19023</v>
      </c>
      <c r="O105" s="16" t="n">
        <f aca="false">IF(M105&lt;=Alpha,A105,-1)</f>
        <v>-1</v>
      </c>
      <c r="P105" s="16" t="n">
        <f aca="false">IF(L105&gt;=0.95,A105,-1)</f>
        <v>-1</v>
      </c>
      <c r="Q105" s="17" t="n">
        <f aca="false">MIN(I105^2,J105)</f>
        <v>0.01</v>
      </c>
      <c r="R105" s="17" t="n">
        <f aca="false">MIN(SQRT(I105),J105)</f>
        <v>0.01</v>
      </c>
    </row>
    <row r="106" customFormat="false" ht="15" hidden="false" customHeight="false" outlineLevel="0" collapsed="false">
      <c r="A106" s="16" t="n">
        <v>1</v>
      </c>
      <c r="B106" s="11" t="n">
        <f aca="false">DNever-(DNever-DUsual)*A106</f>
        <v>50</v>
      </c>
      <c r="C106" s="11" t="n">
        <f aca="false">SNever-(SNever-SPlaus)*A106</f>
        <v>120</v>
      </c>
      <c r="D106" s="18" t="n">
        <f aca="false">MAX(0,(B106-Plan!$H$5)/Plan!$I$5,(B106-Plan!$H$6)/Plan!$I$6,(B106-Plan!$H$7)/Plan!$I$7,(B106-Plan!$H$8)/Plan!$I$8,(B106-Plan!$H$9)/Plan!$I$9,(B106-Plan!$H$10)/Plan!$I$10,(B106-Plan!$H$11)/Plan!$I$11,(B106-Plan!$H$12)/Plan!$I$12,(B106-Plan!$H$13)/Plan!$I$13,(B106-Plan!$H$14)/Plan!$I$14,(B106-Plan!$H$15)/Plan!$I$15,(B106-Plan!$H$16)/Plan!$I$16)</f>
        <v>0</v>
      </c>
      <c r="E106" s="16" t="n">
        <f aca="false">MIN(C106,Plan!$H$5-B106+Plan!$I$5*D106,Plan!$H$6-B106+Plan!$I$6*D106,Plan!$H$7-B106+Plan!$I$7*D106,Plan!$H$8-B106+Plan!$I$8*D106,Plan!$H$9-B106+Plan!$I$9*D106,Plan!$H$10-B106+Plan!$I$10*D106,Plan!$H$11-B106+Plan!$I$11*D106,Plan!$H$12-B106+Plan!$I$12*D106,Plan!$H$13-B106+Plan!$I$13*D106,Plan!$H$14-B106+Plan!$I$14*D106,Plan!$H$15-B106+Plan!$I$15*D106,Plan!$H$16-B106+Plan!$I$16*D106)</f>
        <v>81.9503823577855</v>
      </c>
      <c r="F106" s="11" t="n">
        <f aca="false">C106-E106</f>
        <v>38.0496176422145</v>
      </c>
      <c r="G106" s="17" t="n">
        <f aca="false">D106</f>
        <v>0</v>
      </c>
      <c r="H106" s="16" t="n">
        <f aca="false">Fee*F106+VQ*G106</f>
        <v>1.14148852926643</v>
      </c>
      <c r="I106" s="17" t="n">
        <f aca="false">MAX(0,MIN(1,(GNone-H106)/(GNone-GFull)))</f>
        <v>1</v>
      </c>
      <c r="J106" s="16" t="n">
        <f aca="false">1-A106</f>
        <v>0</v>
      </c>
      <c r="K106" s="17" t="n">
        <f aca="false">MIN(I106,J106)</f>
        <v>0</v>
      </c>
      <c r="L106" s="20" t="n">
        <v>0.1784</v>
      </c>
      <c r="M106" s="21" t="n">
        <v>0.19731</v>
      </c>
      <c r="N106" s="21" t="n">
        <v>0.19477</v>
      </c>
      <c r="O106" s="16" t="n">
        <f aca="false">IF(M106&lt;=Alpha,A106,-1)</f>
        <v>-1</v>
      </c>
      <c r="P106" s="16" t="n">
        <f aca="false">IF(L106&gt;=0.95,A106,-1)</f>
        <v>-1</v>
      </c>
      <c r="Q106" s="17" t="n">
        <f aca="false">MIN(I106^2,J106)</f>
        <v>0</v>
      </c>
      <c r="R106" s="17" t="n">
        <f aca="false">MIN(SQRT(I106),J106)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2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10" t="s">
        <v>192</v>
      </c>
    </row>
    <row r="4" customFormat="false" ht="23.85" hidden="false" customHeight="false" outlineLevel="0" collapsed="false">
      <c r="A4" s="8" t="s">
        <v>193</v>
      </c>
      <c r="B4" s="8" t="s">
        <v>194</v>
      </c>
      <c r="C4" s="8" t="s">
        <v>195</v>
      </c>
      <c r="D4" s="8" t="s">
        <v>196</v>
      </c>
      <c r="E4" s="8" t="s">
        <v>197</v>
      </c>
      <c r="F4" s="8" t="s">
        <v>106</v>
      </c>
    </row>
    <row r="5" customFormat="false" ht="15" hidden="false" customHeight="false" outlineLevel="0" collapsed="false">
      <c r="A5" s="26" t="n">
        <v>0.01</v>
      </c>
      <c r="B5" s="27" t="n">
        <v>190</v>
      </c>
      <c r="C5" s="28" t="n">
        <v>2.17366646072816</v>
      </c>
      <c r="D5" s="16" t="n">
        <f aca="false">Fee*B5</f>
        <v>5.7</v>
      </c>
      <c r="E5" s="16" t="n">
        <f aca="false">VQ*C5</f>
        <v>17.3893316858253</v>
      </c>
      <c r="F5" s="16" t="n">
        <f aca="false">D5+E5</f>
        <v>23.0893316858253</v>
      </c>
    </row>
    <row r="6" customFormat="false" ht="15" hidden="false" customHeight="false" outlineLevel="0" collapsed="false">
      <c r="A6" s="26" t="n">
        <v>0.02</v>
      </c>
      <c r="B6" s="27" t="n">
        <v>170</v>
      </c>
      <c r="C6" s="28" t="n">
        <v>1.5951064309758</v>
      </c>
      <c r="D6" s="16" t="n">
        <f aca="false">Fee*B6</f>
        <v>5.1</v>
      </c>
      <c r="E6" s="16" t="n">
        <f aca="false">VQ*C6</f>
        <v>12.7608514478064</v>
      </c>
      <c r="F6" s="16" t="n">
        <f aca="false">D6+E6</f>
        <v>17.8608514478064</v>
      </c>
    </row>
    <row r="7" customFormat="false" ht="15" hidden="false" customHeight="false" outlineLevel="0" collapsed="false">
      <c r="A7" s="26" t="n">
        <v>0.03</v>
      </c>
      <c r="B7" s="27" t="n">
        <v>180</v>
      </c>
      <c r="C7" s="28" t="n">
        <v>1.16051551052027</v>
      </c>
      <c r="D7" s="16" t="n">
        <f aca="false">Fee*B7</f>
        <v>5.4</v>
      </c>
      <c r="E7" s="16" t="n">
        <f aca="false">VQ*C7</f>
        <v>9.28412408416213</v>
      </c>
      <c r="F7" s="16" t="n">
        <f aca="false">D7+E7</f>
        <v>14.6841240841621</v>
      </c>
    </row>
    <row r="8" customFormat="false" ht="15" hidden="false" customHeight="false" outlineLevel="0" collapsed="false">
      <c r="A8" s="26" t="n">
        <v>0.04</v>
      </c>
      <c r="B8" s="27" t="n">
        <v>165</v>
      </c>
      <c r="C8" s="28" t="n">
        <v>0.925057198980888</v>
      </c>
      <c r="D8" s="16" t="n">
        <f aca="false">Fee*B8</f>
        <v>4.95</v>
      </c>
      <c r="E8" s="16" t="n">
        <f aca="false">VQ*C8</f>
        <v>7.4004575918471</v>
      </c>
      <c r="F8" s="16" t="n">
        <f aca="false">D8+E8</f>
        <v>12.3504575918471</v>
      </c>
    </row>
    <row r="9" customFormat="false" ht="15" hidden="false" customHeight="false" outlineLevel="0" collapsed="false">
      <c r="A9" s="26" t="n">
        <v>0.05</v>
      </c>
      <c r="B9" s="27" t="n">
        <v>170</v>
      </c>
      <c r="C9" s="28" t="n">
        <v>0.667576361426626</v>
      </c>
      <c r="D9" s="16" t="n">
        <f aca="false">Fee*B9</f>
        <v>5.1</v>
      </c>
      <c r="E9" s="16" t="n">
        <f aca="false">VQ*C9</f>
        <v>5.34061089141301</v>
      </c>
      <c r="F9" s="16" t="n">
        <f aca="false">D9+E9</f>
        <v>10.440610891413</v>
      </c>
    </row>
    <row r="10" customFormat="false" ht="15" hidden="false" customHeight="false" outlineLevel="0" collapsed="false">
      <c r="A10" s="26" t="n">
        <v>0.06</v>
      </c>
      <c r="B10" s="27" t="n">
        <v>160</v>
      </c>
      <c r="C10" s="28" t="n">
        <v>0.502426456870059</v>
      </c>
      <c r="D10" s="16" t="n">
        <f aca="false">Fee*B10</f>
        <v>4.8</v>
      </c>
      <c r="E10" s="16" t="n">
        <f aca="false">VQ*C10</f>
        <v>4.01941165496047</v>
      </c>
      <c r="F10" s="16" t="n">
        <f aca="false">D10+E10</f>
        <v>8.81941165496047</v>
      </c>
    </row>
    <row r="11" customFormat="false" ht="15" hidden="false" customHeight="false" outlineLevel="0" collapsed="false">
      <c r="A11" s="26" t="n">
        <v>0.08</v>
      </c>
      <c r="B11" s="27" t="n">
        <v>160</v>
      </c>
      <c r="C11" s="28" t="n">
        <v>0.181704715334869</v>
      </c>
      <c r="D11" s="16" t="n">
        <f aca="false">Fee*B11</f>
        <v>4.8</v>
      </c>
      <c r="E11" s="16" t="n">
        <f aca="false">VQ*C11</f>
        <v>1.45363772267895</v>
      </c>
      <c r="F11" s="16" t="n">
        <f aca="false">D11+E11</f>
        <v>6.25363772267895</v>
      </c>
    </row>
    <row r="12" customFormat="false" ht="15" hidden="false" customHeight="false" outlineLevel="0" collapsed="false">
      <c r="A12" s="26" t="n">
        <v>0.1</v>
      </c>
      <c r="B12" s="27" t="n">
        <v>135</v>
      </c>
      <c r="C12" s="28" t="n">
        <v>0.015171616250953</v>
      </c>
      <c r="D12" s="16" t="n">
        <f aca="false">Fee*B12</f>
        <v>4.05</v>
      </c>
      <c r="E12" s="16" t="n">
        <f aca="false">VQ*C12</f>
        <v>0.121372930007624</v>
      </c>
      <c r="F12" s="16" t="n">
        <f aca="false">D12+E12</f>
        <v>4.17137293000762</v>
      </c>
    </row>
    <row r="13" customFormat="false" ht="15" hidden="false" customHeight="false" outlineLevel="0" collapsed="false">
      <c r="A13" s="26" t="n">
        <v>0.125</v>
      </c>
      <c r="B13" s="27" t="n">
        <v>100</v>
      </c>
      <c r="C13" s="28" t="n">
        <v>0</v>
      </c>
      <c r="D13" s="16" t="n">
        <f aca="false">Fee*B13</f>
        <v>3</v>
      </c>
      <c r="E13" s="16" t="n">
        <f aca="false">VQ*C13</f>
        <v>0</v>
      </c>
      <c r="F13" s="16" t="n">
        <f aca="false">D13+E13</f>
        <v>3</v>
      </c>
    </row>
    <row r="14" customFormat="false" ht="15" hidden="false" customHeight="false" outlineLevel="0" collapsed="false">
      <c r="A14" s="26" t="n">
        <v>0.15</v>
      </c>
      <c r="B14" s="27" t="n">
        <v>75</v>
      </c>
      <c r="C14" s="28" t="n">
        <v>0</v>
      </c>
      <c r="D14" s="16" t="n">
        <f aca="false">Fee*B14</f>
        <v>2.25</v>
      </c>
      <c r="E14" s="16" t="n">
        <f aca="false">VQ*C14</f>
        <v>0</v>
      </c>
      <c r="F14" s="16" t="n">
        <f aca="false">D14+E14</f>
        <v>2.25</v>
      </c>
    </row>
    <row r="17" customFormat="false" ht="15" hidden="false" customHeight="false" outlineLevel="0" collapsed="false">
      <c r="A17" s="4" t="s">
        <v>198</v>
      </c>
    </row>
    <row r="18" customFormat="false" ht="23.85" hidden="false" customHeight="false" outlineLevel="0" collapsed="false">
      <c r="A18" s="8" t="s">
        <v>199</v>
      </c>
      <c r="B18" s="8" t="s">
        <v>150</v>
      </c>
      <c r="C18" s="8" t="s">
        <v>151</v>
      </c>
      <c r="D18" s="8" t="s">
        <v>104</v>
      </c>
      <c r="E18" s="8" t="s">
        <v>105</v>
      </c>
      <c r="F18" s="8" t="s">
        <v>106</v>
      </c>
      <c r="G18" s="8" t="s">
        <v>120</v>
      </c>
      <c r="H18" s="8" t="s">
        <v>200</v>
      </c>
      <c r="I18" s="8" t="s">
        <v>122</v>
      </c>
    </row>
    <row r="19" customFormat="false" ht="15" hidden="false" customHeight="false" outlineLevel="0" collapsed="false">
      <c r="A19" s="4" t="s">
        <v>123</v>
      </c>
      <c r="B19" s="23" t="n">
        <f aca="false">Robust!C5</f>
        <v>0</v>
      </c>
      <c r="C19" s="23" t="n">
        <f aca="false">Robust!D5</f>
        <v>187</v>
      </c>
      <c r="D19" s="23" t="n">
        <f aca="false">Robust!J5</f>
        <v>55.0496176422145</v>
      </c>
      <c r="E19" s="22" t="n">
        <f aca="false">Robust!K5</f>
        <v>0</v>
      </c>
      <c r="F19" s="22" t="n">
        <f aca="false">Robust!L5</f>
        <v>1.65148852926643</v>
      </c>
      <c r="G19" s="24" t="n">
        <f aca="false">Robust!Z5</f>
        <v>0.01488</v>
      </c>
      <c r="H19" s="24" t="n">
        <f aca="false">Robust!AA5</f>
        <v>0.17388</v>
      </c>
      <c r="I19" s="24" t="n">
        <f aca="false">Robust!AB5</f>
        <v>0.17124</v>
      </c>
    </row>
    <row r="20" customFormat="false" ht="15" hidden="false" customHeight="false" outlineLevel="0" collapsed="false">
      <c r="A20" s="4" t="s">
        <v>124</v>
      </c>
      <c r="B20" s="23" t="n">
        <f aca="false">Robust!C6</f>
        <v>125</v>
      </c>
      <c r="C20" s="23" t="n">
        <f aca="false">Robust!D6</f>
        <v>210</v>
      </c>
      <c r="D20" s="23" t="n">
        <f aca="false">Robust!J6</f>
        <v>203.049617642214</v>
      </c>
      <c r="E20" s="22" t="n">
        <f aca="false">Robust!K6</f>
        <v>0</v>
      </c>
      <c r="F20" s="22" t="n">
        <f aca="false">Robust!L6</f>
        <v>6.09148852926643</v>
      </c>
      <c r="G20" s="24" t="n">
        <f aca="false">Robust!Z6</f>
        <v>0.78907</v>
      </c>
      <c r="H20" s="24" t="n">
        <f aca="false">Robust!AA6</f>
        <v>0.08645</v>
      </c>
      <c r="I20" s="24" t="n">
        <f aca="false">Robust!AB6</f>
        <v>0.08435</v>
      </c>
    </row>
    <row r="21" customFormat="false" ht="15" hidden="false" customHeight="false" outlineLevel="0" collapsed="false">
      <c r="A21" s="4" t="s">
        <v>201</v>
      </c>
      <c r="B21" s="23" t="n">
        <f aca="false">Robust!C7</f>
        <v>143</v>
      </c>
      <c r="C21" s="23" t="n">
        <f aca="false">Robust!D7</f>
        <v>231.6</v>
      </c>
      <c r="D21" s="23" t="n">
        <f aca="false">Robust!J7</f>
        <v>231.6</v>
      </c>
      <c r="E21" s="22" t="n">
        <f aca="false">Robust!K7</f>
        <v>0.449366513548311</v>
      </c>
      <c r="F21" s="22" t="n">
        <f aca="false">Robust!L7</f>
        <v>10.5429321083865</v>
      </c>
      <c r="G21" s="24" t="n">
        <f aca="false">Robust!Z7</f>
        <v>0.87036</v>
      </c>
      <c r="H21" s="24" t="n">
        <f aca="false">Robust!AA7</f>
        <v>0.05637</v>
      </c>
      <c r="I21" s="24" t="n">
        <f aca="false">Robust!AB7</f>
        <v>0.05508</v>
      </c>
    </row>
    <row r="22" customFormat="false" ht="15" hidden="false" customHeight="false" outlineLevel="0" collapsed="false">
      <c r="A22" s="4" t="s">
        <v>202</v>
      </c>
      <c r="B22" s="23" t="n">
        <f aca="false">Robust!C8</f>
        <v>147.5</v>
      </c>
      <c r="C22" s="23" t="n">
        <f aca="false">Robust!D8</f>
        <v>237</v>
      </c>
      <c r="D22" s="23" t="n">
        <f aca="false">Robust!J8</f>
        <v>237</v>
      </c>
      <c r="E22" s="22" t="n">
        <f aca="false">Robust!K8</f>
        <v>0.632372783669541</v>
      </c>
      <c r="F22" s="22" t="n">
        <f aca="false">Robust!L8</f>
        <v>12.1689822693563</v>
      </c>
      <c r="G22" s="24" t="n">
        <f aca="false">Robust!Z8</f>
        <v>0.88533</v>
      </c>
      <c r="H22" s="24" t="n">
        <f aca="false">Robust!AA8</f>
        <v>0.04712</v>
      </c>
      <c r="I22" s="24" t="n">
        <f aca="false">Robust!AB8</f>
        <v>0.04617</v>
      </c>
    </row>
    <row r="23" customFormat="false" ht="15" hidden="false" customHeight="false" outlineLevel="0" collapsed="false">
      <c r="A23" s="4" t="s">
        <v>203</v>
      </c>
      <c r="B23" s="23" t="n">
        <f aca="false">Robust!C9</f>
        <v>188</v>
      </c>
      <c r="C23" s="23" t="n">
        <f aca="false">Robust!D9</f>
        <v>285.6</v>
      </c>
      <c r="D23" s="23" t="n">
        <f aca="false">Robust!J9</f>
        <v>285.6</v>
      </c>
      <c r="E23" s="22" t="n">
        <f aca="false">Robust!K9</f>
        <v>2.29418918462126</v>
      </c>
      <c r="F23" s="22" t="n">
        <f aca="false">Robust!L9</f>
        <v>26.92151347697</v>
      </c>
      <c r="G23" s="24" t="n">
        <f aca="false">Robust!Z9</f>
        <v>0.95021</v>
      </c>
      <c r="H23" s="24" t="n">
        <f aca="false">Robust!AA9</f>
        <v>0.00757</v>
      </c>
      <c r="I23" s="24" t="n">
        <f aca="false">Robust!AB9</f>
        <v>0.00731</v>
      </c>
    </row>
    <row r="24" customFormat="false" ht="15" hidden="false" customHeight="false" outlineLevel="0" collapsed="false">
      <c r="A24" s="4" t="s">
        <v>204</v>
      </c>
      <c r="B24" s="23" t="n">
        <f aca="false">Robust!C10</f>
        <v>200</v>
      </c>
      <c r="C24" s="23" t="n">
        <f aca="false">Robust!D10</f>
        <v>300</v>
      </c>
      <c r="D24" s="23" t="n">
        <f aca="false">Robust!J10</f>
        <v>300</v>
      </c>
      <c r="E24" s="22" t="n">
        <f aca="false">Robust!K10</f>
        <v>2.79664130273184</v>
      </c>
      <c r="F24" s="22" t="n">
        <f aca="false">Robust!L10</f>
        <v>31.3731304218547</v>
      </c>
      <c r="G24" s="24" t="n">
        <f aca="false">Robust!Z10</f>
        <v>0.95581</v>
      </c>
      <c r="H24" s="24" t="n">
        <f aca="false">Robust!AA10</f>
        <v>0.00393</v>
      </c>
      <c r="I24" s="24" t="n">
        <f aca="false">Robust!AB10</f>
        <v>0.00394</v>
      </c>
    </row>
    <row r="25" customFormat="false" ht="15" hidden="false" customHeight="false" outlineLevel="0" collapsed="false">
      <c r="A25" s="4" t="s">
        <v>205</v>
      </c>
      <c r="D25" s="23" t="n">
        <f aca="false">B9</f>
        <v>170</v>
      </c>
      <c r="E25" s="22" t="n">
        <f aca="false">C9</f>
        <v>0.667576361426626</v>
      </c>
      <c r="F25" s="22" t="n">
        <f aca="false">F9</f>
        <v>10.440610891413</v>
      </c>
      <c r="H25" s="20" t="n">
        <v>0.05</v>
      </c>
      <c r="I25" s="21" t="n">
        <v>0.04907</v>
      </c>
    </row>
    <row r="27" customFormat="false" ht="15" hidden="false" customHeight="false" outlineLevel="0" collapsed="false">
      <c r="A27" s="2" t="s">
        <v>206</v>
      </c>
      <c r="B27" s="16" t="n">
        <f aca="false">F21-F25</f>
        <v>0.102321216973484</v>
      </c>
      <c r="C27" s="10" t="s">
        <v>207</v>
      </c>
    </row>
    <row r="28" customFormat="false" ht="15" hidden="false" customHeight="false" outlineLevel="0" collapsed="false">
      <c r="A28" s="2" t="s">
        <v>208</v>
      </c>
      <c r="B28" s="16" t="n">
        <f aca="false">100*(H21-H25)</f>
        <v>0.637</v>
      </c>
      <c r="C28" s="10" t="s">
        <v>209</v>
      </c>
    </row>
    <row r="29" customFormat="false" ht="15" hidden="false" customHeight="false" outlineLevel="0" collapsed="false">
      <c r="A29" s="2" t="s">
        <v>210</v>
      </c>
      <c r="B29" s="16" t="n">
        <f aca="false">F22-F25</f>
        <v>1.72837137794332</v>
      </c>
      <c r="C29" s="10" t="s">
        <v>211</v>
      </c>
    </row>
    <row r="30" customFormat="false" ht="15" hidden="false" customHeight="false" outlineLevel="0" collapsed="false">
      <c r="A30" s="2" t="s">
        <v>212</v>
      </c>
      <c r="B30" s="16" t="n">
        <f aca="false">F23</f>
        <v>26.92151347697</v>
      </c>
      <c r="C30" s="10" t="s">
        <v>213</v>
      </c>
    </row>
    <row r="31" customFormat="false" ht="15" hidden="false" customHeight="false" outlineLevel="0" collapsed="false">
      <c r="A31" s="2" t="s">
        <v>214</v>
      </c>
      <c r="B31" s="29" t="n">
        <f aca="false">Robust!K12</f>
        <v>4.27905501743871</v>
      </c>
      <c r="C31" s="10" t="s">
        <v>215</v>
      </c>
    </row>
    <row r="32" customFormat="false" ht="15" hidden="false" customHeight="false" outlineLevel="0" collapsed="false">
      <c r="A32" s="2" t="s">
        <v>166</v>
      </c>
      <c r="B32" s="22" t="n">
        <f aca="false">Robust!L12</f>
        <v>37.2324401395097</v>
      </c>
      <c r="C32" s="10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8" min="4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10" t="s">
        <v>218</v>
      </c>
    </row>
    <row r="4" customFormat="false" ht="15" hidden="false" customHeight="false" outlineLevel="0" collapsed="false">
      <c r="A4" s="4" t="s">
        <v>219</v>
      </c>
    </row>
    <row r="5" customFormat="false" ht="15" hidden="false" customHeight="false" outlineLevel="0" collapsed="false">
      <c r="A5" s="2" t="s">
        <v>220</v>
      </c>
      <c r="B5" s="9" t="n">
        <v>25</v>
      </c>
      <c r="C5" s="10" t="s">
        <v>221</v>
      </c>
    </row>
    <row r="6" customFormat="false" ht="15" hidden="false" customHeight="false" outlineLevel="0" collapsed="false">
      <c r="A6" s="2" t="s">
        <v>222</v>
      </c>
      <c r="B6" s="9" t="n">
        <v>250</v>
      </c>
    </row>
    <row r="7" customFormat="false" ht="15" hidden="false" customHeight="false" outlineLevel="0" collapsed="false">
      <c r="A7" s="2" t="s">
        <v>223</v>
      </c>
      <c r="B7" s="9" t="n">
        <v>0</v>
      </c>
      <c r="C7" s="10" t="s">
        <v>224</v>
      </c>
    </row>
    <row r="8" customFormat="false" ht="15" hidden="false" customHeight="false" outlineLevel="0" collapsed="false">
      <c r="A8" s="2" t="s">
        <v>225</v>
      </c>
      <c r="B8" s="9" t="n">
        <v>350</v>
      </c>
    </row>
    <row r="10" customFormat="false" ht="23.85" hidden="false" customHeight="false" outlineLevel="0" collapsed="false">
      <c r="A10" s="8" t="s">
        <v>226</v>
      </c>
      <c r="B10" s="8" t="s">
        <v>227</v>
      </c>
      <c r="C10" s="8" t="s">
        <v>228</v>
      </c>
      <c r="D10" s="8" t="s">
        <v>229</v>
      </c>
      <c r="E10" s="8" t="s">
        <v>230</v>
      </c>
    </row>
    <row r="11" customFormat="false" ht="15" hidden="false" customHeight="false" outlineLevel="0" collapsed="false">
      <c r="A11" s="4" t="s">
        <v>231</v>
      </c>
      <c r="B11" s="2" t="s">
        <v>232</v>
      </c>
      <c r="C11" s="9" t="n">
        <v>25</v>
      </c>
      <c r="D11" s="18" t="n">
        <f aca="false">(C11-$B$5)/($B$6-$B$5)</f>
        <v>0</v>
      </c>
      <c r="E11" s="30" t="n">
        <v>0.125765778478779</v>
      </c>
    </row>
    <row r="12" customFormat="false" ht="15" hidden="false" customHeight="false" outlineLevel="0" collapsed="false">
      <c r="A12" s="4" t="s">
        <v>233</v>
      </c>
      <c r="B12" s="2" t="s">
        <v>232</v>
      </c>
      <c r="C12" s="9" t="n">
        <v>100</v>
      </c>
      <c r="D12" s="18" t="n">
        <f aca="false">(C12-$B$5)/($B$6-$B$5)</f>
        <v>0.333333333333333</v>
      </c>
      <c r="E12" s="30" t="n">
        <v>0.0619389708450147</v>
      </c>
    </row>
    <row r="13" customFormat="false" ht="15" hidden="false" customHeight="false" outlineLevel="0" collapsed="false">
      <c r="A13" s="4" t="s">
        <v>234</v>
      </c>
      <c r="B13" s="2" t="s">
        <v>232</v>
      </c>
      <c r="C13" s="9" t="n">
        <v>175</v>
      </c>
      <c r="D13" s="18" t="n">
        <f aca="false">(C13-$B$5)/($B$6-$B$5)</f>
        <v>0.666666666666667</v>
      </c>
      <c r="E13" s="30" t="n">
        <v>0.0664258331337263</v>
      </c>
    </row>
    <row r="14" customFormat="false" ht="15" hidden="false" customHeight="false" outlineLevel="0" collapsed="false">
      <c r="A14" s="4" t="s">
        <v>235</v>
      </c>
      <c r="B14" s="2" t="s">
        <v>232</v>
      </c>
      <c r="C14" s="9" t="n">
        <v>250</v>
      </c>
      <c r="D14" s="18" t="n">
        <f aca="false">(C14-$B$5)/($B$6-$B$5)</f>
        <v>1</v>
      </c>
      <c r="E14" s="30" t="n">
        <v>0.0527719899680934</v>
      </c>
    </row>
    <row r="15" customFormat="false" ht="15" hidden="false" customHeight="false" outlineLevel="0" collapsed="false">
      <c r="A15" s="4" t="s">
        <v>236</v>
      </c>
      <c r="B15" s="2" t="s">
        <v>237</v>
      </c>
      <c r="C15" s="9" t="n">
        <v>0</v>
      </c>
      <c r="D15" s="18" t="n">
        <f aca="false">(C15-$B$7)/($B$8-$B$7)</f>
        <v>0</v>
      </c>
      <c r="E15" s="30" t="n">
        <v>0.109925793362992</v>
      </c>
    </row>
    <row r="16" customFormat="false" ht="15" hidden="false" customHeight="false" outlineLevel="0" collapsed="false">
      <c r="A16" s="4" t="s">
        <v>238</v>
      </c>
      <c r="B16" s="2" t="s">
        <v>237</v>
      </c>
      <c r="C16" s="9" t="n">
        <v>350</v>
      </c>
      <c r="D16" s="18" t="n">
        <f aca="false">(C16-$B$7)/($B$8-$B$7)</f>
        <v>1</v>
      </c>
      <c r="E16" s="30" t="n">
        <v>0.331171523555674</v>
      </c>
    </row>
    <row r="18" customFormat="false" ht="23.85" hidden="false" customHeight="false" outlineLevel="0" collapsed="false">
      <c r="A18" s="8" t="s">
        <v>239</v>
      </c>
      <c r="B18" s="8" t="s">
        <v>240</v>
      </c>
      <c r="C18" s="8" t="s">
        <v>241</v>
      </c>
      <c r="D18" s="8" t="s">
        <v>242</v>
      </c>
      <c r="E18" s="8" t="s">
        <v>243</v>
      </c>
      <c r="F18" s="8" t="s">
        <v>244</v>
      </c>
      <c r="G18" s="8" t="s">
        <v>245</v>
      </c>
      <c r="H18" s="8" t="s">
        <v>246</v>
      </c>
      <c r="I18" s="8" t="s">
        <v>247</v>
      </c>
      <c r="J18" s="8" t="s">
        <v>248</v>
      </c>
      <c r="K18" s="8" t="s">
        <v>249</v>
      </c>
      <c r="L18" s="8" t="s">
        <v>250</v>
      </c>
      <c r="M18" s="8" t="s">
        <v>251</v>
      </c>
      <c r="N18" s="8" t="s">
        <v>252</v>
      </c>
      <c r="O18" s="8" t="s">
        <v>253</v>
      </c>
    </row>
    <row r="19" customFormat="false" ht="15" hidden="false" customHeight="false" outlineLevel="0" collapsed="false">
      <c r="A19" s="4" t="s">
        <v>254</v>
      </c>
      <c r="B19" s="23" t="n">
        <f aca="false">C11</f>
        <v>25</v>
      </c>
      <c r="C19" s="23" t="n">
        <f aca="false">C15</f>
        <v>0</v>
      </c>
      <c r="D19" s="31" t="n">
        <f aca="false">D11</f>
        <v>0</v>
      </c>
      <c r="E19" s="31" t="n">
        <f aca="false">D15</f>
        <v>0</v>
      </c>
      <c r="F19" s="30" t="n">
        <v>-0.0440077838781277</v>
      </c>
      <c r="G19" s="30" t="n">
        <v>0.32394987527947</v>
      </c>
      <c r="H19" s="30" t="n">
        <v>0.541995467697173</v>
      </c>
      <c r="I19" s="16" t="n">
        <f aca="false">F19+G19*D19+H19*E19</f>
        <v>-0.0440077838781277</v>
      </c>
      <c r="J19" s="18" t="n">
        <f aca="false">MAX(0,(B19-Plan!$H$5)/Plan!$I$5,(B19-Plan!$H$6)/Plan!$I$6,(B19-Plan!$H$7)/Plan!$I$7,(B19-Plan!$H$8)/Plan!$I$8,(B19-Plan!$H$9)/Plan!$I$9,(B19-Plan!$H$10)/Plan!$I$10,(B19-Plan!$H$11)/Plan!$I$11,(B19-Plan!$H$12)/Plan!$I$12,(B19-Plan!$H$13)/Plan!$I$13,(B19-Plan!$H$14)/Plan!$I$14,(B19-Plan!$H$15)/Plan!$I$15,(B19-Plan!$H$16)/Plan!$I$16)</f>
        <v>0</v>
      </c>
      <c r="K19" s="16" t="n">
        <f aca="false">MIN(C19,Plan!$H$5-B19+Plan!$I$5*J19,Plan!$H$6-B19+Plan!$I$6*J19,Plan!$H$7-B19+Plan!$I$7*J19,Plan!$H$8-B19+Plan!$I$8*J19,Plan!$H$9-B19+Plan!$I$9*J19,Plan!$H$10-B19+Plan!$I$10*J19,Plan!$H$11-B19+Plan!$I$11*J19,Plan!$H$12-B19+Plan!$I$12*J19,Plan!$H$13-B19+Plan!$I$13*J19,Plan!$H$14-B19+Plan!$I$14*J19,Plan!$H$15-B19+Plan!$I$15*J19,Plan!$H$16-B19+Plan!$I$16*J19)</f>
        <v>0</v>
      </c>
      <c r="L19" s="16" t="n">
        <f aca="false">Fee*(C19-K19)+VQ*J19</f>
        <v>0</v>
      </c>
      <c r="M19" s="18" t="n">
        <f aca="false">G19/($B$6-$B$5)</f>
        <v>0.00143977722346431</v>
      </c>
      <c r="N19" s="18" t="n">
        <f aca="false">H19/($B$8-$B$7)</f>
        <v>0.00154855847913478</v>
      </c>
      <c r="O19" s="32" t="n">
        <f aca="false">I19-L19</f>
        <v>-0.0440077838781277</v>
      </c>
    </row>
    <row r="20" customFormat="false" ht="15" hidden="false" customHeight="false" outlineLevel="0" collapsed="false">
      <c r="A20" s="4" t="s">
        <v>255</v>
      </c>
      <c r="B20" s="23" t="n">
        <f aca="false">C11</f>
        <v>25</v>
      </c>
      <c r="C20" s="23" t="n">
        <f aca="false">C16</f>
        <v>350</v>
      </c>
      <c r="D20" s="31" t="n">
        <f aca="false">D11</f>
        <v>0</v>
      </c>
      <c r="E20" s="31" t="n">
        <f aca="false">D16</f>
        <v>1</v>
      </c>
      <c r="F20" s="30" t="n">
        <v>-2.88344734219232</v>
      </c>
      <c r="G20" s="30" t="n">
        <v>6.63408017705594</v>
      </c>
      <c r="H20" s="30" t="n">
        <v>10.1153016265525</v>
      </c>
      <c r="I20" s="16" t="n">
        <f aca="false">F20+G20*D20+H20*E20</f>
        <v>7.23185428436013</v>
      </c>
      <c r="J20" s="18" t="n">
        <f aca="false">MAX(0,(B20-Plan!$H$5)/Plan!$I$5,(B20-Plan!$H$6)/Plan!$I$6,(B20-Plan!$H$7)/Plan!$I$7,(B20-Plan!$H$8)/Plan!$I$8,(B20-Plan!$H$9)/Plan!$I$9,(B20-Plan!$H$10)/Plan!$I$10,(B20-Plan!$H$11)/Plan!$I$11,(B20-Plan!$H$12)/Plan!$I$12,(B20-Plan!$H$13)/Plan!$I$13,(B20-Plan!$H$14)/Plan!$I$14,(B20-Plan!$H$15)/Plan!$I$15,(B20-Plan!$H$16)/Plan!$I$16)</f>
        <v>0</v>
      </c>
      <c r="K20" s="16" t="n">
        <f aca="false">MIN(C20,Plan!$H$5-B20+Plan!$I$5*J20,Plan!$H$6-B20+Plan!$I$6*J20,Plan!$H$7-B20+Plan!$I$7*J20,Plan!$H$8-B20+Plan!$I$8*J20,Plan!$H$9-B20+Plan!$I$9*J20,Plan!$H$10-B20+Plan!$I$10*J20,Plan!$H$11-B20+Plan!$I$11*J20,Plan!$H$12-B20+Plan!$I$12*J20,Plan!$H$13-B20+Plan!$I$13*J20,Plan!$H$14-B20+Plan!$I$14*J20,Plan!$H$15-B20+Plan!$I$15*J20,Plan!$H$16-B20+Plan!$I$16*J20)</f>
        <v>106.950382357786</v>
      </c>
      <c r="L20" s="16" t="n">
        <f aca="false">Fee*(C20-K20)+VQ*J20</f>
        <v>7.29148852926643</v>
      </c>
      <c r="M20" s="18" t="n">
        <f aca="false">G20/($B$6-$B$5)</f>
        <v>0.0294848007869153</v>
      </c>
      <c r="N20" s="18" t="n">
        <f aca="false">H20/($B$8-$B$7)</f>
        <v>0.0289008617901499</v>
      </c>
      <c r="O20" s="32" t="n">
        <f aca="false">I20-L20</f>
        <v>-0.0596342449063041</v>
      </c>
    </row>
    <row r="21" customFormat="false" ht="15" hidden="false" customHeight="false" outlineLevel="0" collapsed="false">
      <c r="A21" s="4" t="s">
        <v>256</v>
      </c>
      <c r="B21" s="23" t="n">
        <f aca="false">C12</f>
        <v>100</v>
      </c>
      <c r="C21" s="23" t="n">
        <f aca="false">C15</f>
        <v>0</v>
      </c>
      <c r="D21" s="31" t="n">
        <f aca="false">D12</f>
        <v>0.333333333333333</v>
      </c>
      <c r="E21" s="31" t="n">
        <f aca="false">D15</f>
        <v>0</v>
      </c>
      <c r="F21" s="30" t="n">
        <v>-1.03474081288097</v>
      </c>
      <c r="G21" s="30" t="n">
        <v>2.75256161356484</v>
      </c>
      <c r="H21" s="30" t="n">
        <v>5.4500198688948</v>
      </c>
      <c r="I21" s="16" t="n">
        <f aca="false">F21+G21*D21+H21*E21</f>
        <v>-0.117220275026025</v>
      </c>
      <c r="J21" s="18" t="n">
        <f aca="false">MAX(0,(B21-Plan!$H$5)/Plan!$I$5,(B21-Plan!$H$6)/Plan!$I$6,(B21-Plan!$H$7)/Plan!$I$7,(B21-Plan!$H$8)/Plan!$I$8,(B21-Plan!$H$9)/Plan!$I$9,(B21-Plan!$H$10)/Plan!$I$10,(B21-Plan!$H$11)/Plan!$I$11,(B21-Plan!$H$12)/Plan!$I$12,(B21-Plan!$H$13)/Plan!$I$13,(B21-Plan!$H$14)/Plan!$I$14,(B21-Plan!$H$15)/Plan!$I$15,(B21-Plan!$H$16)/Plan!$I$16)</f>
        <v>0</v>
      </c>
      <c r="K21" s="16" t="n">
        <f aca="false">MIN(C21,Plan!$H$5-B21+Plan!$I$5*J21,Plan!$H$6-B21+Plan!$I$6*J21,Plan!$H$7-B21+Plan!$I$7*J21,Plan!$H$8-B21+Plan!$I$8*J21,Plan!$H$9-B21+Plan!$I$9*J21,Plan!$H$10-B21+Plan!$I$10*J21,Plan!$H$11-B21+Plan!$I$11*J21,Plan!$H$12-B21+Plan!$I$12*J21,Plan!$H$13-B21+Plan!$I$13*J21,Plan!$H$14-B21+Plan!$I$14*J21,Plan!$H$15-B21+Plan!$I$15*J21,Plan!$H$16-B21+Plan!$I$16*J21)</f>
        <v>0</v>
      </c>
      <c r="L21" s="16" t="n">
        <f aca="false">Fee*(C21-K21)+VQ*J21</f>
        <v>0</v>
      </c>
      <c r="M21" s="18" t="n">
        <f aca="false">G21/($B$6-$B$5)</f>
        <v>0.0122336071713993</v>
      </c>
      <c r="N21" s="18" t="n">
        <f aca="false">H21/($B$8-$B$7)</f>
        <v>0.0155714853396994</v>
      </c>
      <c r="O21" s="32" t="n">
        <f aca="false">I21-L21</f>
        <v>-0.117220275026025</v>
      </c>
    </row>
    <row r="22" customFormat="false" ht="15" hidden="false" customHeight="false" outlineLevel="0" collapsed="false">
      <c r="A22" s="4" t="s">
        <v>257</v>
      </c>
      <c r="B22" s="23" t="n">
        <f aca="false">C12</f>
        <v>100</v>
      </c>
      <c r="C22" s="23" t="n">
        <f aca="false">C16</f>
        <v>350</v>
      </c>
      <c r="D22" s="31" t="n">
        <f aca="false">D12</f>
        <v>0.333333333333333</v>
      </c>
      <c r="E22" s="31" t="n">
        <f aca="false">D16</f>
        <v>1</v>
      </c>
      <c r="F22" s="30" t="n">
        <v>-3.27825048757848</v>
      </c>
      <c r="G22" s="30" t="n">
        <v>7.09268504812966</v>
      </c>
      <c r="H22" s="30" t="n">
        <v>10.4529238124283</v>
      </c>
      <c r="I22" s="16" t="n">
        <f aca="false">F22+G22*D22+H22*E22</f>
        <v>9.53890167422636</v>
      </c>
      <c r="J22" s="18" t="n">
        <f aca="false">MAX(0,(B22-Plan!$H$5)/Plan!$I$5,(B22-Plan!$H$6)/Plan!$I$6,(B22-Plan!$H$7)/Plan!$I$7,(B22-Plan!$H$8)/Plan!$I$8,(B22-Plan!$H$9)/Plan!$I$9,(B22-Plan!$H$10)/Plan!$I$10,(B22-Plan!$H$11)/Plan!$I$11,(B22-Plan!$H$12)/Plan!$I$12,(B22-Plan!$H$13)/Plan!$I$13,(B22-Plan!$H$14)/Plan!$I$14,(B22-Plan!$H$15)/Plan!$I$15,(B22-Plan!$H$16)/Plan!$I$16)</f>
        <v>0</v>
      </c>
      <c r="K22" s="16" t="n">
        <f aca="false">MIN(C22,Plan!$H$5-B22+Plan!$I$5*J22,Plan!$H$6-B22+Plan!$I$6*J22,Plan!$H$7-B22+Plan!$I$7*J22,Plan!$H$8-B22+Plan!$I$8*J22,Plan!$H$9-B22+Plan!$I$9*J22,Plan!$H$10-B22+Plan!$I$10*J22,Plan!$H$11-B22+Plan!$I$11*J22,Plan!$H$12-B22+Plan!$I$12*J22,Plan!$H$13-B22+Plan!$I$13*J22,Plan!$H$14-B22+Plan!$I$14*J22,Plan!$H$15-B22+Plan!$I$15*J22,Plan!$H$16-B22+Plan!$I$16*J22)</f>
        <v>31.9503823577855</v>
      </c>
      <c r="L22" s="16" t="n">
        <f aca="false">Fee*(C22-K22)+VQ*J22</f>
        <v>9.54148852926643</v>
      </c>
      <c r="M22" s="18" t="n">
        <f aca="false">G22/($B$6-$B$5)</f>
        <v>0.031523044658354</v>
      </c>
      <c r="N22" s="18" t="n">
        <f aca="false">H22/($B$8-$B$7)</f>
        <v>0.029865496606938</v>
      </c>
      <c r="O22" s="32" t="n">
        <f aca="false">I22-L22</f>
        <v>-0.00258685504006984</v>
      </c>
    </row>
    <row r="23" customFormat="false" ht="15" hidden="false" customHeight="false" outlineLevel="0" collapsed="false">
      <c r="A23" s="4" t="s">
        <v>258</v>
      </c>
      <c r="B23" s="23" t="n">
        <f aca="false">C13</f>
        <v>175</v>
      </c>
      <c r="C23" s="23" t="n">
        <f aca="false">C15</f>
        <v>0</v>
      </c>
      <c r="D23" s="31" t="n">
        <f aca="false">D13</f>
        <v>0.666666666666667</v>
      </c>
      <c r="E23" s="31" t="n">
        <f aca="false">D15</f>
        <v>0</v>
      </c>
      <c r="F23" s="30" t="n">
        <v>-35.268781741222</v>
      </c>
      <c r="G23" s="30" t="n">
        <v>73.9797321799826</v>
      </c>
      <c r="H23" s="30" t="n">
        <v>10.4971856214106</v>
      </c>
      <c r="I23" s="16" t="n">
        <f aca="false">F23+G23*D23+H23*E23</f>
        <v>14.0510397120997</v>
      </c>
      <c r="J23" s="18" t="n">
        <f aca="false">MAX(0,(B23-Plan!$H$5)/Plan!$I$5,(B23-Plan!$H$6)/Plan!$I$6,(B23-Plan!$H$7)/Plan!$I$7,(B23-Plan!$H$8)/Plan!$I$8,(B23-Plan!$H$9)/Plan!$I$9,(B23-Plan!$H$10)/Plan!$I$10,(B23-Plan!$H$11)/Plan!$I$11,(B23-Plan!$H$12)/Plan!$I$12,(B23-Plan!$H$13)/Plan!$I$13,(B23-Plan!$H$14)/Plan!$I$14,(B23-Plan!$H$15)/Plan!$I$15,(B23-Plan!$H$16)/Plan!$I$16)</f>
        <v>1.75074443441039</v>
      </c>
      <c r="K23" s="16" t="n">
        <f aca="false">MIN(C23,Plan!$H$5-B23+Plan!$I$5*J23,Plan!$H$6-B23+Plan!$I$6*J23,Plan!$H$7-B23+Plan!$I$7*J23,Plan!$H$8-B23+Plan!$I$8*J23,Plan!$H$9-B23+Plan!$I$9*J23,Plan!$H$10-B23+Plan!$I$10*J23,Plan!$H$11-B23+Plan!$I$11*J23,Plan!$H$12-B23+Plan!$I$12*J23,Plan!$H$13-B23+Plan!$I$13*J23,Plan!$H$14-B23+Plan!$I$14*J23,Plan!$H$15-B23+Plan!$I$15*J23,Plan!$H$16-B23+Plan!$I$16*J23)</f>
        <v>0</v>
      </c>
      <c r="L23" s="16" t="n">
        <f aca="false">Fee*(C23-K23)+VQ*J23</f>
        <v>14.0059554752831</v>
      </c>
      <c r="M23" s="18" t="n">
        <f aca="false">G23/($B$6-$B$5)</f>
        <v>0.328798809688812</v>
      </c>
      <c r="N23" s="18" t="n">
        <f aca="false">H23/($B$8-$B$7)</f>
        <v>0.0299919589183159</v>
      </c>
      <c r="O23" s="32" t="n">
        <f aca="false">I23-L23</f>
        <v>0.0450842368166082</v>
      </c>
    </row>
    <row r="24" customFormat="false" ht="15" hidden="false" customHeight="false" outlineLevel="0" collapsed="false">
      <c r="A24" s="4" t="s">
        <v>259</v>
      </c>
      <c r="B24" s="23" t="n">
        <f aca="false">C13</f>
        <v>175</v>
      </c>
      <c r="C24" s="23" t="n">
        <f aca="false">C16</f>
        <v>350</v>
      </c>
      <c r="D24" s="31" t="n">
        <f aca="false">D13</f>
        <v>0.666666666666667</v>
      </c>
      <c r="E24" s="31" t="n">
        <f aca="false">D16</f>
        <v>1</v>
      </c>
      <c r="F24" s="30" t="n">
        <v>-35.2765030431654</v>
      </c>
      <c r="G24" s="30" t="n">
        <v>73.9907300171578</v>
      </c>
      <c r="H24" s="30" t="n">
        <v>10.4999840551964</v>
      </c>
      <c r="I24" s="16" t="n">
        <f aca="false">F24+G24*D24+H24*E24</f>
        <v>24.5506343568029</v>
      </c>
      <c r="J24" s="18" t="n">
        <f aca="false">MAX(0,(B24-Plan!$H$5)/Plan!$I$5,(B24-Plan!$H$6)/Plan!$I$6,(B24-Plan!$H$7)/Plan!$I$7,(B24-Plan!$H$8)/Plan!$I$8,(B24-Plan!$H$9)/Plan!$I$9,(B24-Plan!$H$10)/Plan!$I$10,(B24-Plan!$H$11)/Plan!$I$11,(B24-Plan!$H$12)/Plan!$I$12,(B24-Plan!$H$13)/Plan!$I$13,(B24-Plan!$H$14)/Plan!$I$14,(B24-Plan!$H$15)/Plan!$I$15,(B24-Plan!$H$16)/Plan!$I$16)</f>
        <v>1.75074443441039</v>
      </c>
      <c r="K24" s="16" t="n">
        <f aca="false">MIN(C24,Plan!$H$5-B24+Plan!$I$5*J24,Plan!$H$6-B24+Plan!$I$6*J24,Plan!$H$7-B24+Plan!$I$7*J24,Plan!$H$8-B24+Plan!$I$8*J24,Plan!$H$9-B24+Plan!$I$9*J24,Plan!$H$10-B24+Plan!$I$10*J24,Plan!$H$11-B24+Plan!$I$11*J24,Plan!$H$12-B24+Plan!$I$12*J24,Plan!$H$13-B24+Plan!$I$13*J24,Plan!$H$14-B24+Plan!$I$14*J24,Plan!$H$15-B24+Plan!$I$15*J24,Plan!$H$16-B24+Plan!$I$16*J24)</f>
        <v>0</v>
      </c>
      <c r="L24" s="16" t="n">
        <f aca="false">Fee*(C24-K24)+VQ*J24</f>
        <v>24.5059554752831</v>
      </c>
      <c r="M24" s="18" t="n">
        <f aca="false">G24/($B$6-$B$5)</f>
        <v>0.328847688965146</v>
      </c>
      <c r="N24" s="18" t="n">
        <f aca="false">H24/($B$8-$B$7)</f>
        <v>0.0299999544434184</v>
      </c>
      <c r="O24" s="32" t="n">
        <f aca="false">I24-L24</f>
        <v>0.0446788815197934</v>
      </c>
    </row>
    <row r="25" customFormat="false" ht="15" hidden="false" customHeight="false" outlineLevel="0" collapsed="false">
      <c r="A25" s="4" t="s">
        <v>260</v>
      </c>
      <c r="B25" s="23" t="n">
        <f aca="false">C14</f>
        <v>250</v>
      </c>
      <c r="C25" s="23" t="n">
        <f aca="false">C15</f>
        <v>0</v>
      </c>
      <c r="D25" s="31" t="n">
        <f aca="false">D14</f>
        <v>1</v>
      </c>
      <c r="E25" s="31" t="n">
        <f aca="false">D15</f>
        <v>0</v>
      </c>
      <c r="F25" s="30" t="n">
        <v>-39.8729027219558</v>
      </c>
      <c r="G25" s="30" t="n">
        <v>79.4490819153673</v>
      </c>
      <c r="H25" s="30" t="n">
        <v>10.5</v>
      </c>
      <c r="I25" s="16" t="n">
        <f aca="false">F25+G25*D25+H25*E25</f>
        <v>39.5761791934115</v>
      </c>
      <c r="J25" s="18" t="n">
        <f aca="false">MAX(0,(B25-Plan!$H$5)/Plan!$I$5,(B25-Plan!$H$6)/Plan!$I$6,(B25-Plan!$H$7)/Plan!$I$7,(B25-Plan!$H$8)/Plan!$I$8,(B25-Plan!$H$9)/Plan!$I$9,(B25-Plan!$H$10)/Plan!$I$10,(B25-Plan!$H$11)/Plan!$I$11,(B25-Plan!$H$12)/Plan!$I$12,(B25-Plan!$H$13)/Plan!$I$13,(B25-Plan!$H$14)/Plan!$I$14,(B25-Plan!$H$15)/Plan!$I$15,(B25-Plan!$H$16)/Plan!$I$16)</f>
        <v>4.94703037581554</v>
      </c>
      <c r="K25" s="16" t="n">
        <f aca="false">MIN(C25,Plan!$H$5-B25+Plan!$I$5*J25,Plan!$H$6-B25+Plan!$I$6*J25,Plan!$H$7-B25+Plan!$I$7*J25,Plan!$H$8-B25+Plan!$I$8*J25,Plan!$H$9-B25+Plan!$I$9*J25,Plan!$H$10-B25+Plan!$I$10*J25,Plan!$H$11-B25+Plan!$I$11*J25,Plan!$H$12-B25+Plan!$I$12*J25,Plan!$H$13-B25+Plan!$I$13*J25,Plan!$H$14-B25+Plan!$I$14*J25,Plan!$H$15-B25+Plan!$I$15*J25,Plan!$H$16-B25+Plan!$I$16*J25)</f>
        <v>0</v>
      </c>
      <c r="L25" s="16" t="n">
        <f aca="false">Fee*(C25-K25)+VQ*J25</f>
        <v>39.5762430065243</v>
      </c>
      <c r="M25" s="18" t="n">
        <f aca="false">G25/($B$6-$B$5)</f>
        <v>0.353107030734966</v>
      </c>
      <c r="N25" s="18" t="n">
        <f aca="false">H25/($B$8-$B$7)</f>
        <v>0.03</v>
      </c>
      <c r="O25" s="32" t="n">
        <f aca="false">I25-L25</f>
        <v>-6.38131128027908E-005</v>
      </c>
    </row>
    <row r="26" customFormat="false" ht="15" hidden="false" customHeight="false" outlineLevel="0" collapsed="false">
      <c r="A26" s="4" t="s">
        <v>261</v>
      </c>
      <c r="B26" s="23" t="n">
        <f aca="false">C14</f>
        <v>250</v>
      </c>
      <c r="C26" s="23" t="n">
        <f aca="false">C16</f>
        <v>350</v>
      </c>
      <c r="D26" s="31" t="n">
        <f aca="false">D14</f>
        <v>1</v>
      </c>
      <c r="E26" s="31" t="n">
        <f aca="false">D16</f>
        <v>1</v>
      </c>
      <c r="F26" s="30" t="n">
        <v>-39.8729027219558</v>
      </c>
      <c r="G26" s="30" t="n">
        <v>79.4490819153673</v>
      </c>
      <c r="H26" s="30" t="n">
        <v>10.5</v>
      </c>
      <c r="I26" s="16" t="n">
        <f aca="false">F26+G26*D26+H26*E26</f>
        <v>50.0761791934115</v>
      </c>
      <c r="J26" s="18" t="n">
        <f aca="false">MAX(0,(B26-Plan!$H$5)/Plan!$I$5,(B26-Plan!$H$6)/Plan!$I$6,(B26-Plan!$H$7)/Plan!$I$7,(B26-Plan!$H$8)/Plan!$I$8,(B26-Plan!$H$9)/Plan!$I$9,(B26-Plan!$H$10)/Plan!$I$10,(B26-Plan!$H$11)/Plan!$I$11,(B26-Plan!$H$12)/Plan!$I$12,(B26-Plan!$H$13)/Plan!$I$13,(B26-Plan!$H$14)/Plan!$I$14,(B26-Plan!$H$15)/Plan!$I$15,(B26-Plan!$H$16)/Plan!$I$16)</f>
        <v>4.94703037581554</v>
      </c>
      <c r="K26" s="16" t="n">
        <f aca="false">MIN(C26,Plan!$H$5-B26+Plan!$I$5*J26,Plan!$H$6-B26+Plan!$I$6*J26,Plan!$H$7-B26+Plan!$I$7*J26,Plan!$H$8-B26+Plan!$I$8*J26,Plan!$H$9-B26+Plan!$I$9*J26,Plan!$H$10-B26+Plan!$I$10*J26,Plan!$H$11-B26+Plan!$I$11*J26,Plan!$H$12-B26+Plan!$I$12*J26,Plan!$H$13-B26+Plan!$I$13*J26,Plan!$H$14-B26+Plan!$I$14*J26,Plan!$H$15-B26+Plan!$I$15*J26,Plan!$H$16-B26+Plan!$I$16*J26)</f>
        <v>0</v>
      </c>
      <c r="L26" s="16" t="n">
        <f aca="false">Fee*(C26-K26)+VQ*J26</f>
        <v>50.0762430065243</v>
      </c>
      <c r="M26" s="18" t="n">
        <f aca="false">G26/($B$6-$B$5)</f>
        <v>0.353107030734966</v>
      </c>
      <c r="N26" s="18" t="n">
        <f aca="false">H26/($B$8-$B$7)</f>
        <v>0.03</v>
      </c>
      <c r="O26" s="32" t="n">
        <f aca="false">I26-L26</f>
        <v>-6.38131127956854E-005</v>
      </c>
    </row>
    <row r="28" customFormat="false" ht="15" hidden="false" customHeight="false" outlineLevel="0" collapsed="false">
      <c r="A28" s="10" t="s">
        <v>262</v>
      </c>
    </row>
    <row r="30" customFormat="false" ht="15" hidden="false" customHeight="false" outlineLevel="0" collapsed="false">
      <c r="A30" s="4" t="s">
        <v>263</v>
      </c>
    </row>
    <row r="31" customFormat="false" ht="23.85" hidden="false" customHeight="false" outlineLevel="0" collapsed="false">
      <c r="A31" s="8" t="s">
        <v>17</v>
      </c>
      <c r="B31" s="8" t="s">
        <v>129</v>
      </c>
      <c r="C31" s="8" t="s">
        <v>264</v>
      </c>
    </row>
    <row r="32" customFormat="false" ht="15" hidden="false" customHeight="false" outlineLevel="0" collapsed="false">
      <c r="A32" s="2" t="s">
        <v>97</v>
      </c>
      <c r="B32" s="9" t="n">
        <v>140</v>
      </c>
      <c r="C32" s="9" t="n">
        <v>135</v>
      </c>
    </row>
    <row r="33" customFormat="false" ht="15" hidden="false" customHeight="false" outlineLevel="0" collapsed="false">
      <c r="A33" s="2" t="s">
        <v>98</v>
      </c>
      <c r="B33" s="9" t="n">
        <v>230</v>
      </c>
      <c r="C33" s="9" t="n">
        <v>70</v>
      </c>
    </row>
    <row r="34" customFormat="false" ht="15" hidden="false" customHeight="false" outlineLevel="0" collapsed="false">
      <c r="A34" s="2" t="s">
        <v>265</v>
      </c>
      <c r="B34" s="18" t="n">
        <f aca="false">(B32-$B$5)/($B$6-$B$5)</f>
        <v>0.511111111111111</v>
      </c>
      <c r="C34" s="18" t="n">
        <f aca="false">(C32-$B$5)/($B$6-$B$5)</f>
        <v>0.488888888888889</v>
      </c>
    </row>
    <row r="35" customFormat="false" ht="15" hidden="false" customHeight="false" outlineLevel="0" collapsed="false">
      <c r="A35" s="2" t="s">
        <v>266</v>
      </c>
      <c r="B35" s="18" t="n">
        <f aca="false">(B33-$B$7)/($B$8-$B$7)</f>
        <v>0.657142857142857</v>
      </c>
      <c r="C35" s="18" t="n">
        <f aca="false">(C33-$B$7)/($B$8-$B$7)</f>
        <v>0.2</v>
      </c>
    </row>
    <row r="36" customFormat="false" ht="15" hidden="false" customHeight="false" outlineLevel="0" collapsed="false">
      <c r="A36" s="2" t="s">
        <v>267</v>
      </c>
      <c r="B36" s="33" t="n">
        <f aca="false">EXP(-((B34-$D$11)^2)/(2*$E$11^2))</f>
        <v>0.000259172867200024</v>
      </c>
      <c r="C36" s="33" t="n">
        <f aca="false">EXP(-((C34-$D$11)^2)/(2*$E$11^2))</f>
        <v>0.000523204787298226</v>
      </c>
    </row>
    <row r="37" customFormat="false" ht="15" hidden="false" customHeight="false" outlineLevel="0" collapsed="false">
      <c r="A37" s="2" t="s">
        <v>268</v>
      </c>
      <c r="B37" s="33" t="n">
        <f aca="false">EXP(-((B34-$D$12)^2)/(2*$E$12^2))</f>
        <v>0.0162599668645692</v>
      </c>
      <c r="C37" s="33" t="n">
        <f aca="false">EXP(-((C34-$D$12)^2)/(2*$E$12^2))</f>
        <v>0.0426961275103598</v>
      </c>
    </row>
    <row r="38" customFormat="false" ht="15" hidden="false" customHeight="false" outlineLevel="0" collapsed="false">
      <c r="A38" s="2" t="s">
        <v>269</v>
      </c>
      <c r="B38" s="33" t="n">
        <f aca="false">EXP(-((B34-$D$13)^2)/(2*$E$13^2))</f>
        <v>0.0644415036907779</v>
      </c>
      <c r="C38" s="33" t="n">
        <f aca="false">EXP(-((C34-$D$13)^2)/(2*$E$13^2))</f>
        <v>0.0278371354768609</v>
      </c>
    </row>
    <row r="39" customFormat="false" ht="15" hidden="false" customHeight="false" outlineLevel="0" collapsed="false">
      <c r="A39" s="2" t="s">
        <v>270</v>
      </c>
      <c r="B39" s="33" t="n">
        <f aca="false">EXP(-((B34-$D$14)^2)/(2*$E$14^2))</f>
        <v>2.30863931128261E-019</v>
      </c>
      <c r="C39" s="33" t="n">
        <f aca="false">EXP(-((C34-$D$14)^2)/(2*$E$14^2))</f>
        <v>4.27179367239229E-021</v>
      </c>
    </row>
    <row r="40" customFormat="false" ht="15" hidden="false" customHeight="false" outlineLevel="0" collapsed="false">
      <c r="A40" s="2" t="s">
        <v>271</v>
      </c>
      <c r="B40" s="33" t="n">
        <f aca="false">EXP(-((B35-$D$15)^2)/(2*$E$15^2))</f>
        <v>1.73687442990343E-008</v>
      </c>
      <c r="C40" s="33" t="n">
        <f aca="false">EXP(-((C35-$D$15)^2)/(2*$E$15^2))</f>
        <v>0.191068185506252</v>
      </c>
    </row>
    <row r="41" customFormat="false" ht="15" hidden="false" customHeight="false" outlineLevel="0" collapsed="false">
      <c r="A41" s="2" t="s">
        <v>272</v>
      </c>
      <c r="B41" s="33" t="n">
        <f aca="false">EXP(-((B35-$D$16)^2)/(2*$E$16^2))</f>
        <v>0.585137602673259</v>
      </c>
      <c r="C41" s="33" t="n">
        <f aca="false">EXP(-((C35-$D$16)^2)/(2*$E$16^2))</f>
        <v>0.0540566533458574</v>
      </c>
    </row>
    <row r="42" customFormat="false" ht="15" hidden="false" customHeight="false" outlineLevel="0" collapsed="false">
      <c r="A42" s="2" t="s">
        <v>273</v>
      </c>
      <c r="B42" s="33" t="n">
        <f aca="false">B36*B40</f>
        <v>4.50150725964479E-012</v>
      </c>
      <c r="C42" s="33" t="n">
        <f aca="false">C36*C40</f>
        <v>9.99677893572566E-005</v>
      </c>
    </row>
    <row r="43" customFormat="false" ht="15" hidden="false" customHeight="false" outlineLevel="0" collapsed="false">
      <c r="A43" s="2" t="s">
        <v>274</v>
      </c>
      <c r="B43" s="33" t="n">
        <f aca="false">B36*B41</f>
        <v>0.000151651790191377</v>
      </c>
      <c r="C43" s="33" t="n">
        <f aca="false">C36*C41</f>
        <v>2.82826998158733E-005</v>
      </c>
    </row>
    <row r="44" customFormat="false" ht="15" hidden="false" customHeight="false" outlineLevel="0" collapsed="false">
      <c r="A44" s="2" t="s">
        <v>275</v>
      </c>
      <c r="B44" s="33" t="n">
        <f aca="false">B37*B40</f>
        <v>2.82415206781473E-010</v>
      </c>
      <c r="C44" s="33" t="n">
        <f aca="false">C37*C40</f>
        <v>0.00815787161154801</v>
      </c>
    </row>
    <row r="45" customFormat="false" ht="15" hidden="false" customHeight="false" outlineLevel="0" collapsed="false">
      <c r="A45" s="2" t="s">
        <v>276</v>
      </c>
      <c r="B45" s="33" t="n">
        <f aca="false">B37*B41</f>
        <v>0.00951431803068068</v>
      </c>
      <c r="C45" s="33" t="n">
        <f aca="false">C37*C41</f>
        <v>0.00230800976403804</v>
      </c>
    </row>
    <row r="46" customFormat="false" ht="15" hidden="false" customHeight="false" outlineLevel="0" collapsed="false">
      <c r="A46" s="2" t="s">
        <v>277</v>
      </c>
      <c r="B46" s="33" t="n">
        <f aca="false">B38*B40</f>
        <v>1.11926799985039E-009</v>
      </c>
      <c r="C46" s="33" t="n">
        <f aca="false">C38*C40</f>
        <v>0.00531879096525553</v>
      </c>
    </row>
    <row r="47" customFormat="false" ht="15" hidden="false" customHeight="false" outlineLevel="0" collapsed="false">
      <c r="A47" s="2" t="s">
        <v>278</v>
      </c>
      <c r="B47" s="33" t="n">
        <f aca="false">B38*B41</f>
        <v>0.0377071469822818</v>
      </c>
      <c r="C47" s="33" t="n">
        <f aca="false">C38*C41</f>
        <v>0.00150478238261434</v>
      </c>
    </row>
    <row r="48" customFormat="false" ht="15" hidden="false" customHeight="false" outlineLevel="0" collapsed="false">
      <c r="A48" s="2" t="s">
        <v>279</v>
      </c>
      <c r="B48" s="33" t="n">
        <f aca="false">B39*B40</f>
        <v>4.00981658763663E-027</v>
      </c>
      <c r="C48" s="33" t="n">
        <f aca="false">C39*C40</f>
        <v>8.16203865841084E-022</v>
      </c>
    </row>
    <row r="49" customFormat="false" ht="15" hidden="false" customHeight="false" outlineLevel="0" collapsed="false">
      <c r="A49" s="2" t="s">
        <v>280</v>
      </c>
      <c r="B49" s="33" t="n">
        <f aca="false">B39*B41</f>
        <v>1.35087167204115E-019</v>
      </c>
      <c r="C49" s="33" t="n">
        <f aca="false">C39*C41</f>
        <v>2.30918869713537E-022</v>
      </c>
    </row>
    <row r="50" customFormat="false" ht="15" hidden="false" customHeight="false" outlineLevel="0" collapsed="false">
      <c r="A50" s="2" t="s">
        <v>281</v>
      </c>
      <c r="B50" s="16" t="n">
        <f aca="false">$F$19+$G$19*B34+$H$19*B35</f>
        <v>0.477735047021267</v>
      </c>
      <c r="C50" s="16" t="n">
        <f aca="false">$F$19+$G$19*C34+$H$19*C35</f>
        <v>0.222766804242381</v>
      </c>
    </row>
    <row r="51" customFormat="false" ht="15" hidden="false" customHeight="false" outlineLevel="0" collapsed="false">
      <c r="A51" s="2" t="s">
        <v>282</v>
      </c>
      <c r="B51" s="16" t="n">
        <f aca="false">$F$20+$G$20*B34+$H$20*B35</f>
        <v>7.1545029600374</v>
      </c>
      <c r="C51" s="16" t="n">
        <f aca="false">$F$20+$G$20*C34+$H$20*C35</f>
        <v>2.38294106967885</v>
      </c>
    </row>
    <row r="52" customFormat="false" ht="15" hidden="false" customHeight="false" outlineLevel="0" collapsed="false">
      <c r="A52" s="2" t="s">
        <v>283</v>
      </c>
      <c r="B52" s="16" t="n">
        <f aca="false">$F$21+$G$21*B34+$H$21*B35</f>
        <v>3.95356563996081</v>
      </c>
      <c r="C52" s="16" t="n">
        <f aca="false">$F$21+$G$21*C34+$H$21*C35</f>
        <v>1.40095994975191</v>
      </c>
    </row>
    <row r="53" customFormat="false" ht="15" hidden="false" customHeight="false" outlineLevel="0" collapsed="false">
      <c r="A53" s="2" t="s">
        <v>284</v>
      </c>
      <c r="B53" s="16" t="n">
        <f aca="false">$F$22+$G$22*B34+$H$22*B35</f>
        <v>7.21596386772797</v>
      </c>
      <c r="C53" s="16" t="n">
        <f aca="false">$F$22+$G$22*C34+$H$22*C35</f>
        <v>2.27986918732612</v>
      </c>
    </row>
    <row r="54" customFormat="false" ht="15" hidden="false" customHeight="false" outlineLevel="0" collapsed="false">
      <c r="A54" s="2" t="s">
        <v>285</v>
      </c>
      <c r="B54" s="16" t="n">
        <f aca="false">$F$23+$G$23*B34+$H$23*B35</f>
        <v>9.44123192420396</v>
      </c>
      <c r="C54" s="16" t="n">
        <f aca="false">$F$23+$G$23*C34+$H$23*C35</f>
        <v>2.99852444882936</v>
      </c>
    </row>
    <row r="55" customFormat="false" ht="15" hidden="false" customHeight="false" outlineLevel="0" collapsed="false">
      <c r="A55" s="2" t="s">
        <v>286</v>
      </c>
      <c r="B55" s="16" t="n">
        <f aca="false">$F$24+$G$24*B34+$H$24*B35</f>
        <v>9.44097070981258</v>
      </c>
      <c r="C55" s="16" t="n">
        <f aca="false">$F$24+$G$24*C34+$H$24*C35</f>
        <v>2.99673955403991</v>
      </c>
    </row>
    <row r="56" customFormat="false" ht="15" hidden="false" customHeight="false" outlineLevel="0" collapsed="false">
      <c r="A56" s="2" t="s">
        <v>287</v>
      </c>
      <c r="B56" s="16" t="n">
        <f aca="false">$F$25+$G$25*B34+$H$25*B35</f>
        <v>7.63440581256524</v>
      </c>
      <c r="C56" s="16" t="n">
        <f aca="false">$F$25+$G$25*C34+$H$25*C35</f>
        <v>1.06887065889041</v>
      </c>
    </row>
    <row r="57" customFormat="false" ht="15" hidden="false" customHeight="false" outlineLevel="0" collapsed="false">
      <c r="A57" s="2" t="s">
        <v>288</v>
      </c>
      <c r="B57" s="16" t="n">
        <f aca="false">$F$26+$G$26*B34+$H$26*B35</f>
        <v>7.63440581256526</v>
      </c>
      <c r="C57" s="16" t="n">
        <f aca="false">$F$26+$G$26*C34+$H$26*C35</f>
        <v>1.06887065889044</v>
      </c>
    </row>
    <row r="58" customFormat="false" ht="15" hidden="false" customHeight="false" outlineLevel="0" collapsed="false">
      <c r="A58" s="2" t="s">
        <v>289</v>
      </c>
      <c r="B58" s="16" t="n">
        <f aca="false">SUMPRODUCT(B42:B49,B50:B57)/SUM(B42:B49)</f>
        <v>8.98678546622769</v>
      </c>
      <c r="C58" s="16" t="n">
        <f aca="false">SUMPRODUCT(C42:C49,C50:C57)/SUM(C42:C49)</f>
        <v>2.13796492931363</v>
      </c>
    </row>
    <row r="59" customFormat="false" ht="15" hidden="false" customHeight="false" outlineLevel="0" collapsed="false">
      <c r="A59" s="2" t="s">
        <v>290</v>
      </c>
      <c r="B59" s="18" t="n">
        <f aca="false">MAX(0,(B32-Plan!$H$5)/Plan!$I$5,(B32-Plan!$H$6)/Plan!$I$6,(B32-Plan!$H$7)/Plan!$I$7,(B32-Plan!$H$8)/Plan!$I$8,(B32-Plan!$H$9)/Plan!$I$9,(B32-Plan!$H$10)/Plan!$I$10,(B32-Plan!$H$11)/Plan!$I$11,(B32-Plan!$H$12)/Plan!$I$12,(B32-Plan!$H$13)/Plan!$I$13,(B32-Plan!$H$14)/Plan!$I$14,(B32-Plan!$H$15)/Plan!$I$15,(B32-Plan!$H$16)/Plan!$I$16)</f>
        <v>0.327362333467492</v>
      </c>
      <c r="C59" s="18" t="n">
        <f aca="false">MAX(0,(C32-Plan!$H$5)/Plan!$I$5,(C32-Plan!$H$6)/Plan!$I$6,(C32-Plan!$H$7)/Plan!$I$7,(C32-Plan!$H$8)/Plan!$I$8,(C32-Plan!$H$9)/Plan!$I$9,(C32-Plan!$H$10)/Plan!$I$10,(C32-Plan!$H$11)/Plan!$I$11,(C32-Plan!$H$12)/Plan!$I$12,(C32-Plan!$H$13)/Plan!$I$13,(C32-Plan!$H$14)/Plan!$I$14,(C32-Plan!$H$15)/Plan!$I$15,(C32-Plan!$H$16)/Plan!$I$16)</f>
        <v>0.124022033332792</v>
      </c>
    </row>
    <row r="60" customFormat="false" ht="15" hidden="false" customHeight="false" outlineLevel="0" collapsed="false">
      <c r="A60" s="2" t="s">
        <v>291</v>
      </c>
      <c r="B60" s="16" t="n">
        <f aca="false">MIN(B33,Plan!$H$5-B32+Plan!$I$5*B59,Plan!$H$6-B32+Plan!$I$6*B59,Plan!$H$7-B32+Plan!$I$7*B59,Plan!$H$8-B32+Plan!$I$8*B59,Plan!$H$9-B32+Plan!$I$9*B59,Plan!$H$10-B32+Plan!$I$10*B59,Plan!$H$11-B32+Plan!$I$11*B59,Plan!$H$12-B32+Plan!$I$12*B59,Plan!$H$13-B32+Plan!$I$13*B59,Plan!$H$14-B32+Plan!$I$14*B59,Plan!$H$15-B32+Plan!$I$15*B59,Plan!$H$16-B32+Plan!$I$16*B59)</f>
        <v>0</v>
      </c>
      <c r="C60" s="16" t="n">
        <f aca="false">MIN(C33,Plan!$H$5-C32+Plan!$I$5*C59,Plan!$H$6-C32+Plan!$I$6*C59,Plan!$H$7-C32+Plan!$I$7*C59,Plan!$H$8-C32+Plan!$I$8*C59,Plan!$H$9-C32+Plan!$I$9*C59,Plan!$H$10-C32+Plan!$I$10*C59,Plan!$H$11-C32+Plan!$I$11*C59,Plan!$H$12-C32+Plan!$I$12*C59,Plan!$H$13-C32+Plan!$I$13*C59,Plan!$H$14-C32+Plan!$I$14*C59,Plan!$H$15-C32+Plan!$I$15*C59,Plan!$H$16-C32+Plan!$I$16*C59)</f>
        <v>0</v>
      </c>
    </row>
    <row r="61" customFormat="false" ht="15" hidden="false" customHeight="false" outlineLevel="0" collapsed="false">
      <c r="A61" s="2" t="s">
        <v>292</v>
      </c>
      <c r="B61" s="11" t="n">
        <f aca="false">B33-B60</f>
        <v>230</v>
      </c>
      <c r="C61" s="11" t="n">
        <f aca="false">C33-C60</f>
        <v>70</v>
      </c>
    </row>
    <row r="62" customFormat="false" ht="15" hidden="false" customHeight="false" outlineLevel="0" collapsed="false">
      <c r="A62" s="2" t="s">
        <v>293</v>
      </c>
      <c r="B62" s="16" t="n">
        <f aca="false">Fee*B61+VQ*B59</f>
        <v>9.51889866773993</v>
      </c>
      <c r="C62" s="16" t="n">
        <f aca="false">Fee*C61+VQ*C59</f>
        <v>3.09217626666234</v>
      </c>
    </row>
    <row r="63" customFormat="false" ht="15" hidden="false" customHeight="false" outlineLevel="0" collapsed="false">
      <c r="A63" s="2" t="s">
        <v>294</v>
      </c>
      <c r="B63" s="32" t="n">
        <f aca="false">B58-B62</f>
        <v>-0.532113201512242</v>
      </c>
      <c r="C63" s="32" t="n">
        <f aca="false">C58-C62</f>
        <v>-0.954211337348707</v>
      </c>
    </row>
    <row r="65" customFormat="false" ht="15" hidden="false" customHeight="false" outlineLevel="0" collapsed="false">
      <c r="A65" s="4" t="s">
        <v>295</v>
      </c>
    </row>
    <row r="66" customFormat="false" ht="15" hidden="false" customHeight="false" outlineLevel="0" collapsed="false">
      <c r="A66" s="2" t="s">
        <v>296</v>
      </c>
      <c r="B66" s="27" t="n">
        <v>150</v>
      </c>
    </row>
    <row r="67" customFormat="false" ht="15" hidden="false" customHeight="false" outlineLevel="0" collapsed="false">
      <c r="A67" s="2" t="s">
        <v>297</v>
      </c>
      <c r="B67" s="27" t="n">
        <v>300</v>
      </c>
      <c r="C67" s="10" t="s">
        <v>298</v>
      </c>
    </row>
    <row r="68" customFormat="false" ht="15" hidden="false" customHeight="false" outlineLevel="0" collapsed="false">
      <c r="A68" s="2" t="s">
        <v>299</v>
      </c>
      <c r="B68" s="30" t="n">
        <v>0.0801891393161113</v>
      </c>
      <c r="C68" s="10" t="s">
        <v>300</v>
      </c>
    </row>
    <row r="69" customFormat="false" ht="15" hidden="false" customHeight="false" outlineLevel="0" collapsed="false">
      <c r="A69" s="2" t="s">
        <v>301</v>
      </c>
      <c r="B69" s="34" t="n">
        <v>0.00805930766727787</v>
      </c>
      <c r="C69" s="10" t="s">
        <v>302</v>
      </c>
    </row>
    <row r="70" customFormat="false" ht="15" hidden="false" customHeight="false" outlineLevel="0" collapsed="false">
      <c r="A70" s="2" t="s">
        <v>303</v>
      </c>
      <c r="B70" s="35" t="n">
        <v>3266</v>
      </c>
      <c r="C70" s="10" t="s">
        <v>304</v>
      </c>
    </row>
    <row r="71" customFormat="false" ht="15" hidden="false" customHeight="false" outlineLevel="0" collapsed="false">
      <c r="A71" s="2" t="s">
        <v>305</v>
      </c>
      <c r="B71" s="28" t="n">
        <v>0.158420895861286</v>
      </c>
      <c r="C71" s="10" t="s">
        <v>306</v>
      </c>
    </row>
    <row r="72" customFormat="false" ht="15" hidden="false" customHeight="false" outlineLevel="0" collapsed="false">
      <c r="A72" s="2" t="s">
        <v>307</v>
      </c>
      <c r="B72" s="20" t="n">
        <v>0.934782608695652</v>
      </c>
      <c r="C72" s="10" t="s">
        <v>308</v>
      </c>
    </row>
    <row r="73" customFormat="false" ht="15" hidden="false" customHeight="false" outlineLevel="0" collapsed="false">
      <c r="A73" s="2" t="s">
        <v>309</v>
      </c>
      <c r="B73" s="28" t="n">
        <v>0.954211337348707</v>
      </c>
      <c r="C73" s="10" t="s">
        <v>310</v>
      </c>
    </row>
    <row r="74" customFormat="false" ht="15" hidden="false" customHeight="false" outlineLevel="0" collapsed="false">
      <c r="A74" s="2" t="s">
        <v>311</v>
      </c>
      <c r="B74" s="28" t="n">
        <v>0.182749187749401</v>
      </c>
      <c r="C74" s="10" t="s">
        <v>312</v>
      </c>
    </row>
    <row r="75" customFormat="false" ht="15" hidden="false" customHeight="false" outlineLevel="0" collapsed="false">
      <c r="A75" s="2" t="s">
        <v>313</v>
      </c>
      <c r="B75" s="36" t="s">
        <v>314</v>
      </c>
      <c r="C75" s="10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316</v>
      </c>
      <c r="B1" s="8" t="s">
        <v>317</v>
      </c>
      <c r="C1" s="8" t="s">
        <v>318</v>
      </c>
    </row>
    <row r="2" customFormat="false" ht="15" hidden="false" customHeight="false" outlineLevel="0" collapsed="false">
      <c r="A2" s="2" t="s">
        <v>319</v>
      </c>
      <c r="B2" s="36" t="n">
        <v>186.866976370664</v>
      </c>
      <c r="C2" s="2" t="s">
        <v>320</v>
      </c>
    </row>
    <row r="3" customFormat="false" ht="15" hidden="false" customHeight="false" outlineLevel="0" collapsed="false">
      <c r="A3" s="2" t="s">
        <v>321</v>
      </c>
      <c r="B3" s="36" t="n">
        <v>131.950382357786</v>
      </c>
      <c r="C3" s="2" t="s">
        <v>82</v>
      </c>
    </row>
    <row r="4" customFormat="false" ht="15" hidden="false" customHeight="false" outlineLevel="0" collapsed="false">
      <c r="A4" s="2" t="s">
        <v>83</v>
      </c>
      <c r="B4" s="36" t="n">
        <v>7</v>
      </c>
      <c r="C4" s="2" t="s">
        <v>322</v>
      </c>
    </row>
    <row r="5" customFormat="false" ht="15" hidden="false" customHeight="false" outlineLevel="0" collapsed="false">
      <c r="A5" s="2" t="s">
        <v>323</v>
      </c>
      <c r="B5" s="36" t="n">
        <v>24.5893214315501</v>
      </c>
      <c r="C5" s="2" t="s">
        <v>86</v>
      </c>
    </row>
    <row r="6" customFormat="false" ht="15" hidden="false" customHeight="false" outlineLevel="0" collapsed="false">
      <c r="A6" s="2" t="s">
        <v>324</v>
      </c>
      <c r="B6" s="36" t="n">
        <v>0.325344480215519</v>
      </c>
      <c r="C6" s="2" t="s">
        <v>90</v>
      </c>
    </row>
    <row r="7" customFormat="false" ht="15" hidden="false" customHeight="false" outlineLevel="0" collapsed="false">
      <c r="A7" s="2" t="s">
        <v>325</v>
      </c>
      <c r="B7" s="36" t="n">
        <v>224.177722070089</v>
      </c>
      <c r="C7" s="2" t="s">
        <v>326</v>
      </c>
    </row>
    <row r="8" customFormat="false" ht="15" hidden="false" customHeight="false" outlineLevel="0" collapsed="false">
      <c r="A8" s="2" t="s">
        <v>327</v>
      </c>
      <c r="B8" s="36" t="n">
        <v>190.066596933781</v>
      </c>
      <c r="C8" s="2" t="s">
        <v>326</v>
      </c>
    </row>
    <row r="9" customFormat="false" ht="15" hidden="false" customHeight="false" outlineLevel="0" collapsed="false">
      <c r="A9" s="2" t="s">
        <v>328</v>
      </c>
      <c r="B9" s="36" t="n">
        <v>165.554186662141</v>
      </c>
      <c r="C9" s="2" t="s">
        <v>326</v>
      </c>
    </row>
    <row r="10" customFormat="false" ht="15" hidden="false" customHeight="false" outlineLevel="0" collapsed="false">
      <c r="A10" s="2" t="s">
        <v>329</v>
      </c>
      <c r="B10" s="36" t="n">
        <v>148.862199828157</v>
      </c>
      <c r="C10" s="2" t="s">
        <v>326</v>
      </c>
    </row>
    <row r="11" customFormat="false" ht="15" hidden="false" customHeight="false" outlineLevel="0" collapsed="false">
      <c r="A11" s="2" t="s">
        <v>330</v>
      </c>
      <c r="B11" s="36" t="n">
        <v>138.49718114769</v>
      </c>
      <c r="C11" s="2" t="s">
        <v>326</v>
      </c>
    </row>
    <row r="12" customFormat="false" ht="15" hidden="false" customHeight="false" outlineLevel="0" collapsed="false">
      <c r="A12" s="2" t="s">
        <v>331</v>
      </c>
      <c r="B12" s="36" t="n">
        <v>133.208171638365</v>
      </c>
      <c r="C12" s="2" t="s">
        <v>326</v>
      </c>
    </row>
    <row r="13" customFormat="false" ht="15" hidden="false" customHeight="false" outlineLevel="0" collapsed="false">
      <c r="A13" s="2" t="s">
        <v>332</v>
      </c>
      <c r="B13" s="36" t="n">
        <v>131.950382357786</v>
      </c>
      <c r="C13" s="2" t="s">
        <v>326</v>
      </c>
    </row>
    <row r="14" customFormat="false" ht="15" hidden="false" customHeight="false" outlineLevel="0" collapsed="false">
      <c r="A14" s="2" t="s">
        <v>333</v>
      </c>
      <c r="B14" s="36" t="n">
        <v>133.854053397919</v>
      </c>
      <c r="C14" s="2" t="s">
        <v>326</v>
      </c>
    </row>
    <row r="15" customFormat="false" ht="15" hidden="false" customHeight="false" outlineLevel="0" collapsed="false">
      <c r="A15" s="2" t="s">
        <v>334</v>
      </c>
      <c r="B15" s="36" t="n">
        <v>138.197781417396</v>
      </c>
      <c r="C15" s="2" t="s">
        <v>326</v>
      </c>
    </row>
    <row r="16" customFormat="false" ht="15" hidden="false" customHeight="false" outlineLevel="0" collapsed="false">
      <c r="A16" s="2" t="s">
        <v>335</v>
      </c>
      <c r="B16" s="36" t="n">
        <v>144.385695809424</v>
      </c>
      <c r="C16" s="2" t="s">
        <v>326</v>
      </c>
    </row>
    <row r="17" customFormat="false" ht="15" hidden="false" customHeight="false" outlineLevel="0" collapsed="false">
      <c r="A17" s="2" t="s">
        <v>336</v>
      </c>
      <c r="B17" s="36" t="n">
        <v>151.927947564381</v>
      </c>
      <c r="C17" s="2" t="s">
        <v>326</v>
      </c>
    </row>
    <row r="18" customFormat="false" ht="15" hidden="false" customHeight="false" outlineLevel="0" collapsed="false">
      <c r="A18" s="2" t="s">
        <v>337</v>
      </c>
      <c r="B18" s="36" t="n">
        <v>160.42404767696</v>
      </c>
      <c r="C18" s="2" t="s">
        <v>326</v>
      </c>
    </row>
    <row r="19" customFormat="false" ht="15" hidden="false" customHeight="false" outlineLevel="0" collapsed="false">
      <c r="A19" s="2" t="s">
        <v>338</v>
      </c>
      <c r="B19" s="36" t="n">
        <v>55.0496176422145</v>
      </c>
      <c r="C19" s="2" t="s">
        <v>339</v>
      </c>
    </row>
    <row r="20" customFormat="false" ht="15" hidden="false" customHeight="false" outlineLevel="0" collapsed="false">
      <c r="A20" s="2" t="s">
        <v>340</v>
      </c>
      <c r="B20" s="36" t="n">
        <v>0</v>
      </c>
      <c r="C20" s="2" t="s">
        <v>341</v>
      </c>
    </row>
    <row r="21" customFormat="false" ht="15" hidden="false" customHeight="false" outlineLevel="0" collapsed="false">
      <c r="A21" s="2" t="s">
        <v>342</v>
      </c>
      <c r="B21" s="36" t="n">
        <v>1.65148852926643</v>
      </c>
      <c r="C21" s="2" t="s">
        <v>343</v>
      </c>
    </row>
    <row r="22" customFormat="false" ht="15" hidden="false" customHeight="false" outlineLevel="0" collapsed="false">
      <c r="A22" s="2" t="s">
        <v>344</v>
      </c>
      <c r="B22" s="36" t="n">
        <v>6.95038235778554</v>
      </c>
      <c r="C22" s="2" t="s">
        <v>134</v>
      </c>
    </row>
    <row r="23" customFormat="false" ht="15" hidden="false" customHeight="false" outlineLevel="0" collapsed="false">
      <c r="A23" s="2" t="s">
        <v>345</v>
      </c>
      <c r="B23" s="36" t="n">
        <v>203.049617642215</v>
      </c>
      <c r="C23" s="2" t="s">
        <v>346</v>
      </c>
    </row>
    <row r="24" customFormat="false" ht="15" hidden="false" customHeight="false" outlineLevel="0" collapsed="false">
      <c r="A24" s="2" t="s">
        <v>347</v>
      </c>
      <c r="B24" s="36" t="n">
        <v>0</v>
      </c>
      <c r="C24" s="2" t="s">
        <v>341</v>
      </c>
    </row>
    <row r="25" customFormat="false" ht="15" hidden="false" customHeight="false" outlineLevel="0" collapsed="false">
      <c r="A25" s="2" t="s">
        <v>348</v>
      </c>
      <c r="B25" s="36" t="n">
        <v>6.09148852926643</v>
      </c>
      <c r="C25" s="2" t="s">
        <v>349</v>
      </c>
    </row>
    <row r="26" customFormat="false" ht="15" hidden="false" customHeight="false" outlineLevel="0" collapsed="false">
      <c r="A26" s="2" t="s">
        <v>350</v>
      </c>
      <c r="B26" s="36" t="n">
        <v>7</v>
      </c>
      <c r="C26" s="2" t="s">
        <v>322</v>
      </c>
    </row>
    <row r="27" customFormat="false" ht="15" hidden="false" customHeight="false" outlineLevel="0" collapsed="false">
      <c r="A27" s="2" t="s">
        <v>351</v>
      </c>
      <c r="B27" s="36" t="n">
        <v>0.21093</v>
      </c>
      <c r="C27" s="2" t="s">
        <v>352</v>
      </c>
    </row>
    <row r="28" customFormat="false" ht="15" hidden="false" customHeight="false" outlineLevel="0" collapsed="false">
      <c r="A28" s="2" t="s">
        <v>353</v>
      </c>
      <c r="B28" s="36" t="n">
        <v>350</v>
      </c>
      <c r="C28" s="2" t="s">
        <v>354</v>
      </c>
    </row>
    <row r="29" customFormat="false" ht="15" hidden="false" customHeight="false" outlineLevel="0" collapsed="false">
      <c r="A29" s="2" t="s">
        <v>355</v>
      </c>
      <c r="B29" s="36" t="n">
        <v>6</v>
      </c>
      <c r="C29" s="2" t="s">
        <v>356</v>
      </c>
    </row>
    <row r="30" customFormat="false" ht="15" hidden="false" customHeight="false" outlineLevel="0" collapsed="false">
      <c r="A30" s="2" t="s">
        <v>357</v>
      </c>
      <c r="B30" s="36" t="n">
        <v>38.0496176422145</v>
      </c>
      <c r="C30" s="2" t="s">
        <v>326</v>
      </c>
    </row>
    <row r="31" customFormat="false" ht="15" hidden="false" customHeight="false" outlineLevel="0" collapsed="false">
      <c r="A31" s="2" t="s">
        <v>358</v>
      </c>
      <c r="B31" s="36" t="n">
        <v>0</v>
      </c>
      <c r="C31" s="2"/>
    </row>
    <row r="32" customFormat="false" ht="15" hidden="false" customHeight="false" outlineLevel="0" collapsed="false">
      <c r="A32" s="2" t="s">
        <v>359</v>
      </c>
      <c r="B32" s="36" t="n">
        <v>1.14148852926643</v>
      </c>
      <c r="C32" s="2" t="s">
        <v>360</v>
      </c>
    </row>
    <row r="33" customFormat="false" ht="15" hidden="false" customHeight="false" outlineLevel="0" collapsed="false">
      <c r="A33" s="2" t="s">
        <v>361</v>
      </c>
      <c r="B33" s="36" t="n">
        <v>71.0496176422145</v>
      </c>
      <c r="C33" s="2" t="s">
        <v>326</v>
      </c>
    </row>
    <row r="34" customFormat="false" ht="15" hidden="false" customHeight="false" outlineLevel="0" collapsed="false">
      <c r="A34" s="2" t="s">
        <v>362</v>
      </c>
      <c r="B34" s="36" t="n">
        <v>0</v>
      </c>
      <c r="C34" s="2"/>
    </row>
    <row r="35" customFormat="false" ht="15" hidden="false" customHeight="false" outlineLevel="0" collapsed="false">
      <c r="A35" s="2" t="s">
        <v>363</v>
      </c>
      <c r="B35" s="36" t="n">
        <v>2.13148852926643</v>
      </c>
      <c r="C35" s="2"/>
    </row>
    <row r="36" customFormat="false" ht="15" hidden="false" customHeight="false" outlineLevel="0" collapsed="false">
      <c r="A36" s="2" t="s">
        <v>364</v>
      </c>
      <c r="B36" s="36" t="n">
        <v>104.049617642215</v>
      </c>
      <c r="C36" s="2" t="s">
        <v>326</v>
      </c>
    </row>
    <row r="37" customFormat="false" ht="15" hidden="false" customHeight="false" outlineLevel="0" collapsed="false">
      <c r="A37" s="2" t="s">
        <v>365</v>
      </c>
      <c r="B37" s="36" t="n">
        <v>0</v>
      </c>
      <c r="C37" s="2"/>
    </row>
    <row r="38" customFormat="false" ht="15" hidden="false" customHeight="false" outlineLevel="0" collapsed="false">
      <c r="A38" s="2" t="s">
        <v>366</v>
      </c>
      <c r="B38" s="36" t="n">
        <v>3.12148852926643</v>
      </c>
      <c r="C38" s="2"/>
    </row>
    <row r="39" customFormat="false" ht="15" hidden="false" customHeight="false" outlineLevel="0" collapsed="false">
      <c r="A39" s="2" t="s">
        <v>367</v>
      </c>
      <c r="B39" s="36" t="n">
        <v>137.049617642215</v>
      </c>
      <c r="C39" s="2" t="s">
        <v>326</v>
      </c>
    </row>
    <row r="40" customFormat="false" ht="15" hidden="false" customHeight="false" outlineLevel="0" collapsed="false">
      <c r="A40" s="2" t="s">
        <v>368</v>
      </c>
      <c r="B40" s="36" t="n">
        <v>0</v>
      </c>
      <c r="C40" s="2"/>
    </row>
    <row r="41" customFormat="false" ht="15" hidden="false" customHeight="false" outlineLevel="0" collapsed="false">
      <c r="A41" s="2" t="s">
        <v>369</v>
      </c>
      <c r="B41" s="36" t="n">
        <v>4.11148852926643</v>
      </c>
      <c r="C41" s="2"/>
    </row>
    <row r="42" customFormat="false" ht="15" hidden="false" customHeight="false" outlineLevel="0" collapsed="false">
      <c r="A42" s="2" t="s">
        <v>370</v>
      </c>
      <c r="B42" s="36" t="n">
        <v>170.049617642215</v>
      </c>
      <c r="C42" s="2" t="s">
        <v>326</v>
      </c>
    </row>
    <row r="43" customFormat="false" ht="15" hidden="false" customHeight="false" outlineLevel="0" collapsed="false">
      <c r="A43" s="2" t="s">
        <v>371</v>
      </c>
      <c r="B43" s="36" t="n">
        <v>0</v>
      </c>
      <c r="C43" s="2"/>
    </row>
    <row r="44" customFormat="false" ht="15" hidden="false" customHeight="false" outlineLevel="0" collapsed="false">
      <c r="A44" s="2" t="s">
        <v>372</v>
      </c>
      <c r="B44" s="36" t="n">
        <v>5.10148852926643</v>
      </c>
      <c r="C44" s="2"/>
    </row>
    <row r="45" customFormat="false" ht="15" hidden="false" customHeight="false" outlineLevel="0" collapsed="false">
      <c r="A45" s="2" t="s">
        <v>373</v>
      </c>
      <c r="B45" s="36" t="n">
        <v>203.049617642215</v>
      </c>
      <c r="C45" s="2" t="s">
        <v>326</v>
      </c>
    </row>
    <row r="46" customFormat="false" ht="15" hidden="false" customHeight="false" outlineLevel="0" collapsed="false">
      <c r="A46" s="2" t="s">
        <v>374</v>
      </c>
      <c r="B46" s="36" t="n">
        <v>0</v>
      </c>
      <c r="C46" s="2"/>
    </row>
    <row r="47" customFormat="false" ht="15" hidden="false" customHeight="false" outlineLevel="0" collapsed="false">
      <c r="A47" s="2" t="s">
        <v>375</v>
      </c>
      <c r="B47" s="36" t="n">
        <v>6.09148852926643</v>
      </c>
      <c r="C47" s="2"/>
    </row>
    <row r="48" customFormat="false" ht="15" hidden="false" customHeight="false" outlineLevel="0" collapsed="false">
      <c r="A48" s="2" t="s">
        <v>376</v>
      </c>
      <c r="B48" s="36" t="n">
        <v>228</v>
      </c>
      <c r="C48" s="2" t="s">
        <v>326</v>
      </c>
    </row>
    <row r="49" customFormat="false" ht="15" hidden="false" customHeight="false" outlineLevel="0" collapsed="false">
      <c r="A49" s="2" t="s">
        <v>377</v>
      </c>
      <c r="B49" s="36" t="n">
        <v>0.327362333467492</v>
      </c>
      <c r="C49" s="2"/>
    </row>
    <row r="50" customFormat="false" ht="15" hidden="false" customHeight="false" outlineLevel="0" collapsed="false">
      <c r="A50" s="2" t="s">
        <v>378</v>
      </c>
      <c r="B50" s="36" t="n">
        <v>9.45889866773993</v>
      </c>
      <c r="C50" s="2"/>
    </row>
    <row r="51" customFormat="false" ht="15" hidden="false" customHeight="false" outlineLevel="0" collapsed="false">
      <c r="A51" s="2" t="s">
        <v>379</v>
      </c>
      <c r="B51" s="36" t="n">
        <v>246</v>
      </c>
      <c r="C51" s="2" t="s">
        <v>326</v>
      </c>
    </row>
    <row r="52" customFormat="false" ht="15" hidden="false" customHeight="false" outlineLevel="0" collapsed="false">
      <c r="A52" s="2" t="s">
        <v>380</v>
      </c>
      <c r="B52" s="36" t="n">
        <v>0.93738323387159</v>
      </c>
      <c r="C52" s="2"/>
    </row>
    <row r="53" customFormat="false" ht="15" hidden="false" customHeight="false" outlineLevel="0" collapsed="false">
      <c r="A53" s="2" t="s">
        <v>381</v>
      </c>
      <c r="B53" s="36" t="n">
        <v>14.8790658709727</v>
      </c>
      <c r="C53" s="2"/>
    </row>
    <row r="54" customFormat="false" ht="15" hidden="false" customHeight="false" outlineLevel="0" collapsed="false">
      <c r="A54" s="2" t="s">
        <v>382</v>
      </c>
      <c r="B54" s="36" t="n">
        <v>264</v>
      </c>
      <c r="C54" s="2" t="s">
        <v>326</v>
      </c>
    </row>
    <row r="55" customFormat="false" ht="15" hidden="false" customHeight="false" outlineLevel="0" collapsed="false">
      <c r="A55" s="2" t="s">
        <v>383</v>
      </c>
      <c r="B55" s="36" t="n">
        <v>1.54740413427569</v>
      </c>
      <c r="C55" s="2"/>
    </row>
    <row r="56" customFormat="false" ht="15" hidden="false" customHeight="false" outlineLevel="0" collapsed="false">
      <c r="A56" s="2" t="s">
        <v>384</v>
      </c>
      <c r="B56" s="36" t="n">
        <v>20.2992330742055</v>
      </c>
      <c r="C56" s="2"/>
    </row>
    <row r="57" customFormat="false" ht="15" hidden="false" customHeight="false" outlineLevel="0" collapsed="false">
      <c r="A57" s="2" t="s">
        <v>385</v>
      </c>
      <c r="B57" s="36" t="n">
        <v>282</v>
      </c>
      <c r="C57" s="2" t="s">
        <v>326</v>
      </c>
    </row>
    <row r="58" customFormat="false" ht="15" hidden="false" customHeight="false" outlineLevel="0" collapsed="false">
      <c r="A58" s="2" t="s">
        <v>386</v>
      </c>
      <c r="B58" s="36" t="n">
        <v>2.16857615509361</v>
      </c>
      <c r="C58" s="2"/>
    </row>
    <row r="59" customFormat="false" ht="15" hidden="false" customHeight="false" outlineLevel="0" collapsed="false">
      <c r="A59" s="2" t="s">
        <v>387</v>
      </c>
      <c r="B59" s="36" t="n">
        <v>25.8086092407489</v>
      </c>
      <c r="C59" s="2"/>
    </row>
    <row r="60" customFormat="false" ht="15" hidden="false" customHeight="false" outlineLevel="0" collapsed="false">
      <c r="A60" s="2" t="s">
        <v>388</v>
      </c>
      <c r="B60" s="36" t="n">
        <v>300</v>
      </c>
      <c r="C60" s="2" t="s">
        <v>326</v>
      </c>
    </row>
    <row r="61" customFormat="false" ht="15" hidden="false" customHeight="false" outlineLevel="0" collapsed="false">
      <c r="A61" s="2" t="s">
        <v>389</v>
      </c>
      <c r="B61" s="36" t="n">
        <v>2.79664130273184</v>
      </c>
      <c r="C61" s="2"/>
    </row>
    <row r="62" customFormat="false" ht="15" hidden="false" customHeight="false" outlineLevel="0" collapsed="false">
      <c r="A62" s="2" t="s">
        <v>390</v>
      </c>
      <c r="B62" s="36" t="n">
        <v>31.3731304218547</v>
      </c>
      <c r="C62" s="2" t="s">
        <v>360</v>
      </c>
    </row>
    <row r="63" customFormat="false" ht="15" hidden="false" customHeight="false" outlineLevel="0" collapsed="false">
      <c r="A63" s="2" t="s">
        <v>172</v>
      </c>
      <c r="B63" s="36" t="n">
        <v>1.14148852926643</v>
      </c>
      <c r="C63" s="2" t="s">
        <v>173</v>
      </c>
    </row>
    <row r="64" customFormat="false" ht="15" hidden="false" customHeight="false" outlineLevel="0" collapsed="false">
      <c r="A64" s="2" t="s">
        <v>391</v>
      </c>
      <c r="B64" s="36" t="n">
        <v>31.3731304218547</v>
      </c>
      <c r="C64" s="2" t="s">
        <v>175</v>
      </c>
    </row>
    <row r="65" customFormat="false" ht="15" hidden="false" customHeight="false" outlineLevel="0" collapsed="false">
      <c r="A65" s="2" t="s">
        <v>179</v>
      </c>
      <c r="B65" s="36" t="n">
        <v>0</v>
      </c>
      <c r="C65" s="2" t="s">
        <v>392</v>
      </c>
    </row>
    <row r="66" customFormat="false" ht="15" hidden="false" customHeight="false" outlineLevel="0" collapsed="false">
      <c r="A66" s="2" t="s">
        <v>393</v>
      </c>
      <c r="B66" s="36" t="n">
        <v>0.38</v>
      </c>
      <c r="C66" s="2" t="s">
        <v>394</v>
      </c>
    </row>
    <row r="67" customFormat="false" ht="15" hidden="false" customHeight="false" outlineLevel="0" collapsed="false">
      <c r="A67" s="2" t="s">
        <v>395</v>
      </c>
      <c r="B67" s="36" t="n">
        <v>0.62</v>
      </c>
      <c r="C67" s="2" t="s">
        <v>160</v>
      </c>
    </row>
    <row r="68" customFormat="false" ht="15" hidden="false" customHeight="false" outlineLevel="0" collapsed="false">
      <c r="A68" s="2" t="s">
        <v>396</v>
      </c>
      <c r="B68" s="36" t="n">
        <v>0.630471192774234</v>
      </c>
      <c r="C68" s="2" t="s">
        <v>165</v>
      </c>
    </row>
    <row r="69" customFormat="false" ht="15" hidden="false" customHeight="false" outlineLevel="0" collapsed="false">
      <c r="A69" s="2" t="s">
        <v>397</v>
      </c>
      <c r="B69" s="36" t="n">
        <v>143</v>
      </c>
      <c r="C69" s="2" t="s">
        <v>398</v>
      </c>
    </row>
    <row r="70" customFormat="false" ht="15" hidden="false" customHeight="false" outlineLevel="0" collapsed="false">
      <c r="A70" s="2" t="s">
        <v>399</v>
      </c>
      <c r="B70" s="36" t="n">
        <v>231.6</v>
      </c>
      <c r="C70" s="2" t="s">
        <v>400</v>
      </c>
    </row>
    <row r="71" customFormat="false" ht="15" hidden="false" customHeight="false" outlineLevel="0" collapsed="false">
      <c r="A71" s="2" t="s">
        <v>401</v>
      </c>
      <c r="B71" s="36" t="n">
        <v>231.6</v>
      </c>
      <c r="C71" s="2" t="s">
        <v>400</v>
      </c>
    </row>
    <row r="72" customFormat="false" ht="15" hidden="false" customHeight="false" outlineLevel="0" collapsed="false">
      <c r="A72" s="2" t="s">
        <v>402</v>
      </c>
      <c r="B72" s="36" t="n">
        <v>0.449366513548312</v>
      </c>
      <c r="C72" s="2" t="s">
        <v>403</v>
      </c>
    </row>
    <row r="73" customFormat="false" ht="15" hidden="false" customHeight="false" outlineLevel="0" collapsed="false">
      <c r="A73" s="2" t="s">
        <v>404</v>
      </c>
      <c r="B73" s="36" t="n">
        <v>10.5429321083865</v>
      </c>
      <c r="C73" s="2" t="s">
        <v>405</v>
      </c>
    </row>
    <row r="74" customFormat="false" ht="15" hidden="false" customHeight="false" outlineLevel="0" collapsed="false">
      <c r="A74" s="2" t="s">
        <v>406</v>
      </c>
      <c r="B74" s="36" t="n">
        <v>10.5429321083865</v>
      </c>
      <c r="C74" s="2" t="s">
        <v>405</v>
      </c>
    </row>
    <row r="75" customFormat="false" ht="15" hidden="false" customHeight="false" outlineLevel="0" collapsed="false">
      <c r="A75" s="2" t="s">
        <v>407</v>
      </c>
      <c r="B75" s="36" t="n">
        <v>0</v>
      </c>
      <c r="C75" s="2" t="s">
        <v>190</v>
      </c>
    </row>
    <row r="76" customFormat="false" ht="15" hidden="false" customHeight="false" outlineLevel="0" collapsed="false">
      <c r="A76" s="2" t="s">
        <v>408</v>
      </c>
      <c r="B76" s="36" t="n">
        <v>0.35</v>
      </c>
      <c r="C76" s="2" t="s">
        <v>409</v>
      </c>
    </row>
    <row r="77" customFormat="false" ht="15" hidden="false" customHeight="false" outlineLevel="0" collapsed="false">
      <c r="A77" s="2" t="s">
        <v>410</v>
      </c>
      <c r="B77" s="36" t="n">
        <v>0.632372783669541</v>
      </c>
      <c r="C77" s="2" t="s">
        <v>411</v>
      </c>
    </row>
    <row r="78" customFormat="false" ht="15" hidden="false" customHeight="false" outlineLevel="0" collapsed="false">
      <c r="A78" s="2" t="s">
        <v>412</v>
      </c>
      <c r="B78" s="36" t="n">
        <v>12.1689822693563</v>
      </c>
      <c r="C78" s="2" t="s">
        <v>413</v>
      </c>
    </row>
    <row r="79" customFormat="false" ht="15" hidden="false" customHeight="false" outlineLevel="0" collapsed="false">
      <c r="A79" s="2" t="s">
        <v>414</v>
      </c>
      <c r="B79" s="36" t="n">
        <v>0.08</v>
      </c>
      <c r="C79" s="2" t="s">
        <v>415</v>
      </c>
    </row>
    <row r="80" customFormat="false" ht="15" hidden="false" customHeight="false" outlineLevel="0" collapsed="false">
      <c r="A80" s="2" t="s">
        <v>416</v>
      </c>
      <c r="B80" s="36" t="n">
        <v>2.29418918462126</v>
      </c>
      <c r="C80" s="2" t="s">
        <v>417</v>
      </c>
    </row>
    <row r="81" customFormat="false" ht="15" hidden="false" customHeight="false" outlineLevel="0" collapsed="false">
      <c r="A81" s="2" t="s">
        <v>418</v>
      </c>
      <c r="B81" s="36" t="n">
        <v>26.9215134769701</v>
      </c>
      <c r="C81" s="2" t="s">
        <v>419</v>
      </c>
    </row>
    <row r="82" customFormat="false" ht="15" hidden="false" customHeight="false" outlineLevel="0" collapsed="false">
      <c r="A82" s="2" t="s">
        <v>420</v>
      </c>
      <c r="B82" s="36" t="n">
        <v>4.27905501743871</v>
      </c>
      <c r="C82" s="2" t="s">
        <v>215</v>
      </c>
    </row>
    <row r="83" customFormat="false" ht="15" hidden="false" customHeight="false" outlineLevel="0" collapsed="false">
      <c r="A83" s="2" t="s">
        <v>421</v>
      </c>
      <c r="B83" s="36" t="n">
        <v>37.2324401395097</v>
      </c>
      <c r="C83" s="2" t="s">
        <v>422</v>
      </c>
    </row>
    <row r="84" customFormat="false" ht="15" hidden="false" customHeight="false" outlineLevel="0" collapsed="false">
      <c r="A84" s="2" t="s">
        <v>423</v>
      </c>
      <c r="B84" s="36" t="n">
        <v>0</v>
      </c>
      <c r="C84" s="2" t="s">
        <v>392</v>
      </c>
    </row>
    <row r="85" customFormat="false" ht="15" hidden="false" customHeight="false" outlineLevel="0" collapsed="false">
      <c r="A85" s="2" t="s">
        <v>424</v>
      </c>
      <c r="B85" s="36" t="n">
        <v>0.125848624903095</v>
      </c>
      <c r="C85" s="2" t="s">
        <v>184</v>
      </c>
    </row>
    <row r="86" customFormat="false" ht="15" hidden="false" customHeight="false" outlineLevel="0" collapsed="false">
      <c r="A86" s="2" t="s">
        <v>425</v>
      </c>
      <c r="B86" s="36" t="n">
        <v>23.0893316858253</v>
      </c>
      <c r="C86" s="2" t="s">
        <v>326</v>
      </c>
    </row>
    <row r="87" customFormat="false" ht="15" hidden="false" customHeight="false" outlineLevel="0" collapsed="false">
      <c r="A87" s="2" t="s">
        <v>426</v>
      </c>
      <c r="B87" s="36" t="n">
        <v>17.8608514478064</v>
      </c>
      <c r="C87" s="2" t="s">
        <v>326</v>
      </c>
    </row>
    <row r="88" customFormat="false" ht="15" hidden="false" customHeight="false" outlineLevel="0" collapsed="false">
      <c r="A88" s="2" t="s">
        <v>427</v>
      </c>
      <c r="B88" s="36" t="n">
        <v>14.6841240841621</v>
      </c>
      <c r="C88" s="2" t="s">
        <v>326</v>
      </c>
    </row>
    <row r="89" customFormat="false" ht="15" hidden="false" customHeight="false" outlineLevel="0" collapsed="false">
      <c r="A89" s="2" t="s">
        <v>428</v>
      </c>
      <c r="B89" s="36" t="n">
        <v>12.3504575918471</v>
      </c>
      <c r="C89" s="2" t="s">
        <v>326</v>
      </c>
    </row>
    <row r="90" customFormat="false" ht="15" hidden="false" customHeight="false" outlineLevel="0" collapsed="false">
      <c r="A90" s="2" t="s">
        <v>429</v>
      </c>
      <c r="B90" s="36" t="n">
        <v>10.440610891413</v>
      </c>
      <c r="C90" s="2" t="s">
        <v>326</v>
      </c>
    </row>
    <row r="91" customFormat="false" ht="15" hidden="false" customHeight="false" outlineLevel="0" collapsed="false">
      <c r="A91" s="2" t="s">
        <v>430</v>
      </c>
      <c r="B91" s="36" t="n">
        <v>8.81941165496047</v>
      </c>
      <c r="C91" s="2" t="s">
        <v>326</v>
      </c>
    </row>
    <row r="92" customFormat="false" ht="15" hidden="false" customHeight="false" outlineLevel="0" collapsed="false">
      <c r="A92" s="2" t="s">
        <v>431</v>
      </c>
      <c r="B92" s="36" t="n">
        <v>6.25363772267895</v>
      </c>
      <c r="C92" s="2" t="s">
        <v>326</v>
      </c>
    </row>
    <row r="93" customFormat="false" ht="15" hidden="false" customHeight="false" outlineLevel="0" collapsed="false">
      <c r="A93" s="2" t="s">
        <v>432</v>
      </c>
      <c r="B93" s="36" t="n">
        <v>4.17137293000762</v>
      </c>
      <c r="C93" s="2" t="s">
        <v>326</v>
      </c>
    </row>
    <row r="94" customFormat="false" ht="15" hidden="false" customHeight="false" outlineLevel="0" collapsed="false">
      <c r="A94" s="2" t="s">
        <v>433</v>
      </c>
      <c r="B94" s="36" t="n">
        <v>3</v>
      </c>
      <c r="C94" s="2" t="s">
        <v>326</v>
      </c>
    </row>
    <row r="95" customFormat="false" ht="15" hidden="false" customHeight="false" outlineLevel="0" collapsed="false">
      <c r="A95" s="2" t="s">
        <v>434</v>
      </c>
      <c r="B95" s="36" t="n">
        <v>2.25</v>
      </c>
      <c r="C95" s="2" t="s">
        <v>326</v>
      </c>
    </row>
    <row r="96" customFormat="false" ht="15" hidden="false" customHeight="false" outlineLevel="0" collapsed="false">
      <c r="A96" s="2" t="s">
        <v>435</v>
      </c>
      <c r="B96" s="36" t="n">
        <v>-0.0440077838781277</v>
      </c>
      <c r="C96" s="2" t="s">
        <v>326</v>
      </c>
    </row>
    <row r="97" customFormat="false" ht="15" hidden="false" customHeight="false" outlineLevel="0" collapsed="false">
      <c r="A97" s="2" t="s">
        <v>436</v>
      </c>
      <c r="B97" s="36" t="n">
        <v>0</v>
      </c>
      <c r="C97" s="2"/>
    </row>
    <row r="98" customFormat="false" ht="15" hidden="false" customHeight="false" outlineLevel="0" collapsed="false">
      <c r="A98" s="2" t="s">
        <v>437</v>
      </c>
      <c r="B98" s="36" t="n">
        <v>0.00143977722346431</v>
      </c>
      <c r="C98" s="2"/>
    </row>
    <row r="99" customFormat="false" ht="15" hidden="false" customHeight="false" outlineLevel="0" collapsed="false">
      <c r="A99" s="2" t="s">
        <v>438</v>
      </c>
      <c r="B99" s="36" t="n">
        <v>0.00154855847913478</v>
      </c>
      <c r="C99" s="2"/>
    </row>
    <row r="100" customFormat="false" ht="15" hidden="false" customHeight="false" outlineLevel="0" collapsed="false">
      <c r="A100" s="2" t="s">
        <v>439</v>
      </c>
      <c r="B100" s="36" t="n">
        <v>7.23185428436013</v>
      </c>
      <c r="C100" s="2" t="s">
        <v>326</v>
      </c>
    </row>
    <row r="101" customFormat="false" ht="15" hidden="false" customHeight="false" outlineLevel="0" collapsed="false">
      <c r="A101" s="2" t="s">
        <v>440</v>
      </c>
      <c r="B101" s="36" t="n">
        <v>7.29148852926643</v>
      </c>
      <c r="C101" s="2"/>
    </row>
    <row r="102" customFormat="false" ht="15" hidden="false" customHeight="false" outlineLevel="0" collapsed="false">
      <c r="A102" s="2" t="s">
        <v>441</v>
      </c>
      <c r="B102" s="36" t="n">
        <v>0.0294848007869153</v>
      </c>
      <c r="C102" s="2"/>
    </row>
    <row r="103" customFormat="false" ht="15" hidden="false" customHeight="false" outlineLevel="0" collapsed="false">
      <c r="A103" s="2" t="s">
        <v>442</v>
      </c>
      <c r="B103" s="36" t="n">
        <v>0.0289008617901499</v>
      </c>
      <c r="C103" s="2"/>
    </row>
    <row r="104" customFormat="false" ht="15" hidden="false" customHeight="false" outlineLevel="0" collapsed="false">
      <c r="A104" s="2" t="s">
        <v>443</v>
      </c>
      <c r="B104" s="36" t="n">
        <v>-0.117220275026025</v>
      </c>
      <c r="C104" s="2" t="s">
        <v>326</v>
      </c>
    </row>
    <row r="105" customFormat="false" ht="15" hidden="false" customHeight="false" outlineLevel="0" collapsed="false">
      <c r="A105" s="2" t="s">
        <v>444</v>
      </c>
      <c r="B105" s="36" t="n">
        <v>0</v>
      </c>
      <c r="C105" s="2"/>
    </row>
    <row r="106" customFormat="false" ht="15" hidden="false" customHeight="false" outlineLevel="0" collapsed="false">
      <c r="A106" s="2" t="s">
        <v>445</v>
      </c>
      <c r="B106" s="36" t="n">
        <v>0.0122336071713993</v>
      </c>
      <c r="C106" s="2"/>
    </row>
    <row r="107" customFormat="false" ht="15" hidden="false" customHeight="false" outlineLevel="0" collapsed="false">
      <c r="A107" s="2" t="s">
        <v>446</v>
      </c>
      <c r="B107" s="36" t="n">
        <v>0.0155714853396994</v>
      </c>
      <c r="C107" s="2"/>
    </row>
    <row r="108" customFormat="false" ht="15" hidden="false" customHeight="false" outlineLevel="0" collapsed="false">
      <c r="A108" s="2" t="s">
        <v>447</v>
      </c>
      <c r="B108" s="36" t="n">
        <v>9.53890167422636</v>
      </c>
      <c r="C108" s="2" t="s">
        <v>326</v>
      </c>
    </row>
    <row r="109" customFormat="false" ht="15" hidden="false" customHeight="false" outlineLevel="0" collapsed="false">
      <c r="A109" s="2" t="s">
        <v>448</v>
      </c>
      <c r="B109" s="36" t="n">
        <v>9.54148852926643</v>
      </c>
      <c r="C109" s="2"/>
    </row>
    <row r="110" customFormat="false" ht="15" hidden="false" customHeight="false" outlineLevel="0" collapsed="false">
      <c r="A110" s="2" t="s">
        <v>449</v>
      </c>
      <c r="B110" s="36" t="n">
        <v>0.0315230446583541</v>
      </c>
      <c r="C110" s="2"/>
    </row>
    <row r="111" customFormat="false" ht="15" hidden="false" customHeight="false" outlineLevel="0" collapsed="false">
      <c r="A111" s="2" t="s">
        <v>450</v>
      </c>
      <c r="B111" s="36" t="n">
        <v>0.029865496606938</v>
      </c>
      <c r="C111" s="2"/>
    </row>
    <row r="112" customFormat="false" ht="15" hidden="false" customHeight="false" outlineLevel="0" collapsed="false">
      <c r="A112" s="2" t="s">
        <v>451</v>
      </c>
      <c r="B112" s="36" t="n">
        <v>14.0510397120997</v>
      </c>
      <c r="C112" s="2" t="s">
        <v>326</v>
      </c>
    </row>
    <row r="113" customFormat="false" ht="15" hidden="false" customHeight="false" outlineLevel="0" collapsed="false">
      <c r="A113" s="2" t="s">
        <v>452</v>
      </c>
      <c r="B113" s="36" t="n">
        <v>14.0059554752831</v>
      </c>
      <c r="C113" s="2"/>
    </row>
    <row r="114" customFormat="false" ht="15" hidden="false" customHeight="false" outlineLevel="0" collapsed="false">
      <c r="A114" s="2" t="s">
        <v>453</v>
      </c>
      <c r="B114" s="36" t="n">
        <v>0.328798809688812</v>
      </c>
      <c r="C114" s="2"/>
    </row>
    <row r="115" customFormat="false" ht="15" hidden="false" customHeight="false" outlineLevel="0" collapsed="false">
      <c r="A115" s="2" t="s">
        <v>454</v>
      </c>
      <c r="B115" s="36" t="n">
        <v>0.0299919589183159</v>
      </c>
      <c r="C115" s="2"/>
    </row>
    <row r="116" customFormat="false" ht="15" hidden="false" customHeight="false" outlineLevel="0" collapsed="false">
      <c r="A116" s="2" t="s">
        <v>455</v>
      </c>
      <c r="B116" s="36" t="n">
        <v>24.5506343568029</v>
      </c>
      <c r="C116" s="2" t="s">
        <v>326</v>
      </c>
    </row>
    <row r="117" customFormat="false" ht="15" hidden="false" customHeight="false" outlineLevel="0" collapsed="false">
      <c r="A117" s="2" t="s">
        <v>456</v>
      </c>
      <c r="B117" s="36" t="n">
        <v>24.5059554752831</v>
      </c>
      <c r="C117" s="2"/>
    </row>
    <row r="118" customFormat="false" ht="15" hidden="false" customHeight="false" outlineLevel="0" collapsed="false">
      <c r="A118" s="2" t="s">
        <v>457</v>
      </c>
      <c r="B118" s="36" t="n">
        <v>0.328847688965146</v>
      </c>
      <c r="C118" s="2"/>
    </row>
    <row r="119" customFormat="false" ht="15" hidden="false" customHeight="false" outlineLevel="0" collapsed="false">
      <c r="A119" s="2" t="s">
        <v>458</v>
      </c>
      <c r="B119" s="36" t="n">
        <v>0.0299999544434184</v>
      </c>
      <c r="C119" s="2"/>
    </row>
    <row r="120" customFormat="false" ht="15" hidden="false" customHeight="false" outlineLevel="0" collapsed="false">
      <c r="A120" s="2" t="s">
        <v>459</v>
      </c>
      <c r="B120" s="36" t="n">
        <v>39.5761791934115</v>
      </c>
      <c r="C120" s="2" t="s">
        <v>326</v>
      </c>
    </row>
    <row r="121" customFormat="false" ht="15" hidden="false" customHeight="false" outlineLevel="0" collapsed="false">
      <c r="A121" s="2" t="s">
        <v>460</v>
      </c>
      <c r="B121" s="36" t="n">
        <v>39.5762430065243</v>
      </c>
      <c r="C121" s="2"/>
    </row>
    <row r="122" customFormat="false" ht="15" hidden="false" customHeight="false" outlineLevel="0" collapsed="false">
      <c r="A122" s="2" t="s">
        <v>461</v>
      </c>
      <c r="B122" s="36" t="n">
        <v>0.353107030734966</v>
      </c>
      <c r="C122" s="2"/>
    </row>
    <row r="123" customFormat="false" ht="15" hidden="false" customHeight="false" outlineLevel="0" collapsed="false">
      <c r="A123" s="2" t="s">
        <v>462</v>
      </c>
      <c r="B123" s="36" t="n">
        <v>0.03</v>
      </c>
      <c r="C123" s="2"/>
    </row>
    <row r="124" customFormat="false" ht="15" hidden="false" customHeight="false" outlineLevel="0" collapsed="false">
      <c r="A124" s="2" t="s">
        <v>463</v>
      </c>
      <c r="B124" s="36" t="n">
        <v>50.0761791934115</v>
      </c>
      <c r="C124" s="2" t="s">
        <v>326</v>
      </c>
    </row>
    <row r="125" customFormat="false" ht="15" hidden="false" customHeight="false" outlineLevel="0" collapsed="false">
      <c r="A125" s="2" t="s">
        <v>464</v>
      </c>
      <c r="B125" s="36" t="n">
        <v>50.0762430065243</v>
      </c>
      <c r="C125" s="2"/>
    </row>
    <row r="126" customFormat="false" ht="15" hidden="false" customHeight="false" outlineLevel="0" collapsed="false">
      <c r="A126" s="2" t="s">
        <v>465</v>
      </c>
      <c r="B126" s="36" t="n">
        <v>0.353107030734966</v>
      </c>
      <c r="C126" s="2"/>
    </row>
    <row r="127" customFormat="false" ht="15" hidden="false" customHeight="false" outlineLevel="0" collapsed="false">
      <c r="A127" s="2" t="s">
        <v>466</v>
      </c>
      <c r="B127" s="36" t="n">
        <v>0.03</v>
      </c>
      <c r="C127" s="2"/>
    </row>
    <row r="128" customFormat="false" ht="15" hidden="false" customHeight="false" outlineLevel="0" collapsed="false">
      <c r="A128" s="2" t="s">
        <v>467</v>
      </c>
      <c r="B128" s="36" t="n">
        <v>8.98678546622769</v>
      </c>
      <c r="C128" s="2" t="s">
        <v>468</v>
      </c>
    </row>
    <row r="129" customFormat="false" ht="15" hidden="false" customHeight="false" outlineLevel="0" collapsed="false">
      <c r="A129" s="2" t="s">
        <v>469</v>
      </c>
      <c r="B129" s="36" t="n">
        <v>9.51889866773994</v>
      </c>
      <c r="C129" s="2" t="s">
        <v>470</v>
      </c>
    </row>
    <row r="130" customFormat="false" ht="15" hidden="false" customHeight="false" outlineLevel="0" collapsed="false">
      <c r="A130" s="2" t="s">
        <v>471</v>
      </c>
      <c r="B130" s="36" t="n">
        <v>230</v>
      </c>
      <c r="C130" s="2" t="s">
        <v>472</v>
      </c>
    </row>
    <row r="131" customFormat="false" ht="15" hidden="false" customHeight="false" outlineLevel="0" collapsed="false">
      <c r="A131" s="2" t="s">
        <v>473</v>
      </c>
      <c r="B131" s="36" t="n">
        <v>0.327362333467492</v>
      </c>
      <c r="C131" s="2" t="s">
        <v>474</v>
      </c>
    </row>
    <row r="132" customFormat="false" ht="15" hidden="false" customHeight="false" outlineLevel="0" collapsed="false">
      <c r="A132" s="2" t="s">
        <v>475</v>
      </c>
      <c r="B132" s="36" t="n">
        <v>9.51889866773994</v>
      </c>
      <c r="C132" s="2" t="s">
        <v>476</v>
      </c>
    </row>
    <row r="133" customFormat="false" ht="15" hidden="false" customHeight="false" outlineLevel="0" collapsed="false">
      <c r="A133" s="2" t="s">
        <v>477</v>
      </c>
      <c r="B133" s="36" t="n">
        <v>2.13796492931363</v>
      </c>
      <c r="C133" s="2" t="s">
        <v>478</v>
      </c>
    </row>
    <row r="134" customFormat="false" ht="15" hidden="false" customHeight="false" outlineLevel="0" collapsed="false">
      <c r="A134" s="2" t="s">
        <v>479</v>
      </c>
      <c r="B134" s="36" t="n">
        <v>0.954211337348707</v>
      </c>
      <c r="C134" s="2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316</v>
      </c>
      <c r="B1" s="8" t="s">
        <v>481</v>
      </c>
      <c r="C1" s="8" t="s">
        <v>317</v>
      </c>
      <c r="D1" s="8" t="s">
        <v>482</v>
      </c>
      <c r="E1" s="8" t="s">
        <v>483</v>
      </c>
      <c r="F1" s="8" t="s">
        <v>484</v>
      </c>
    </row>
    <row r="2" customFormat="false" ht="15" hidden="false" customHeight="false" outlineLevel="0" collapsed="false">
      <c r="A2" s="2" t="s">
        <v>319</v>
      </c>
      <c r="B2" s="33" t="n">
        <f aca="false">Declarations!B31</f>
        <v>186.866976370664</v>
      </c>
      <c r="C2" s="37" t="n">
        <f aca="false">Reference_Values!B2</f>
        <v>186.866976370664</v>
      </c>
      <c r="D2" s="38" t="n">
        <f aca="false">ABS(B2-C2)</f>
        <v>0</v>
      </c>
      <c r="E2" s="39" t="n">
        <v>0.0001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321</v>
      </c>
      <c r="B3" s="33" t="n">
        <f aca="false">Plan!B19</f>
        <v>131.950382357786</v>
      </c>
      <c r="C3" s="37" t="n">
        <f aca="false">Reference_Values!B3</f>
        <v>131.950382357786</v>
      </c>
      <c r="D3" s="38" t="n">
        <f aca="false">ABS(B3-C3)</f>
        <v>0</v>
      </c>
      <c r="E3" s="39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83</v>
      </c>
      <c r="B4" s="33" t="n">
        <f aca="false">Plan!B20</f>
        <v>7</v>
      </c>
      <c r="C4" s="37" t="n">
        <f aca="false">Reference_Values!B4</f>
        <v>7</v>
      </c>
      <c r="D4" s="38" t="n">
        <f aca="false">ABS(B4-C4)</f>
        <v>0</v>
      </c>
      <c r="E4" s="39" t="n">
        <v>0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323</v>
      </c>
      <c r="B5" s="33" t="n">
        <f aca="false">Plan!B21</f>
        <v>24.5893214315501</v>
      </c>
      <c r="C5" s="37" t="n">
        <f aca="false">Reference_Values!B5</f>
        <v>24.5893214315501</v>
      </c>
      <c r="D5" s="38" t="n">
        <f aca="false">ABS(B5-C5)</f>
        <v>0</v>
      </c>
      <c r="E5" s="39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324</v>
      </c>
      <c r="B6" s="33" t="n">
        <f aca="false">Plan!B23</f>
        <v>0.325344480215519</v>
      </c>
      <c r="C6" s="37" t="n">
        <f aca="false">Reference_Values!B6</f>
        <v>0.325344480215519</v>
      </c>
      <c r="D6" s="38" t="n">
        <f aca="false">ABS(B6-C6)</f>
        <v>0</v>
      </c>
      <c r="E6" s="39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325</v>
      </c>
      <c r="B7" s="33" t="n">
        <f aca="false">Plan!H5</f>
        <v>224.177722070089</v>
      </c>
      <c r="C7" s="37" t="n">
        <f aca="false">Reference_Values!B7</f>
        <v>224.177722070089</v>
      </c>
      <c r="D7" s="38" t="n">
        <f aca="false">ABS(B7-C7)</f>
        <v>0</v>
      </c>
      <c r="E7" s="39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327</v>
      </c>
      <c r="B8" s="33" t="n">
        <f aca="false">Plan!H6</f>
        <v>190.066596933781</v>
      </c>
      <c r="C8" s="37" t="n">
        <f aca="false">Reference_Values!B8</f>
        <v>190.066596933781</v>
      </c>
      <c r="D8" s="38" t="n">
        <f aca="false">ABS(B8-C8)</f>
        <v>0</v>
      </c>
      <c r="E8" s="39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328</v>
      </c>
      <c r="B9" s="33" t="n">
        <f aca="false">Plan!H7</f>
        <v>165.554186662141</v>
      </c>
      <c r="C9" s="37" t="n">
        <f aca="false">Reference_Values!B9</f>
        <v>165.554186662141</v>
      </c>
      <c r="D9" s="38" t="n">
        <f aca="false">ABS(B9-C9)</f>
        <v>0</v>
      </c>
      <c r="E9" s="39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329</v>
      </c>
      <c r="B10" s="33" t="n">
        <f aca="false">Plan!H8</f>
        <v>148.862199828157</v>
      </c>
      <c r="C10" s="37" t="n">
        <f aca="false">Reference_Values!B10</f>
        <v>148.862199828157</v>
      </c>
      <c r="D10" s="38" t="n">
        <f aca="false">ABS(B10-C10)</f>
        <v>0</v>
      </c>
      <c r="E10" s="39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330</v>
      </c>
      <c r="B11" s="33" t="n">
        <f aca="false">Plan!H9</f>
        <v>138.49718114769</v>
      </c>
      <c r="C11" s="37" t="n">
        <f aca="false">Reference_Values!B11</f>
        <v>138.49718114769</v>
      </c>
      <c r="D11" s="38" t="n">
        <f aca="false">ABS(B11-C11)</f>
        <v>0</v>
      </c>
      <c r="E11" s="39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331</v>
      </c>
      <c r="B12" s="33" t="n">
        <f aca="false">Plan!H10</f>
        <v>133.208171638365</v>
      </c>
      <c r="C12" s="37" t="n">
        <f aca="false">Reference_Values!B12</f>
        <v>133.208171638365</v>
      </c>
      <c r="D12" s="38" t="n">
        <f aca="false">ABS(B12-C12)</f>
        <v>0</v>
      </c>
      <c r="E12" s="39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332</v>
      </c>
      <c r="B13" s="33" t="n">
        <f aca="false">Plan!H11</f>
        <v>131.950382357786</v>
      </c>
      <c r="C13" s="37" t="n">
        <f aca="false">Reference_Values!B13</f>
        <v>131.950382357786</v>
      </c>
      <c r="D13" s="38" t="n">
        <f aca="false">ABS(B13-C13)</f>
        <v>0</v>
      </c>
      <c r="E13" s="39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333</v>
      </c>
      <c r="B14" s="33" t="n">
        <f aca="false">Plan!H12</f>
        <v>133.854053397919</v>
      </c>
      <c r="C14" s="37" t="n">
        <f aca="false">Reference_Values!B14</f>
        <v>133.854053397919</v>
      </c>
      <c r="D14" s="38" t="n">
        <f aca="false">ABS(B14-C14)</f>
        <v>0</v>
      </c>
      <c r="E14" s="39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334</v>
      </c>
      <c r="B15" s="33" t="n">
        <f aca="false">Plan!H13</f>
        <v>138.197781417396</v>
      </c>
      <c r="C15" s="37" t="n">
        <f aca="false">Reference_Values!B15</f>
        <v>138.197781417396</v>
      </c>
      <c r="D15" s="38" t="n">
        <f aca="false">ABS(B15-C15)</f>
        <v>0</v>
      </c>
      <c r="E15" s="39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335</v>
      </c>
      <c r="B16" s="33" t="n">
        <f aca="false">Plan!H14</f>
        <v>144.385695809424</v>
      </c>
      <c r="C16" s="37" t="n">
        <f aca="false">Reference_Values!B16</f>
        <v>144.385695809424</v>
      </c>
      <c r="D16" s="38" t="n">
        <f aca="false">ABS(B16-C16)</f>
        <v>0</v>
      </c>
      <c r="E16" s="39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336</v>
      </c>
      <c r="B17" s="33" t="n">
        <f aca="false">Plan!H15</f>
        <v>151.927947564381</v>
      </c>
      <c r="C17" s="37" t="n">
        <f aca="false">Reference_Values!B17</f>
        <v>151.927947564381</v>
      </c>
      <c r="D17" s="38" t="n">
        <f aca="false">ABS(B17-C17)</f>
        <v>0</v>
      </c>
      <c r="E17" s="39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337</v>
      </c>
      <c r="B18" s="33" t="n">
        <f aca="false">Plan!H16</f>
        <v>160.42404767696</v>
      </c>
      <c r="C18" s="37" t="n">
        <f aca="false">Reference_Values!B18</f>
        <v>160.42404767696</v>
      </c>
      <c r="D18" s="38" t="n">
        <f aca="false">ABS(B18-C18)</f>
        <v>0</v>
      </c>
      <c r="E18" s="39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338</v>
      </c>
      <c r="B19" s="33" t="n">
        <f aca="false">Robust!J5</f>
        <v>55.0496176422145</v>
      </c>
      <c r="C19" s="37" t="n">
        <f aca="false">Reference_Values!B19</f>
        <v>55.0496176422145</v>
      </c>
      <c r="D19" s="38" t="n">
        <f aca="false">ABS(B19-C19)</f>
        <v>0</v>
      </c>
      <c r="E19" s="39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340</v>
      </c>
      <c r="B20" s="33" t="n">
        <f aca="false">Robust!K5</f>
        <v>0</v>
      </c>
      <c r="C20" s="37" t="n">
        <f aca="false">Reference_Values!B20</f>
        <v>0</v>
      </c>
      <c r="D20" s="38" t="n">
        <f aca="false">ABS(B20-C20)</f>
        <v>0</v>
      </c>
      <c r="E20" s="39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342</v>
      </c>
      <c r="B21" s="33" t="n">
        <f aca="false">Robust!L5</f>
        <v>1.65148852926643</v>
      </c>
      <c r="C21" s="37" t="n">
        <f aca="false">Reference_Values!B21</f>
        <v>1.65148852926643</v>
      </c>
      <c r="D21" s="38" t="n">
        <f aca="false">ABS(B21-C21)</f>
        <v>0</v>
      </c>
      <c r="E21" s="39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344</v>
      </c>
      <c r="B22" s="33" t="n">
        <f aca="false">Robust!I6</f>
        <v>6.95038235778554</v>
      </c>
      <c r="C22" s="37" t="n">
        <f aca="false">Reference_Values!B22</f>
        <v>6.95038235778554</v>
      </c>
      <c r="D22" s="38" t="n">
        <f aca="false">ABS(B22-C22)</f>
        <v>0</v>
      </c>
      <c r="E22" s="39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345</v>
      </c>
      <c r="B23" s="33" t="n">
        <f aca="false">Robust!J6</f>
        <v>203.049617642214</v>
      </c>
      <c r="C23" s="37" t="n">
        <f aca="false">Reference_Values!B23</f>
        <v>203.049617642215</v>
      </c>
      <c r="D23" s="38" t="n">
        <f aca="false">ABS(B23-C23)</f>
        <v>0</v>
      </c>
      <c r="E23" s="39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347</v>
      </c>
      <c r="B24" s="33" t="n">
        <f aca="false">Robust!K6</f>
        <v>0</v>
      </c>
      <c r="C24" s="37" t="n">
        <f aca="false">Reference_Values!B24</f>
        <v>0</v>
      </c>
      <c r="D24" s="38" t="n">
        <f aca="false">ABS(B24-C24)</f>
        <v>0</v>
      </c>
      <c r="E24" s="39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348</v>
      </c>
      <c r="B25" s="33" t="n">
        <f aca="false">Robust!L6</f>
        <v>6.09148852926643</v>
      </c>
      <c r="C25" s="37" t="n">
        <f aca="false">Reference_Values!B25</f>
        <v>6.09148852926643</v>
      </c>
      <c r="D25" s="38" t="n">
        <f aca="false">ABS(B25-C25)</f>
        <v>0</v>
      </c>
      <c r="E25" s="39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350</v>
      </c>
      <c r="B26" s="33" t="n">
        <f aca="false">Robust!Y6</f>
        <v>7</v>
      </c>
      <c r="C26" s="37" t="n">
        <f aca="false">Reference_Values!B26</f>
        <v>7</v>
      </c>
      <c r="D26" s="38" t="n">
        <f aca="false">ABS(B26-C26)</f>
        <v>0</v>
      </c>
      <c r="E26" s="39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351</v>
      </c>
      <c r="B27" s="33" t="n">
        <f aca="false">Robust!B18</f>
        <v>0.21093</v>
      </c>
      <c r="C27" s="37" t="n">
        <f aca="false">Reference_Values!B27</f>
        <v>0.21093</v>
      </c>
      <c r="D27" s="38" t="n">
        <f aca="false">ABS(B27-C27)</f>
        <v>0</v>
      </c>
      <c r="E27" s="39" t="n">
        <v>1E-012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353</v>
      </c>
      <c r="B28" s="33" t="n">
        <f aca="false">Robust!B19</f>
        <v>350</v>
      </c>
      <c r="C28" s="37" t="n">
        <f aca="false">Reference_Values!B28</f>
        <v>350</v>
      </c>
      <c r="D28" s="38" t="n">
        <f aca="false">ABS(B28-C28)</f>
        <v>0</v>
      </c>
      <c r="E28" s="39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355</v>
      </c>
      <c r="B29" s="33" t="n">
        <f aca="false">Robust!Y10</f>
        <v>6</v>
      </c>
      <c r="C29" s="37" t="n">
        <f aca="false">Reference_Values!B29</f>
        <v>6</v>
      </c>
      <c r="D29" s="38" t="n">
        <f aca="false">ABS(B29-C29)</f>
        <v>0</v>
      </c>
      <c r="E29" s="39" t="n">
        <v>0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357</v>
      </c>
      <c r="B30" s="33" t="n">
        <f aca="false">Graded!F106</f>
        <v>38.0496176422145</v>
      </c>
      <c r="C30" s="37" t="n">
        <f aca="false">Reference_Values!B30</f>
        <v>38.0496176422145</v>
      </c>
      <c r="D30" s="38" t="n">
        <f aca="false">ABS(B30-C30)</f>
        <v>0</v>
      </c>
      <c r="E30" s="39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358</v>
      </c>
      <c r="B31" s="33" t="n">
        <f aca="false">Graded!G106</f>
        <v>0</v>
      </c>
      <c r="C31" s="37" t="n">
        <f aca="false">Reference_Values!B31</f>
        <v>0</v>
      </c>
      <c r="D31" s="38" t="n">
        <f aca="false">ABS(B31-C31)</f>
        <v>0</v>
      </c>
      <c r="E31" s="39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359</v>
      </c>
      <c r="B32" s="33" t="n">
        <f aca="false">Graded!H106</f>
        <v>1.14148852926643</v>
      </c>
      <c r="C32" s="37" t="n">
        <f aca="false">Reference_Values!B32</f>
        <v>1.14148852926643</v>
      </c>
      <c r="D32" s="38" t="n">
        <f aca="false">ABS(B32-C32)</f>
        <v>0</v>
      </c>
      <c r="E32" s="39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361</v>
      </c>
      <c r="B33" s="33" t="n">
        <f aca="false">Graded!F96</f>
        <v>71.0496176422145</v>
      </c>
      <c r="C33" s="37" t="n">
        <f aca="false">Reference_Values!B33</f>
        <v>71.0496176422145</v>
      </c>
      <c r="D33" s="38" t="n">
        <f aca="false">ABS(B33-C33)</f>
        <v>0</v>
      </c>
      <c r="E33" s="39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362</v>
      </c>
      <c r="B34" s="33" t="n">
        <f aca="false">Graded!G96</f>
        <v>0</v>
      </c>
      <c r="C34" s="37" t="n">
        <f aca="false">Reference_Values!B34</f>
        <v>0</v>
      </c>
      <c r="D34" s="38" t="n">
        <f aca="false">ABS(B34-C34)</f>
        <v>0</v>
      </c>
      <c r="E34" s="39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363</v>
      </c>
      <c r="B35" s="33" t="n">
        <f aca="false">Graded!H96</f>
        <v>2.13148852926643</v>
      </c>
      <c r="C35" s="37" t="n">
        <f aca="false">Reference_Values!B35</f>
        <v>2.13148852926643</v>
      </c>
      <c r="D35" s="38" t="n">
        <f aca="false">ABS(B35-C35)</f>
        <v>0</v>
      </c>
      <c r="E35" s="39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364</v>
      </c>
      <c r="B36" s="33" t="n">
        <f aca="false">Graded!F86</f>
        <v>104.049617642214</v>
      </c>
      <c r="C36" s="37" t="n">
        <f aca="false">Reference_Values!B36</f>
        <v>104.049617642215</v>
      </c>
      <c r="D36" s="38" t="n">
        <f aca="false">ABS(B36-C36)</f>
        <v>0</v>
      </c>
      <c r="E36" s="39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365</v>
      </c>
      <c r="B37" s="33" t="n">
        <f aca="false">Graded!G86</f>
        <v>0</v>
      </c>
      <c r="C37" s="37" t="n">
        <f aca="false">Reference_Values!B37</f>
        <v>0</v>
      </c>
      <c r="D37" s="38" t="n">
        <f aca="false">ABS(B37-C37)</f>
        <v>0</v>
      </c>
      <c r="E37" s="39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366</v>
      </c>
      <c r="B38" s="33" t="n">
        <f aca="false">Graded!H86</f>
        <v>3.12148852926643</v>
      </c>
      <c r="C38" s="37" t="n">
        <f aca="false">Reference_Values!B38</f>
        <v>3.12148852926643</v>
      </c>
      <c r="D38" s="38" t="n">
        <f aca="false">ABS(B38-C38)</f>
        <v>0</v>
      </c>
      <c r="E38" s="39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367</v>
      </c>
      <c r="B39" s="33" t="n">
        <f aca="false">Graded!F76</f>
        <v>137.049617642214</v>
      </c>
      <c r="C39" s="37" t="n">
        <f aca="false">Reference_Values!B39</f>
        <v>137.049617642215</v>
      </c>
      <c r="D39" s="38" t="n">
        <f aca="false">ABS(B39-C39)</f>
        <v>0</v>
      </c>
      <c r="E39" s="39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368</v>
      </c>
      <c r="B40" s="33" t="n">
        <f aca="false">Graded!G76</f>
        <v>0</v>
      </c>
      <c r="C40" s="37" t="n">
        <f aca="false">Reference_Values!B40</f>
        <v>0</v>
      </c>
      <c r="D40" s="38" t="n">
        <f aca="false">ABS(B40-C40)</f>
        <v>0</v>
      </c>
      <c r="E40" s="39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369</v>
      </c>
      <c r="B41" s="33" t="n">
        <f aca="false">Graded!H76</f>
        <v>4.11148852926643</v>
      </c>
      <c r="C41" s="37" t="n">
        <f aca="false">Reference_Values!B41</f>
        <v>4.11148852926643</v>
      </c>
      <c r="D41" s="38" t="n">
        <f aca="false">ABS(B41-C41)</f>
        <v>0</v>
      </c>
      <c r="E41" s="39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370</v>
      </c>
      <c r="B42" s="33" t="n">
        <f aca="false">Graded!F66</f>
        <v>170.049617642214</v>
      </c>
      <c r="C42" s="37" t="n">
        <f aca="false">Reference_Values!B42</f>
        <v>170.049617642215</v>
      </c>
      <c r="D42" s="38" t="n">
        <f aca="false">ABS(B42-C42)</f>
        <v>0</v>
      </c>
      <c r="E42" s="39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371</v>
      </c>
      <c r="B43" s="33" t="n">
        <f aca="false">Graded!G66</f>
        <v>0</v>
      </c>
      <c r="C43" s="37" t="n">
        <f aca="false">Reference_Values!B43</f>
        <v>0</v>
      </c>
      <c r="D43" s="38" t="n">
        <f aca="false">ABS(B43-C43)</f>
        <v>0</v>
      </c>
      <c r="E43" s="39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372</v>
      </c>
      <c r="B44" s="33" t="n">
        <f aca="false">Graded!H66</f>
        <v>5.10148852926643</v>
      </c>
      <c r="C44" s="37" t="n">
        <f aca="false">Reference_Values!B44</f>
        <v>5.10148852926643</v>
      </c>
      <c r="D44" s="38" t="n">
        <f aca="false">ABS(B44-C44)</f>
        <v>0</v>
      </c>
      <c r="E44" s="39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373</v>
      </c>
      <c r="B45" s="33" t="n">
        <f aca="false">Graded!F56</f>
        <v>203.049617642214</v>
      </c>
      <c r="C45" s="37" t="n">
        <f aca="false">Reference_Values!B45</f>
        <v>203.049617642215</v>
      </c>
      <c r="D45" s="38" t="n">
        <f aca="false">ABS(B45-C45)</f>
        <v>0</v>
      </c>
      <c r="E45" s="39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374</v>
      </c>
      <c r="B46" s="33" t="n">
        <f aca="false">Graded!G56</f>
        <v>0</v>
      </c>
      <c r="C46" s="37" t="n">
        <f aca="false">Reference_Values!B46</f>
        <v>0</v>
      </c>
      <c r="D46" s="38" t="n">
        <f aca="false">ABS(B46-C46)</f>
        <v>0</v>
      </c>
      <c r="E46" s="39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375</v>
      </c>
      <c r="B47" s="33" t="n">
        <f aca="false">Graded!H56</f>
        <v>6.09148852926643</v>
      </c>
      <c r="C47" s="37" t="n">
        <f aca="false">Reference_Values!B47</f>
        <v>6.09148852926643</v>
      </c>
      <c r="D47" s="38" t="n">
        <f aca="false">ABS(B47-C47)</f>
        <v>0</v>
      </c>
      <c r="E47" s="39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376</v>
      </c>
      <c r="B48" s="33" t="n">
        <f aca="false">Graded!F46</f>
        <v>228</v>
      </c>
      <c r="C48" s="37" t="n">
        <f aca="false">Reference_Values!B48</f>
        <v>228</v>
      </c>
      <c r="D48" s="38" t="n">
        <f aca="false">ABS(B48-C48)</f>
        <v>0</v>
      </c>
      <c r="E48" s="39" t="n">
        <v>1E-009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377</v>
      </c>
      <c r="B49" s="33" t="n">
        <f aca="false">Graded!G46</f>
        <v>0.327362333467492</v>
      </c>
      <c r="C49" s="37" t="n">
        <f aca="false">Reference_Values!B49</f>
        <v>0.327362333467492</v>
      </c>
      <c r="D49" s="38" t="n">
        <f aca="false">ABS(B49-C49)</f>
        <v>0</v>
      </c>
      <c r="E49" s="39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378</v>
      </c>
      <c r="B50" s="33" t="n">
        <f aca="false">Graded!H46</f>
        <v>9.45889866773993</v>
      </c>
      <c r="C50" s="37" t="n">
        <f aca="false">Reference_Values!B50</f>
        <v>9.45889866773993</v>
      </c>
      <c r="D50" s="38" t="n">
        <f aca="false">ABS(B50-C50)</f>
        <v>0</v>
      </c>
      <c r="E50" s="39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379</v>
      </c>
      <c r="B51" s="33" t="n">
        <f aca="false">Graded!F36</f>
        <v>246</v>
      </c>
      <c r="C51" s="37" t="n">
        <f aca="false">Reference_Values!B51</f>
        <v>246</v>
      </c>
      <c r="D51" s="38" t="n">
        <f aca="false">ABS(B51-C51)</f>
        <v>0</v>
      </c>
      <c r="E51" s="39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380</v>
      </c>
      <c r="B52" s="33" t="n">
        <f aca="false">Graded!G36</f>
        <v>0.93738323387159</v>
      </c>
      <c r="C52" s="37" t="n">
        <f aca="false">Reference_Values!B52</f>
        <v>0.93738323387159</v>
      </c>
      <c r="D52" s="38" t="n">
        <f aca="false">ABS(B52-C52)</f>
        <v>0</v>
      </c>
      <c r="E52" s="39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381</v>
      </c>
      <c r="B53" s="33" t="n">
        <f aca="false">Graded!H36</f>
        <v>14.8790658709727</v>
      </c>
      <c r="C53" s="37" t="n">
        <f aca="false">Reference_Values!B53</f>
        <v>14.8790658709727</v>
      </c>
      <c r="D53" s="38" t="n">
        <f aca="false">ABS(B53-C53)</f>
        <v>0</v>
      </c>
      <c r="E53" s="39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382</v>
      </c>
      <c r="B54" s="33" t="n">
        <f aca="false">Graded!F26</f>
        <v>264</v>
      </c>
      <c r="C54" s="37" t="n">
        <f aca="false">Reference_Values!B54</f>
        <v>264</v>
      </c>
      <c r="D54" s="38" t="n">
        <f aca="false">ABS(B54-C54)</f>
        <v>0</v>
      </c>
      <c r="E54" s="39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383</v>
      </c>
      <c r="B55" s="33" t="n">
        <f aca="false">Graded!G26</f>
        <v>1.54740413427569</v>
      </c>
      <c r="C55" s="37" t="n">
        <f aca="false">Reference_Values!B55</f>
        <v>1.54740413427569</v>
      </c>
      <c r="D55" s="38" t="n">
        <f aca="false">ABS(B55-C55)</f>
        <v>0</v>
      </c>
      <c r="E55" s="39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384</v>
      </c>
      <c r="B56" s="33" t="n">
        <f aca="false">Graded!H26</f>
        <v>20.2992330742055</v>
      </c>
      <c r="C56" s="37" t="n">
        <f aca="false">Reference_Values!B56</f>
        <v>20.2992330742055</v>
      </c>
      <c r="D56" s="38" t="n">
        <f aca="false">ABS(B56-C56)</f>
        <v>0</v>
      </c>
      <c r="E56" s="39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385</v>
      </c>
      <c r="B57" s="33" t="n">
        <f aca="false">Graded!F16</f>
        <v>282</v>
      </c>
      <c r="C57" s="37" t="n">
        <f aca="false">Reference_Values!B57</f>
        <v>282</v>
      </c>
      <c r="D57" s="38" t="n">
        <f aca="false">ABS(B57-C57)</f>
        <v>0</v>
      </c>
      <c r="E57" s="39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386</v>
      </c>
      <c r="B58" s="33" t="n">
        <f aca="false">Graded!G16</f>
        <v>2.16857615509361</v>
      </c>
      <c r="C58" s="37" t="n">
        <f aca="false">Reference_Values!B58</f>
        <v>2.16857615509361</v>
      </c>
      <c r="D58" s="38" t="n">
        <f aca="false">ABS(B58-C58)</f>
        <v>0</v>
      </c>
      <c r="E58" s="39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387</v>
      </c>
      <c r="B59" s="33" t="n">
        <f aca="false">Graded!H16</f>
        <v>25.8086092407489</v>
      </c>
      <c r="C59" s="37" t="n">
        <f aca="false">Reference_Values!B59</f>
        <v>25.8086092407489</v>
      </c>
      <c r="D59" s="38" t="n">
        <f aca="false">ABS(B59-C59)</f>
        <v>0</v>
      </c>
      <c r="E59" s="39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388</v>
      </c>
      <c r="B60" s="33" t="n">
        <f aca="false">Graded!F6</f>
        <v>300</v>
      </c>
      <c r="C60" s="37" t="n">
        <f aca="false">Reference_Values!B60</f>
        <v>300</v>
      </c>
      <c r="D60" s="38" t="n">
        <f aca="false">ABS(B60-C60)</f>
        <v>0</v>
      </c>
      <c r="E60" s="39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389</v>
      </c>
      <c r="B61" s="33" t="n">
        <f aca="false">Graded!G6</f>
        <v>2.79664130273184</v>
      </c>
      <c r="C61" s="37" t="n">
        <f aca="false">Reference_Values!B61</f>
        <v>2.79664130273184</v>
      </c>
      <c r="D61" s="38" t="n">
        <f aca="false">ABS(B61-C61)</f>
        <v>0</v>
      </c>
      <c r="E61" s="39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390</v>
      </c>
      <c r="B62" s="33" t="n">
        <f aca="false">Graded!H6</f>
        <v>31.3731304218547</v>
      </c>
      <c r="C62" s="37" t="n">
        <f aca="false">Reference_Values!B62</f>
        <v>31.3731304218547</v>
      </c>
      <c r="D62" s="38" t="n">
        <f aca="false">ABS(B62-C62)</f>
        <v>0</v>
      </c>
      <c r="E62" s="39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172</v>
      </c>
      <c r="B63" s="33" t="n">
        <f aca="false">Graded!U15</f>
        <v>1.14148852926643</v>
      </c>
      <c r="C63" s="37" t="n">
        <f aca="false">Reference_Values!B63</f>
        <v>1.14148852926643</v>
      </c>
      <c r="D63" s="38" t="n">
        <f aca="false">ABS(B63-C63)</f>
        <v>0</v>
      </c>
      <c r="E63" s="39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391</v>
      </c>
      <c r="B64" s="33" t="n">
        <f aca="false">Graded!U16</f>
        <v>31.3731304218547</v>
      </c>
      <c r="C64" s="37" t="n">
        <f aca="false">Reference_Values!B64</f>
        <v>31.3731304218547</v>
      </c>
      <c r="D64" s="38" t="n">
        <f aca="false">ABS(B64-C64)</f>
        <v>0</v>
      </c>
      <c r="E64" s="39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179</v>
      </c>
      <c r="B65" s="33" t="n">
        <f aca="false">Graded!U19</f>
        <v>0</v>
      </c>
      <c r="C65" s="37" t="n">
        <f aca="false">Reference_Values!B65</f>
        <v>0</v>
      </c>
      <c r="D65" s="38" t="n">
        <f aca="false">ABS(B65-C65)</f>
        <v>0</v>
      </c>
      <c r="E65" s="39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393</v>
      </c>
      <c r="B66" s="33" t="n">
        <f aca="false">Graded!U7</f>
        <v>0.38</v>
      </c>
      <c r="C66" s="37" t="n">
        <f aca="false">Reference_Values!B66</f>
        <v>0.38</v>
      </c>
      <c r="D66" s="38" t="n">
        <f aca="false">ABS(B66-C66)</f>
        <v>0</v>
      </c>
      <c r="E66" s="39" t="n">
        <v>1E-009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395</v>
      </c>
      <c r="B67" s="33" t="n">
        <f aca="false">Graded!U8</f>
        <v>0.62</v>
      </c>
      <c r="C67" s="37" t="n">
        <f aca="false">Reference_Values!B67</f>
        <v>0.62</v>
      </c>
      <c r="D67" s="38" t="n">
        <f aca="false">ABS(B67-C67)</f>
        <v>0</v>
      </c>
      <c r="E67" s="39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396</v>
      </c>
      <c r="B68" s="33" t="n">
        <f aca="false">Graded!U9</f>
        <v>0.630471192774234</v>
      </c>
      <c r="C68" s="37" t="n">
        <f aca="false">Reference_Values!B68</f>
        <v>0.630471192774234</v>
      </c>
      <c r="D68" s="38" t="n">
        <f aca="false">ABS(B68-C68)</f>
        <v>0</v>
      </c>
      <c r="E68" s="39" t="n">
        <v>1E-009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397</v>
      </c>
      <c r="B69" s="33" t="n">
        <f aca="false">Robust!C7</f>
        <v>143</v>
      </c>
      <c r="C69" s="37" t="n">
        <f aca="false">Reference_Values!B69</f>
        <v>143</v>
      </c>
      <c r="D69" s="38" t="n">
        <f aca="false">ABS(B69-C69)</f>
        <v>0</v>
      </c>
      <c r="E69" s="39" t="n">
        <v>1E-009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399</v>
      </c>
      <c r="B70" s="33" t="n">
        <f aca="false">Robust!D7</f>
        <v>231.6</v>
      </c>
      <c r="C70" s="37" t="n">
        <f aca="false">Reference_Values!B70</f>
        <v>231.6</v>
      </c>
      <c r="D70" s="38" t="n">
        <f aca="false">ABS(B70-C70)</f>
        <v>0</v>
      </c>
      <c r="E70" s="39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401</v>
      </c>
      <c r="B71" s="33" t="n">
        <f aca="false">Robust!J7</f>
        <v>231.6</v>
      </c>
      <c r="C71" s="37" t="n">
        <f aca="false">Reference_Values!B71</f>
        <v>231.6</v>
      </c>
      <c r="D71" s="38" t="n">
        <f aca="false">ABS(B71-C71)</f>
        <v>0</v>
      </c>
      <c r="E71" s="39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402</v>
      </c>
      <c r="B72" s="33" t="n">
        <f aca="false">Robust!K7</f>
        <v>0.449366513548311</v>
      </c>
      <c r="C72" s="37" t="n">
        <f aca="false">Reference_Values!B72</f>
        <v>0.449366513548312</v>
      </c>
      <c r="D72" s="38" t="n">
        <f aca="false">ABS(B72-C72)</f>
        <v>0</v>
      </c>
      <c r="E72" s="39" t="n">
        <v>1E-009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404</v>
      </c>
      <c r="B73" s="33" t="n">
        <f aca="false">Robust!L7</f>
        <v>10.5429321083865</v>
      </c>
      <c r="C73" s="37" t="n">
        <f aca="false">Reference_Values!B73</f>
        <v>10.5429321083865</v>
      </c>
      <c r="D73" s="38" t="n">
        <f aca="false">ABS(B73-C73)</f>
        <v>0</v>
      </c>
      <c r="E73" s="39" t="n">
        <v>1E-009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406</v>
      </c>
      <c r="B74" s="33" t="n">
        <f aca="false">Graded!U10</f>
        <v>10.5429321083865</v>
      </c>
      <c r="C74" s="37" t="n">
        <f aca="false">Reference_Values!B74</f>
        <v>10.5429321083865</v>
      </c>
      <c r="D74" s="38" t="n">
        <f aca="false">ABS(B74-C74)</f>
        <v>0</v>
      </c>
      <c r="E74" s="39" t="n">
        <v>1E-009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407</v>
      </c>
      <c r="B75" s="33" t="n">
        <f aca="false">Graded!U25</f>
        <v>0</v>
      </c>
      <c r="C75" s="37" t="n">
        <f aca="false">Reference_Values!B75</f>
        <v>0</v>
      </c>
      <c r="D75" s="38" t="n">
        <f aca="false">ABS(B75-C75)</f>
        <v>0</v>
      </c>
      <c r="E75" s="39" t="n">
        <v>0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408</v>
      </c>
      <c r="B76" s="33" t="n">
        <f aca="false">Graded!U12</f>
        <v>0.35</v>
      </c>
      <c r="C76" s="37" t="n">
        <f aca="false">Reference_Values!B76</f>
        <v>0.35</v>
      </c>
      <c r="D76" s="38" t="n">
        <f aca="false">ABS(B76-C76)</f>
        <v>0</v>
      </c>
      <c r="E76" s="39" t="n">
        <v>1E-009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410</v>
      </c>
      <c r="B77" s="33" t="n">
        <f aca="false">Robust!K8</f>
        <v>0.632372783669541</v>
      </c>
      <c r="C77" s="37" t="n">
        <f aca="false">Reference_Values!B77</f>
        <v>0.632372783669541</v>
      </c>
      <c r="D77" s="38" t="n">
        <f aca="false">ABS(B77-C77)</f>
        <v>0</v>
      </c>
      <c r="E77" s="39" t="n">
        <v>1E-009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412</v>
      </c>
      <c r="B78" s="33" t="n">
        <f aca="false">Robust!L8</f>
        <v>12.1689822693563</v>
      </c>
      <c r="C78" s="37" t="n">
        <f aca="false">Reference_Values!B78</f>
        <v>12.1689822693563</v>
      </c>
      <c r="D78" s="38" t="n">
        <f aca="false">ABS(B78-C78)</f>
        <v>0</v>
      </c>
      <c r="E78" s="39" t="n">
        <v>1E-009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414</v>
      </c>
      <c r="B79" s="33" t="n">
        <f aca="false">Graded!U13</f>
        <v>0.08</v>
      </c>
      <c r="C79" s="37" t="n">
        <f aca="false">Reference_Values!B79</f>
        <v>0.08</v>
      </c>
      <c r="D79" s="38" t="n">
        <f aca="false">ABS(B79-C79)</f>
        <v>0</v>
      </c>
      <c r="E79" s="39" t="n">
        <v>1E-009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416</v>
      </c>
      <c r="B80" s="33" t="n">
        <f aca="false">Robust!K9</f>
        <v>2.29418918462126</v>
      </c>
      <c r="C80" s="37" t="n">
        <f aca="false">Reference_Values!B80</f>
        <v>2.29418918462126</v>
      </c>
      <c r="D80" s="38" t="n">
        <f aca="false">ABS(B80-C80)</f>
        <v>0</v>
      </c>
      <c r="E80" s="39" t="n">
        <v>1E-009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418</v>
      </c>
      <c r="B81" s="33" t="n">
        <f aca="false">Robust!L9</f>
        <v>26.92151347697</v>
      </c>
      <c r="C81" s="37" t="n">
        <f aca="false">Reference_Values!B81</f>
        <v>26.9215134769701</v>
      </c>
      <c r="D81" s="38" t="n">
        <f aca="false">ABS(B81-C81)</f>
        <v>0</v>
      </c>
      <c r="E81" s="39" t="n">
        <v>1E-009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420</v>
      </c>
      <c r="B82" s="33" t="n">
        <f aca="false">Robust!K12</f>
        <v>4.27905501743871</v>
      </c>
      <c r="C82" s="37" t="n">
        <f aca="false">Reference_Values!B82</f>
        <v>4.27905501743871</v>
      </c>
      <c r="D82" s="38" t="n">
        <f aca="false">ABS(B82-C82)</f>
        <v>0</v>
      </c>
      <c r="E82" s="39" t="n">
        <v>1E-009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421</v>
      </c>
      <c r="B83" s="33" t="n">
        <f aca="false">Robust!L12</f>
        <v>37.2324401395097</v>
      </c>
      <c r="C83" s="37" t="n">
        <f aca="false">Reference_Values!B83</f>
        <v>37.2324401395097</v>
      </c>
      <c r="D83" s="38" t="n">
        <f aca="false">ABS(B83-C83)</f>
        <v>0</v>
      </c>
      <c r="E83" s="39" t="n">
        <v>1E-009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423</v>
      </c>
      <c r="B84" s="33" t="n">
        <f aca="false">Graded!U20</f>
        <v>0</v>
      </c>
      <c r="C84" s="37" t="n">
        <f aca="false">Reference_Values!B84</f>
        <v>0</v>
      </c>
      <c r="D84" s="38" t="n">
        <f aca="false">ABS(B84-C84)</f>
        <v>0</v>
      </c>
      <c r="E84" s="39" t="n">
        <v>0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424</v>
      </c>
      <c r="B85" s="33" t="n">
        <f aca="false">Graded!U21</f>
        <v>0.125848624903095</v>
      </c>
      <c r="C85" s="37" t="n">
        <f aca="false">Reference_Values!B85</f>
        <v>0.125848624903095</v>
      </c>
      <c r="D85" s="38" t="n">
        <f aca="false">ABS(B85-C85)</f>
        <v>0</v>
      </c>
      <c r="E85" s="39" t="n">
        <v>1E-009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425</v>
      </c>
      <c r="B86" s="33" t="n">
        <f aca="false">Frontier!F5</f>
        <v>23.0893316858253</v>
      </c>
      <c r="C86" s="37" t="n">
        <f aca="false">Reference_Values!B86</f>
        <v>23.0893316858253</v>
      </c>
      <c r="D86" s="38" t="n">
        <f aca="false">ABS(B86-C86)</f>
        <v>0</v>
      </c>
      <c r="E86" s="39" t="n">
        <v>1E-009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426</v>
      </c>
      <c r="B87" s="33" t="n">
        <f aca="false">Frontier!F6</f>
        <v>17.8608514478064</v>
      </c>
      <c r="C87" s="37" t="n">
        <f aca="false">Reference_Values!B87</f>
        <v>17.8608514478064</v>
      </c>
      <c r="D87" s="38" t="n">
        <f aca="false">ABS(B87-C87)</f>
        <v>0</v>
      </c>
      <c r="E87" s="39" t="n">
        <v>1E-009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427</v>
      </c>
      <c r="B88" s="33" t="n">
        <f aca="false">Frontier!F7</f>
        <v>14.6841240841621</v>
      </c>
      <c r="C88" s="37" t="n">
        <f aca="false">Reference_Values!B88</f>
        <v>14.6841240841621</v>
      </c>
      <c r="D88" s="38" t="n">
        <f aca="false">ABS(B88-C88)</f>
        <v>0</v>
      </c>
      <c r="E88" s="39" t="n">
        <v>1E-009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428</v>
      </c>
      <c r="B89" s="33" t="n">
        <f aca="false">Frontier!F8</f>
        <v>12.3504575918471</v>
      </c>
      <c r="C89" s="37" t="n">
        <f aca="false">Reference_Values!B89</f>
        <v>12.3504575918471</v>
      </c>
      <c r="D89" s="38" t="n">
        <f aca="false">ABS(B89-C89)</f>
        <v>0</v>
      </c>
      <c r="E89" s="39" t="n">
        <v>1E-009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429</v>
      </c>
      <c r="B90" s="33" t="n">
        <f aca="false">Frontier!F9</f>
        <v>10.440610891413</v>
      </c>
      <c r="C90" s="37" t="n">
        <f aca="false">Reference_Values!B90</f>
        <v>10.440610891413</v>
      </c>
      <c r="D90" s="38" t="n">
        <f aca="false">ABS(B90-C90)</f>
        <v>0</v>
      </c>
      <c r="E90" s="39" t="n">
        <v>1E-009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430</v>
      </c>
      <c r="B91" s="33" t="n">
        <f aca="false">Frontier!F10</f>
        <v>8.81941165496047</v>
      </c>
      <c r="C91" s="37" t="n">
        <f aca="false">Reference_Values!B91</f>
        <v>8.81941165496047</v>
      </c>
      <c r="D91" s="38" t="n">
        <f aca="false">ABS(B91-C91)</f>
        <v>0</v>
      </c>
      <c r="E91" s="39" t="n">
        <v>1E-009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431</v>
      </c>
      <c r="B92" s="33" t="n">
        <f aca="false">Frontier!F11</f>
        <v>6.25363772267895</v>
      </c>
      <c r="C92" s="37" t="n">
        <f aca="false">Reference_Values!B92</f>
        <v>6.25363772267895</v>
      </c>
      <c r="D92" s="38" t="n">
        <f aca="false">ABS(B92-C92)</f>
        <v>0</v>
      </c>
      <c r="E92" s="39" t="n">
        <v>1E-009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432</v>
      </c>
      <c r="B93" s="33" t="n">
        <f aca="false">Frontier!F12</f>
        <v>4.17137293000762</v>
      </c>
      <c r="C93" s="37" t="n">
        <f aca="false">Reference_Values!B93</f>
        <v>4.17137293000762</v>
      </c>
      <c r="D93" s="38" t="n">
        <f aca="false">ABS(B93-C93)</f>
        <v>0</v>
      </c>
      <c r="E93" s="39" t="n">
        <v>1E-009</v>
      </c>
      <c r="F93" s="4" t="str">
        <f aca="false">IF(D93&lt;=E93,"PASS","FAIL")</f>
        <v>PASS</v>
      </c>
    </row>
    <row r="94" customFormat="false" ht="15" hidden="false" customHeight="false" outlineLevel="0" collapsed="false">
      <c r="A94" s="2" t="s">
        <v>433</v>
      </c>
      <c r="B94" s="33" t="n">
        <f aca="false">Frontier!F13</f>
        <v>3</v>
      </c>
      <c r="C94" s="37" t="n">
        <f aca="false">Reference_Values!B94</f>
        <v>3</v>
      </c>
      <c r="D94" s="38" t="n">
        <f aca="false">ABS(B94-C94)</f>
        <v>0</v>
      </c>
      <c r="E94" s="39" t="n">
        <v>1E-009</v>
      </c>
      <c r="F94" s="4" t="str">
        <f aca="false">IF(D94&lt;=E94,"PASS","FAIL")</f>
        <v>PASS</v>
      </c>
    </row>
    <row r="95" customFormat="false" ht="15" hidden="false" customHeight="false" outlineLevel="0" collapsed="false">
      <c r="A95" s="2" t="s">
        <v>434</v>
      </c>
      <c r="B95" s="33" t="n">
        <f aca="false">Frontier!F14</f>
        <v>2.25</v>
      </c>
      <c r="C95" s="37" t="n">
        <f aca="false">Reference_Values!B95</f>
        <v>2.25</v>
      </c>
      <c r="D95" s="38" t="n">
        <f aca="false">ABS(B95-C95)</f>
        <v>0</v>
      </c>
      <c r="E95" s="39" t="n">
        <v>1E-009</v>
      </c>
      <c r="F95" s="4" t="str">
        <f aca="false">IF(D95&lt;=E95,"PASS","FAIL")</f>
        <v>PASS</v>
      </c>
    </row>
    <row r="96" customFormat="false" ht="15" hidden="false" customHeight="false" outlineLevel="0" collapsed="false">
      <c r="A96" s="2" t="s">
        <v>435</v>
      </c>
      <c r="B96" s="33" t="n">
        <f aca="false">Rules!I19</f>
        <v>-0.0440077838781277</v>
      </c>
      <c r="C96" s="37" t="n">
        <f aca="false">Reference_Values!B96</f>
        <v>-0.0440077838781277</v>
      </c>
      <c r="D96" s="38" t="n">
        <f aca="false">ABS(B96-C96)</f>
        <v>0</v>
      </c>
      <c r="E96" s="39" t="n">
        <v>1E-009</v>
      </c>
      <c r="F96" s="4" t="str">
        <f aca="false">IF(D96&lt;=E96,"PASS","FAIL")</f>
        <v>PASS</v>
      </c>
    </row>
    <row r="97" customFormat="false" ht="15" hidden="false" customHeight="false" outlineLevel="0" collapsed="false">
      <c r="A97" s="2" t="s">
        <v>436</v>
      </c>
      <c r="B97" s="33" t="n">
        <f aca="false">Rules!L19</f>
        <v>0</v>
      </c>
      <c r="C97" s="37" t="n">
        <f aca="false">Reference_Values!B97</f>
        <v>0</v>
      </c>
      <c r="D97" s="38" t="n">
        <f aca="false">ABS(B97-C97)</f>
        <v>0</v>
      </c>
      <c r="E97" s="39" t="n">
        <v>1E-009</v>
      </c>
      <c r="F97" s="4" t="str">
        <f aca="false">IF(D97&lt;=E97,"PASS","FAIL")</f>
        <v>PASS</v>
      </c>
    </row>
    <row r="98" customFormat="false" ht="15" hidden="false" customHeight="false" outlineLevel="0" collapsed="false">
      <c r="A98" s="2" t="s">
        <v>437</v>
      </c>
      <c r="B98" s="33" t="n">
        <f aca="false">Rules!M19</f>
        <v>0.00143977722346431</v>
      </c>
      <c r="C98" s="37" t="n">
        <f aca="false">Reference_Values!B98</f>
        <v>0.00143977722346431</v>
      </c>
      <c r="D98" s="38" t="n">
        <f aca="false">ABS(B98-C98)</f>
        <v>0</v>
      </c>
      <c r="E98" s="39" t="n">
        <v>1E-012</v>
      </c>
      <c r="F98" s="4" t="str">
        <f aca="false">IF(D98&lt;=E98,"PASS","FAIL")</f>
        <v>PASS</v>
      </c>
    </row>
    <row r="99" customFormat="false" ht="15" hidden="false" customHeight="false" outlineLevel="0" collapsed="false">
      <c r="A99" s="2" t="s">
        <v>438</v>
      </c>
      <c r="B99" s="33" t="n">
        <f aca="false">Rules!N19</f>
        <v>0.00154855847913478</v>
      </c>
      <c r="C99" s="37" t="n">
        <f aca="false">Reference_Values!B99</f>
        <v>0.00154855847913478</v>
      </c>
      <c r="D99" s="38" t="n">
        <f aca="false">ABS(B99-C99)</f>
        <v>0</v>
      </c>
      <c r="E99" s="39" t="n">
        <v>1E-012</v>
      </c>
      <c r="F99" s="4" t="str">
        <f aca="false">IF(D99&lt;=E99,"PASS","FAIL")</f>
        <v>PASS</v>
      </c>
    </row>
    <row r="100" customFormat="false" ht="15" hidden="false" customHeight="false" outlineLevel="0" collapsed="false">
      <c r="A100" s="2" t="s">
        <v>439</v>
      </c>
      <c r="B100" s="33" t="n">
        <f aca="false">Rules!I20</f>
        <v>7.23185428436013</v>
      </c>
      <c r="C100" s="37" t="n">
        <f aca="false">Reference_Values!B100</f>
        <v>7.23185428436013</v>
      </c>
      <c r="D100" s="38" t="n">
        <f aca="false">ABS(B100-C100)</f>
        <v>0</v>
      </c>
      <c r="E100" s="39" t="n">
        <v>1E-009</v>
      </c>
      <c r="F100" s="4" t="str">
        <f aca="false">IF(D100&lt;=E100,"PASS","FAIL")</f>
        <v>PASS</v>
      </c>
    </row>
    <row r="101" customFormat="false" ht="15" hidden="false" customHeight="false" outlineLevel="0" collapsed="false">
      <c r="A101" s="2" t="s">
        <v>440</v>
      </c>
      <c r="B101" s="33" t="n">
        <f aca="false">Rules!L20</f>
        <v>7.29148852926643</v>
      </c>
      <c r="C101" s="37" t="n">
        <f aca="false">Reference_Values!B101</f>
        <v>7.29148852926643</v>
      </c>
      <c r="D101" s="38" t="n">
        <f aca="false">ABS(B101-C101)</f>
        <v>0</v>
      </c>
      <c r="E101" s="39" t="n">
        <v>1E-009</v>
      </c>
      <c r="F101" s="4" t="str">
        <f aca="false">IF(D101&lt;=E101,"PASS","FAIL")</f>
        <v>PASS</v>
      </c>
    </row>
    <row r="102" customFormat="false" ht="15" hidden="false" customHeight="false" outlineLevel="0" collapsed="false">
      <c r="A102" s="2" t="s">
        <v>441</v>
      </c>
      <c r="B102" s="33" t="n">
        <f aca="false">Rules!M20</f>
        <v>0.0294848007869153</v>
      </c>
      <c r="C102" s="37" t="n">
        <f aca="false">Reference_Values!B102</f>
        <v>0.0294848007869153</v>
      </c>
      <c r="D102" s="38" t="n">
        <f aca="false">ABS(B102-C102)</f>
        <v>0</v>
      </c>
      <c r="E102" s="39" t="n">
        <v>1E-012</v>
      </c>
      <c r="F102" s="4" t="str">
        <f aca="false">IF(D102&lt;=E102,"PASS","FAIL")</f>
        <v>PASS</v>
      </c>
    </row>
    <row r="103" customFormat="false" ht="15" hidden="false" customHeight="false" outlineLevel="0" collapsed="false">
      <c r="A103" s="2" t="s">
        <v>442</v>
      </c>
      <c r="B103" s="33" t="n">
        <f aca="false">Rules!N20</f>
        <v>0.0289008617901499</v>
      </c>
      <c r="C103" s="37" t="n">
        <f aca="false">Reference_Values!B103</f>
        <v>0.0289008617901499</v>
      </c>
      <c r="D103" s="38" t="n">
        <f aca="false">ABS(B103-C103)</f>
        <v>0</v>
      </c>
      <c r="E103" s="39" t="n">
        <v>1E-012</v>
      </c>
      <c r="F103" s="4" t="str">
        <f aca="false">IF(D103&lt;=E103,"PASS","FAIL")</f>
        <v>PASS</v>
      </c>
    </row>
    <row r="104" customFormat="false" ht="15" hidden="false" customHeight="false" outlineLevel="0" collapsed="false">
      <c r="A104" s="2" t="s">
        <v>443</v>
      </c>
      <c r="B104" s="33" t="n">
        <f aca="false">Rules!I21</f>
        <v>-0.117220275026025</v>
      </c>
      <c r="C104" s="37" t="n">
        <f aca="false">Reference_Values!B104</f>
        <v>-0.117220275026025</v>
      </c>
      <c r="D104" s="38" t="n">
        <f aca="false">ABS(B104-C104)</f>
        <v>0</v>
      </c>
      <c r="E104" s="39" t="n">
        <v>1E-009</v>
      </c>
      <c r="F104" s="4" t="str">
        <f aca="false">IF(D104&lt;=E104,"PASS","FAIL")</f>
        <v>PASS</v>
      </c>
    </row>
    <row r="105" customFormat="false" ht="15" hidden="false" customHeight="false" outlineLevel="0" collapsed="false">
      <c r="A105" s="2" t="s">
        <v>444</v>
      </c>
      <c r="B105" s="33" t="n">
        <f aca="false">Rules!L21</f>
        <v>0</v>
      </c>
      <c r="C105" s="37" t="n">
        <f aca="false">Reference_Values!B105</f>
        <v>0</v>
      </c>
      <c r="D105" s="38" t="n">
        <f aca="false">ABS(B105-C105)</f>
        <v>0</v>
      </c>
      <c r="E105" s="39" t="n">
        <v>1E-009</v>
      </c>
      <c r="F105" s="4" t="str">
        <f aca="false">IF(D105&lt;=E105,"PASS","FAIL")</f>
        <v>PASS</v>
      </c>
    </row>
    <row r="106" customFormat="false" ht="15" hidden="false" customHeight="false" outlineLevel="0" collapsed="false">
      <c r="A106" s="2" t="s">
        <v>445</v>
      </c>
      <c r="B106" s="33" t="n">
        <f aca="false">Rules!M21</f>
        <v>0.0122336071713993</v>
      </c>
      <c r="C106" s="37" t="n">
        <f aca="false">Reference_Values!B106</f>
        <v>0.0122336071713993</v>
      </c>
      <c r="D106" s="38" t="n">
        <f aca="false">ABS(B106-C106)</f>
        <v>0</v>
      </c>
      <c r="E106" s="39" t="n">
        <v>1E-012</v>
      </c>
      <c r="F106" s="4" t="str">
        <f aca="false">IF(D106&lt;=E106,"PASS","FAIL")</f>
        <v>PASS</v>
      </c>
    </row>
    <row r="107" customFormat="false" ht="15" hidden="false" customHeight="false" outlineLevel="0" collapsed="false">
      <c r="A107" s="2" t="s">
        <v>446</v>
      </c>
      <c r="B107" s="33" t="n">
        <f aca="false">Rules!N21</f>
        <v>0.0155714853396994</v>
      </c>
      <c r="C107" s="37" t="n">
        <f aca="false">Reference_Values!B107</f>
        <v>0.0155714853396994</v>
      </c>
      <c r="D107" s="38" t="n">
        <f aca="false">ABS(B107-C107)</f>
        <v>0</v>
      </c>
      <c r="E107" s="39" t="n">
        <v>1E-012</v>
      </c>
      <c r="F107" s="4" t="str">
        <f aca="false">IF(D107&lt;=E107,"PASS","FAIL")</f>
        <v>PASS</v>
      </c>
    </row>
    <row r="108" customFormat="false" ht="15" hidden="false" customHeight="false" outlineLevel="0" collapsed="false">
      <c r="A108" s="2" t="s">
        <v>447</v>
      </c>
      <c r="B108" s="33" t="n">
        <f aca="false">Rules!I22</f>
        <v>9.53890167422636</v>
      </c>
      <c r="C108" s="37" t="n">
        <f aca="false">Reference_Values!B108</f>
        <v>9.53890167422636</v>
      </c>
      <c r="D108" s="38" t="n">
        <f aca="false">ABS(B108-C108)</f>
        <v>0</v>
      </c>
      <c r="E108" s="39" t="n">
        <v>1E-009</v>
      </c>
      <c r="F108" s="4" t="str">
        <f aca="false">IF(D108&lt;=E108,"PASS","FAIL")</f>
        <v>PASS</v>
      </c>
    </row>
    <row r="109" customFormat="false" ht="15" hidden="false" customHeight="false" outlineLevel="0" collapsed="false">
      <c r="A109" s="2" t="s">
        <v>448</v>
      </c>
      <c r="B109" s="33" t="n">
        <f aca="false">Rules!L22</f>
        <v>9.54148852926643</v>
      </c>
      <c r="C109" s="37" t="n">
        <f aca="false">Reference_Values!B109</f>
        <v>9.54148852926643</v>
      </c>
      <c r="D109" s="38" t="n">
        <f aca="false">ABS(B109-C109)</f>
        <v>0</v>
      </c>
      <c r="E109" s="39" t="n">
        <v>1E-009</v>
      </c>
      <c r="F109" s="4" t="str">
        <f aca="false">IF(D109&lt;=E109,"PASS","FAIL")</f>
        <v>PASS</v>
      </c>
    </row>
    <row r="110" customFormat="false" ht="15" hidden="false" customHeight="false" outlineLevel="0" collapsed="false">
      <c r="A110" s="2" t="s">
        <v>449</v>
      </c>
      <c r="B110" s="33" t="n">
        <f aca="false">Rules!M22</f>
        <v>0.031523044658354</v>
      </c>
      <c r="C110" s="37" t="n">
        <f aca="false">Reference_Values!B110</f>
        <v>0.0315230446583541</v>
      </c>
      <c r="D110" s="38" t="n">
        <f aca="false">ABS(B110-C110)</f>
        <v>0</v>
      </c>
      <c r="E110" s="39" t="n">
        <v>1E-012</v>
      </c>
      <c r="F110" s="4" t="str">
        <f aca="false">IF(D110&lt;=E110,"PASS","FAIL")</f>
        <v>PASS</v>
      </c>
    </row>
    <row r="111" customFormat="false" ht="15" hidden="false" customHeight="false" outlineLevel="0" collapsed="false">
      <c r="A111" s="2" t="s">
        <v>450</v>
      </c>
      <c r="B111" s="33" t="n">
        <f aca="false">Rules!N22</f>
        <v>0.029865496606938</v>
      </c>
      <c r="C111" s="37" t="n">
        <f aca="false">Reference_Values!B111</f>
        <v>0.029865496606938</v>
      </c>
      <c r="D111" s="38" t="n">
        <f aca="false">ABS(B111-C111)</f>
        <v>0</v>
      </c>
      <c r="E111" s="39" t="n">
        <v>1E-012</v>
      </c>
      <c r="F111" s="4" t="str">
        <f aca="false">IF(D111&lt;=E111,"PASS","FAIL")</f>
        <v>PASS</v>
      </c>
    </row>
    <row r="112" customFormat="false" ht="15" hidden="false" customHeight="false" outlineLevel="0" collapsed="false">
      <c r="A112" s="2" t="s">
        <v>451</v>
      </c>
      <c r="B112" s="33" t="n">
        <f aca="false">Rules!I23</f>
        <v>14.0510397120997</v>
      </c>
      <c r="C112" s="37" t="n">
        <f aca="false">Reference_Values!B112</f>
        <v>14.0510397120997</v>
      </c>
      <c r="D112" s="38" t="n">
        <f aca="false">ABS(B112-C112)</f>
        <v>0</v>
      </c>
      <c r="E112" s="39" t="n">
        <v>1E-009</v>
      </c>
      <c r="F112" s="4" t="str">
        <f aca="false">IF(D112&lt;=E112,"PASS","FAIL")</f>
        <v>PASS</v>
      </c>
    </row>
    <row r="113" customFormat="false" ht="15" hidden="false" customHeight="false" outlineLevel="0" collapsed="false">
      <c r="A113" s="2" t="s">
        <v>452</v>
      </c>
      <c r="B113" s="33" t="n">
        <f aca="false">Rules!L23</f>
        <v>14.0059554752831</v>
      </c>
      <c r="C113" s="37" t="n">
        <f aca="false">Reference_Values!B113</f>
        <v>14.0059554752831</v>
      </c>
      <c r="D113" s="38" t="n">
        <f aca="false">ABS(B113-C113)</f>
        <v>0</v>
      </c>
      <c r="E113" s="39" t="n">
        <v>1E-009</v>
      </c>
      <c r="F113" s="4" t="str">
        <f aca="false">IF(D113&lt;=E113,"PASS","FAIL")</f>
        <v>PASS</v>
      </c>
    </row>
    <row r="114" customFormat="false" ht="15" hidden="false" customHeight="false" outlineLevel="0" collapsed="false">
      <c r="A114" s="2" t="s">
        <v>453</v>
      </c>
      <c r="B114" s="33" t="n">
        <f aca="false">Rules!M23</f>
        <v>0.328798809688812</v>
      </c>
      <c r="C114" s="37" t="n">
        <f aca="false">Reference_Values!B114</f>
        <v>0.328798809688812</v>
      </c>
      <c r="D114" s="38" t="n">
        <f aca="false">ABS(B114-C114)</f>
        <v>0</v>
      </c>
      <c r="E114" s="39" t="n">
        <v>1E-012</v>
      </c>
      <c r="F114" s="4" t="str">
        <f aca="false">IF(D114&lt;=E114,"PASS","FAIL")</f>
        <v>PASS</v>
      </c>
    </row>
    <row r="115" customFormat="false" ht="15" hidden="false" customHeight="false" outlineLevel="0" collapsed="false">
      <c r="A115" s="2" t="s">
        <v>454</v>
      </c>
      <c r="B115" s="33" t="n">
        <f aca="false">Rules!N23</f>
        <v>0.0299919589183159</v>
      </c>
      <c r="C115" s="37" t="n">
        <f aca="false">Reference_Values!B115</f>
        <v>0.0299919589183159</v>
      </c>
      <c r="D115" s="38" t="n">
        <f aca="false">ABS(B115-C115)</f>
        <v>0</v>
      </c>
      <c r="E115" s="39" t="n">
        <v>1E-012</v>
      </c>
      <c r="F115" s="4" t="str">
        <f aca="false">IF(D115&lt;=E115,"PASS","FAIL")</f>
        <v>PASS</v>
      </c>
    </row>
    <row r="116" customFormat="false" ht="15" hidden="false" customHeight="false" outlineLevel="0" collapsed="false">
      <c r="A116" s="2" t="s">
        <v>455</v>
      </c>
      <c r="B116" s="33" t="n">
        <f aca="false">Rules!I24</f>
        <v>24.5506343568029</v>
      </c>
      <c r="C116" s="37" t="n">
        <f aca="false">Reference_Values!B116</f>
        <v>24.5506343568029</v>
      </c>
      <c r="D116" s="38" t="n">
        <f aca="false">ABS(B116-C116)</f>
        <v>0</v>
      </c>
      <c r="E116" s="39" t="n">
        <v>1E-009</v>
      </c>
      <c r="F116" s="4" t="str">
        <f aca="false">IF(D116&lt;=E116,"PASS","FAIL")</f>
        <v>PASS</v>
      </c>
    </row>
    <row r="117" customFormat="false" ht="15" hidden="false" customHeight="false" outlineLevel="0" collapsed="false">
      <c r="A117" s="2" t="s">
        <v>456</v>
      </c>
      <c r="B117" s="33" t="n">
        <f aca="false">Rules!L24</f>
        <v>24.5059554752831</v>
      </c>
      <c r="C117" s="37" t="n">
        <f aca="false">Reference_Values!B117</f>
        <v>24.5059554752831</v>
      </c>
      <c r="D117" s="38" t="n">
        <f aca="false">ABS(B117-C117)</f>
        <v>0</v>
      </c>
      <c r="E117" s="39" t="n">
        <v>1E-009</v>
      </c>
      <c r="F117" s="4" t="str">
        <f aca="false">IF(D117&lt;=E117,"PASS","FAIL")</f>
        <v>PASS</v>
      </c>
    </row>
    <row r="118" customFormat="false" ht="15" hidden="false" customHeight="false" outlineLevel="0" collapsed="false">
      <c r="A118" s="2" t="s">
        <v>457</v>
      </c>
      <c r="B118" s="33" t="n">
        <f aca="false">Rules!M24</f>
        <v>0.328847688965146</v>
      </c>
      <c r="C118" s="37" t="n">
        <f aca="false">Reference_Values!B118</f>
        <v>0.328847688965146</v>
      </c>
      <c r="D118" s="38" t="n">
        <f aca="false">ABS(B118-C118)</f>
        <v>0</v>
      </c>
      <c r="E118" s="39" t="n">
        <v>1E-012</v>
      </c>
      <c r="F118" s="4" t="str">
        <f aca="false">IF(D118&lt;=E118,"PASS","FAIL")</f>
        <v>PASS</v>
      </c>
    </row>
    <row r="119" customFormat="false" ht="15" hidden="false" customHeight="false" outlineLevel="0" collapsed="false">
      <c r="A119" s="2" t="s">
        <v>458</v>
      </c>
      <c r="B119" s="33" t="n">
        <f aca="false">Rules!N24</f>
        <v>0.0299999544434184</v>
      </c>
      <c r="C119" s="37" t="n">
        <f aca="false">Reference_Values!B119</f>
        <v>0.0299999544434184</v>
      </c>
      <c r="D119" s="38" t="n">
        <f aca="false">ABS(B119-C119)</f>
        <v>0</v>
      </c>
      <c r="E119" s="39" t="n">
        <v>1E-012</v>
      </c>
      <c r="F119" s="4" t="str">
        <f aca="false">IF(D119&lt;=E119,"PASS","FAIL")</f>
        <v>PASS</v>
      </c>
    </row>
    <row r="120" customFormat="false" ht="15" hidden="false" customHeight="false" outlineLevel="0" collapsed="false">
      <c r="A120" s="2" t="s">
        <v>459</v>
      </c>
      <c r="B120" s="33" t="n">
        <f aca="false">Rules!I25</f>
        <v>39.5761791934115</v>
      </c>
      <c r="C120" s="37" t="n">
        <f aca="false">Reference_Values!B120</f>
        <v>39.5761791934115</v>
      </c>
      <c r="D120" s="38" t="n">
        <f aca="false">ABS(B120-C120)</f>
        <v>0</v>
      </c>
      <c r="E120" s="39" t="n">
        <v>1E-009</v>
      </c>
      <c r="F120" s="4" t="str">
        <f aca="false">IF(D120&lt;=E120,"PASS","FAIL")</f>
        <v>PASS</v>
      </c>
    </row>
    <row r="121" customFormat="false" ht="15" hidden="false" customHeight="false" outlineLevel="0" collapsed="false">
      <c r="A121" s="2" t="s">
        <v>460</v>
      </c>
      <c r="B121" s="33" t="n">
        <f aca="false">Rules!L25</f>
        <v>39.5762430065243</v>
      </c>
      <c r="C121" s="37" t="n">
        <f aca="false">Reference_Values!B121</f>
        <v>39.5762430065243</v>
      </c>
      <c r="D121" s="38" t="n">
        <f aca="false">ABS(B121-C121)</f>
        <v>0</v>
      </c>
      <c r="E121" s="39" t="n">
        <v>1E-009</v>
      </c>
      <c r="F121" s="4" t="str">
        <f aca="false">IF(D121&lt;=E121,"PASS","FAIL")</f>
        <v>PASS</v>
      </c>
    </row>
    <row r="122" customFormat="false" ht="15" hidden="false" customHeight="false" outlineLevel="0" collapsed="false">
      <c r="A122" s="2" t="s">
        <v>461</v>
      </c>
      <c r="B122" s="33" t="n">
        <f aca="false">Rules!M25</f>
        <v>0.353107030734966</v>
      </c>
      <c r="C122" s="37" t="n">
        <f aca="false">Reference_Values!B122</f>
        <v>0.353107030734966</v>
      </c>
      <c r="D122" s="38" t="n">
        <f aca="false">ABS(B122-C122)</f>
        <v>0</v>
      </c>
      <c r="E122" s="39" t="n">
        <v>1E-012</v>
      </c>
      <c r="F122" s="4" t="str">
        <f aca="false">IF(D122&lt;=E122,"PASS","FAIL")</f>
        <v>PASS</v>
      </c>
    </row>
    <row r="123" customFormat="false" ht="15" hidden="false" customHeight="false" outlineLevel="0" collapsed="false">
      <c r="A123" s="2" t="s">
        <v>462</v>
      </c>
      <c r="B123" s="33" t="n">
        <f aca="false">Rules!N25</f>
        <v>0.03</v>
      </c>
      <c r="C123" s="37" t="n">
        <f aca="false">Reference_Values!B123</f>
        <v>0.03</v>
      </c>
      <c r="D123" s="38" t="n">
        <f aca="false">ABS(B123-C123)</f>
        <v>0</v>
      </c>
      <c r="E123" s="39" t="n">
        <v>1E-012</v>
      </c>
      <c r="F123" s="4" t="str">
        <f aca="false">IF(D123&lt;=E123,"PASS","FAIL")</f>
        <v>PASS</v>
      </c>
    </row>
    <row r="124" customFormat="false" ht="15" hidden="false" customHeight="false" outlineLevel="0" collapsed="false">
      <c r="A124" s="2" t="s">
        <v>463</v>
      </c>
      <c r="B124" s="33" t="n">
        <f aca="false">Rules!I26</f>
        <v>50.0761791934115</v>
      </c>
      <c r="C124" s="37" t="n">
        <f aca="false">Reference_Values!B124</f>
        <v>50.0761791934115</v>
      </c>
      <c r="D124" s="38" t="n">
        <f aca="false">ABS(B124-C124)</f>
        <v>0</v>
      </c>
      <c r="E124" s="39" t="n">
        <v>1E-009</v>
      </c>
      <c r="F124" s="4" t="str">
        <f aca="false">IF(D124&lt;=E124,"PASS","FAIL")</f>
        <v>PASS</v>
      </c>
    </row>
    <row r="125" customFormat="false" ht="15" hidden="false" customHeight="false" outlineLevel="0" collapsed="false">
      <c r="A125" s="2" t="s">
        <v>464</v>
      </c>
      <c r="B125" s="33" t="n">
        <f aca="false">Rules!L26</f>
        <v>50.0762430065243</v>
      </c>
      <c r="C125" s="37" t="n">
        <f aca="false">Reference_Values!B125</f>
        <v>50.0762430065243</v>
      </c>
      <c r="D125" s="38" t="n">
        <f aca="false">ABS(B125-C125)</f>
        <v>0</v>
      </c>
      <c r="E125" s="39" t="n">
        <v>1E-009</v>
      </c>
      <c r="F125" s="4" t="str">
        <f aca="false">IF(D125&lt;=E125,"PASS","FAIL")</f>
        <v>PASS</v>
      </c>
    </row>
    <row r="126" customFormat="false" ht="15" hidden="false" customHeight="false" outlineLevel="0" collapsed="false">
      <c r="A126" s="2" t="s">
        <v>465</v>
      </c>
      <c r="B126" s="33" t="n">
        <f aca="false">Rules!M26</f>
        <v>0.353107030734966</v>
      </c>
      <c r="C126" s="37" t="n">
        <f aca="false">Reference_Values!B126</f>
        <v>0.353107030734966</v>
      </c>
      <c r="D126" s="38" t="n">
        <f aca="false">ABS(B126-C126)</f>
        <v>0</v>
      </c>
      <c r="E126" s="39" t="n">
        <v>1E-012</v>
      </c>
      <c r="F126" s="4" t="str">
        <f aca="false">IF(D126&lt;=E126,"PASS","FAIL")</f>
        <v>PASS</v>
      </c>
    </row>
    <row r="127" customFormat="false" ht="15" hidden="false" customHeight="false" outlineLevel="0" collapsed="false">
      <c r="A127" s="2" t="s">
        <v>466</v>
      </c>
      <c r="B127" s="33" t="n">
        <f aca="false">Rules!N26</f>
        <v>0.03</v>
      </c>
      <c r="C127" s="37" t="n">
        <f aca="false">Reference_Values!B127</f>
        <v>0.03</v>
      </c>
      <c r="D127" s="38" t="n">
        <f aca="false">ABS(B127-C127)</f>
        <v>0</v>
      </c>
      <c r="E127" s="39" t="n">
        <v>1E-012</v>
      </c>
      <c r="F127" s="4" t="str">
        <f aca="false">IF(D127&lt;=E127,"PASS","FAIL")</f>
        <v>PASS</v>
      </c>
    </row>
    <row r="128" customFormat="false" ht="15" hidden="false" customHeight="false" outlineLevel="0" collapsed="false">
      <c r="A128" s="2" t="s">
        <v>467</v>
      </c>
      <c r="B128" s="33" t="n">
        <f aca="false">Rules!B58</f>
        <v>8.98678546622769</v>
      </c>
      <c r="C128" s="37" t="n">
        <f aca="false">Reference_Values!B128</f>
        <v>8.98678546622769</v>
      </c>
      <c r="D128" s="38" t="n">
        <f aca="false">ABS(B128-C128)</f>
        <v>0</v>
      </c>
      <c r="E128" s="39" t="n">
        <v>1E-009</v>
      </c>
      <c r="F128" s="4" t="str">
        <f aca="false">IF(D128&lt;=E128,"PASS","FAIL")</f>
        <v>PASS</v>
      </c>
    </row>
    <row r="129" customFormat="false" ht="15" hidden="false" customHeight="false" outlineLevel="0" collapsed="false">
      <c r="A129" s="2" t="s">
        <v>469</v>
      </c>
      <c r="B129" s="33" t="n">
        <f aca="false">Rules!B62</f>
        <v>9.51889866773993</v>
      </c>
      <c r="C129" s="37" t="n">
        <f aca="false">Reference_Values!B129</f>
        <v>9.51889866773994</v>
      </c>
      <c r="D129" s="38" t="n">
        <f aca="false">ABS(B129-C129)</f>
        <v>0</v>
      </c>
      <c r="E129" s="39" t="n">
        <v>1E-009</v>
      </c>
      <c r="F129" s="4" t="str">
        <f aca="false">IF(D129&lt;=E129,"PASS","FAIL")</f>
        <v>PASS</v>
      </c>
    </row>
    <row r="130" customFormat="false" ht="15" hidden="false" customHeight="false" outlineLevel="0" collapsed="false">
      <c r="A130" s="2" t="s">
        <v>471</v>
      </c>
      <c r="B130" s="33" t="n">
        <f aca="false">Rules!B61</f>
        <v>230</v>
      </c>
      <c r="C130" s="37" t="n">
        <f aca="false">Reference_Values!B130</f>
        <v>230</v>
      </c>
      <c r="D130" s="38" t="n">
        <f aca="false">ABS(B130-C130)</f>
        <v>0</v>
      </c>
      <c r="E130" s="39" t="n">
        <v>1E-009</v>
      </c>
      <c r="F130" s="4" t="str">
        <f aca="false">IF(D130&lt;=E130,"PASS","FAIL")</f>
        <v>PASS</v>
      </c>
    </row>
    <row r="131" customFormat="false" ht="15" hidden="false" customHeight="false" outlineLevel="0" collapsed="false">
      <c r="A131" s="2" t="s">
        <v>473</v>
      </c>
      <c r="B131" s="33" t="n">
        <f aca="false">Rules!B59</f>
        <v>0.327362333467492</v>
      </c>
      <c r="C131" s="37" t="n">
        <f aca="false">Reference_Values!B131</f>
        <v>0.327362333467492</v>
      </c>
      <c r="D131" s="38" t="n">
        <f aca="false">ABS(B131-C131)</f>
        <v>0</v>
      </c>
      <c r="E131" s="39" t="n">
        <v>1E-009</v>
      </c>
      <c r="F131" s="4" t="str">
        <f aca="false">IF(D131&lt;=E131,"PASS","FAIL")</f>
        <v>PASS</v>
      </c>
    </row>
    <row r="132" customFormat="false" ht="15" hidden="false" customHeight="false" outlineLevel="0" collapsed="false">
      <c r="A132" s="2" t="s">
        <v>475</v>
      </c>
      <c r="B132" s="33" t="n">
        <f aca="false">Robust!L11</f>
        <v>9.51889866773993</v>
      </c>
      <c r="C132" s="37" t="n">
        <f aca="false">Reference_Values!B132</f>
        <v>9.51889866773994</v>
      </c>
      <c r="D132" s="38" t="n">
        <f aca="false">ABS(B132-C132)</f>
        <v>0</v>
      </c>
      <c r="E132" s="39" t="n">
        <v>1E-009</v>
      </c>
      <c r="F132" s="4" t="str">
        <f aca="false">IF(D132&lt;=E132,"PASS","FAIL")</f>
        <v>PASS</v>
      </c>
    </row>
    <row r="133" customFormat="false" ht="15" hidden="false" customHeight="false" outlineLevel="0" collapsed="false">
      <c r="A133" s="2" t="s">
        <v>477</v>
      </c>
      <c r="B133" s="33" t="n">
        <f aca="false">Rules!C58</f>
        <v>2.13796492931363</v>
      </c>
      <c r="C133" s="37" t="n">
        <f aca="false">Reference_Values!B133</f>
        <v>2.13796492931363</v>
      </c>
      <c r="D133" s="38" t="n">
        <f aca="false">ABS(B133-C133)</f>
        <v>0</v>
      </c>
      <c r="E133" s="39" t="n">
        <v>1E-009</v>
      </c>
      <c r="F133" s="4" t="str">
        <f aca="false">IF(D133&lt;=E133,"PASS","FAIL")</f>
        <v>PASS</v>
      </c>
    </row>
    <row r="134" customFormat="false" ht="15" hidden="false" customHeight="false" outlineLevel="0" collapsed="false">
      <c r="A134" s="2" t="s">
        <v>479</v>
      </c>
      <c r="B134" s="33" t="n">
        <f aca="false">ABS(Rules!C63)</f>
        <v>0.954211337348707</v>
      </c>
      <c r="C134" s="37" t="n">
        <f aca="false">Reference_Values!B134</f>
        <v>0.954211337348707</v>
      </c>
      <c r="D134" s="38" t="n">
        <f aca="false">ABS(B134-C134)</f>
        <v>0</v>
      </c>
      <c r="E134" s="39" t="n">
        <v>1E-009</v>
      </c>
      <c r="F134" s="4" t="str">
        <f aca="false">IF(D134&lt;=E134,"PASS","FAIL")</f>
        <v>PASS</v>
      </c>
    </row>
    <row r="136" customFormat="false" ht="15" hidden="false" customHeight="false" outlineLevel="0" collapsed="false">
      <c r="A136" s="4" t="s">
        <v>485</v>
      </c>
      <c r="F136" s="4" t="str">
        <f aca="false">IF(COUNTIF(F2:F134,"PASS")=133,"ALL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2026-10-05T17:42:19Z</dcterms:created>
  <dc:creator>openpyxl</dc:creator>
  <dc:description/>
  <dc:language>en-US</dc:language>
  <cp:lastModifiedBy/>
  <dcterms:modified xsi:type="dcterms:W3CDTF">2026-10-05T17:42:19Z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