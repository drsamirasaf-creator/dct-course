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Records" sheetId="3" state="visible" r:id="rId5"/>
    <sheet name="Family" sheetId="4" state="visible" r:id="rId6"/>
    <sheet name="Divergence" sheetId="5" state="visible" r:id="rId7"/>
    <sheet name="KL_Bisection" sheetId="6" state="visible" r:id="rId8"/>
    <sheet name="Wasserstein" sheetId="7" state="visible" r:id="rId9"/>
    <sheet name="Records1000" sheetId="8" state="visible" r:id="rId10"/>
    <sheet name="Moments" sheetId="9" state="visible" r:id="rId11"/>
    <sheet name="PriceTheDoubt" sheetId="10" state="visible" r:id="rId12"/>
    <sheet name="Reference_Values" sheetId="11" state="visible" r:id="rId13"/>
    <sheet name="Checks" sheetId="12" state="visible" r:id="rId14"/>
  </sheets>
  <definedNames>
    <definedName function="false" hidden="false" name="Alpha" vbProcedure="false">Declarations!$B$19</definedName>
    <definedName function="false" hidden="false" name="Conf" vbProcedure="false">Declarations!$B$28</definedName>
    <definedName function="false" hidden="false" name="Depth0" vbProcedure="false">Declarations!$B$15</definedName>
    <definedName function="false" hidden="false" name="DPQ" vbProcedure="false">Declarations!$B$16</definedName>
    <definedName function="false" hidden="false" name="Fee" vbProcedure="false">Declarations!$B$13</definedName>
    <definedName function="false" hidden="false" name="FloorL" vbProcedure="false">Declarations!$B$7</definedName>
    <definedName function="false" hidden="false" name="H_yrs" vbProcedure="false">Declarations!$B$4</definedName>
    <definedName function="false" hidden="false" name="Lam0" vbProcedure="false">Declarations!$B$10</definedName>
    <definedName function="false" hidden="false" name="LamL" vbProcedure="false">Records!$B$7</definedName>
    <definedName function="false" hidden="false" name="LamU" vbProcedure="false">Records!$B$5</definedName>
    <definedName function="false" hidden="false" name="LamU2" vbProcedure="false">Records!$B$12</definedName>
    <definedName function="false" hidden="false" name="NCl" vbProcedure="false">Declarations!$B$23</definedName>
    <definedName function="false" hidden="false" name="NCl2" vbProcedure="false">Declarations!$B$29</definedName>
    <definedName function="false" hidden="false" name="NInn" vbProcedure="false">Declarations!$B$26</definedName>
    <definedName function="false" hidden="false" name="NInn2" vbProcedure="false">Declarations!$B$32</definedName>
    <definedName function="false" hidden="false" name="NPaths" vbProcedure="false">Declarations!$B$6</definedName>
    <definedName function="false" hidden="false" name="NQ" vbProcedure="false">Declarations!$B$5</definedName>
    <definedName function="false" hidden="false" name="PerPt" vbProcedure="false">Declarations!$B$17</definedName>
    <definedName function="false" hidden="false" name="RMS" vbProcedure="false">Declarations!$B$27</definedName>
    <definedName function="false" hidden="false" name="Sig0" vbProcedure="false">Declarations!$B$9</definedName>
    <definedName function="false" hidden="false" name="SigL" vbProcedure="false">Records!$B$8</definedName>
    <definedName function="false" hidden="false" name="SigL2" vbProcedure="false">Records!$B$14</definedName>
    <definedName function="false" hidden="false" name="SigU" vbProcedure="false">Records!$B$9</definedName>
    <definedName function="false" hidden="false" name="SigU2" vbProcedure="false">Records!$B$13</definedName>
    <definedName function="false" hidden="false" name="Tpk" vbProcedure="false">Declarations!$B$18</definedName>
    <definedName function="false" hidden="false" name="TYrs" vbProcedure="false">Declarations!$B$24</definedName>
    <definedName function="false" hidden="false" name="TYrs2" vbProcedure="false">Declarations!$B$30</definedName>
    <definedName function="false" hidden="false" name="VQ" vbProcedure="false">Declarations!$B$14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<sst xmlns="http://schemas.openxmlformats.org/spreadsheetml/2006/main" count="694" uniqueCount="460">
  <si>
    <t xml:space="preserve">DCT Laboratory — Vol II, Ch 11: Distributionally Robust Enterprise Optimization</t>
  </si>
  <si>
    <t xml:space="preserve">Seed 26211 · Companion to DCT_V2_Ch11_Lab.ipynb and AXIOM Lab 2.11 (module AXIOM-11). Money in $ million.</t>
  </si>
  <si>
    <t xml:space="preserve">Worked Example 11.1, How Much Should Meridian Trust Its Law?, with the book's declarations: Chapter 9's law, levers and floor; the treasury's record (two closures in twenty years) and the engineering office's (forty quarters of deviations). Chances are simulated on Chapter 9's 100,000 paths (seed 8) and checked on its 100,000 fresh paths (seed 26209); a higher rate adds closures from seeds 1108 and 26208 (Online Appendix Remark 11.B.1).</t>
  </si>
  <si>
    <t xml:space="preserve">Declarations: the law, the levers and their prices, the records.</t>
  </si>
  <si>
    <t xml:space="preserve">Records: Garwood's bound for the rate and the chi-square bounds for the spread, Bonferroni's confidence, Garwood's exact coverage, and Volume I's package under the laws the records allow (Proposition 11.2; Step 1).</t>
  </si>
  <si>
    <t xml:space="preserve">Family: the cheapest package at each declaration's worst law, its cost, the price of ambiguity and the value of a longer record; the family's package on the 49-law grid (Theorem 11.1(iv); Step 2).</t>
  </si>
  <si>
    <t xml:space="preserve">Divergence and KL_Bisection: the radii of the records' doubts, kl(q || p), the law's appetite alpha'(d) and the worst chance q*(p, d) by bisection, the ball's packages, and a ball of any radius (Theorem 11.2; Figure 11.1; Step 3).</t>
  </si>
  <si>
    <t xml:space="preserve">Wasserstein: the thinnest-margin requirement eps / 0.05, the ball's packages, and the radius that holds the spread's doubt (Theorem 11.3; Figure 11.2(a); Step 3).</t>
  </si>
  <si>
    <t xml:space="preserve">Records1000: designs on 200 records of 1,000 paths with margins and radii, and reliability per dollar (Figure 11.2(b); Step 4).</t>
  </si>
  <si>
    <t xml:space="preserve">Moments: Cantelli's bounds quarter by quarter, the 4.36 multiplier and the moment package's delay and cost (Proposition 11.1; Section 11.4).</t>
  </si>
  <si>
    <t xml:space="preserve">PriceTheDoubt: Table 11.3, every declaration's package, its chances under the law and the records' worst law, the fresh paths' gaps and the standard errors (Step 5).</t>
  </si>
  <si>
    <t xml:space="preserve">Engine values (green) are what needs the simulated paths: chances, the designs' lines and delays, the margins' means and spreads, the records of 1,000 paths. Everything else is a formula.</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</si>
  <si>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</si>
  <si>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</si>
  <si>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</si>
  <si>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</si>
  <si>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</si>
  <si>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</si>
  <si>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11.1, Step 1; Chapter 9's law and levers; the records behind the law). Money in $ million.</t>
  </si>
  <si>
    <t xml:space="preserve">Quantity</t>
  </si>
  <si>
    <t xml:space="preserve">Value</t>
  </si>
  <si>
    <t xml:space="preserve">Source</t>
  </si>
  <si>
    <t xml:space="preserve">Years in the program, H</t>
  </si>
  <si>
    <t xml:space="preserve">Twelve quarters</t>
  </si>
  <si>
    <t xml:space="preserve">Quarters in the program</t>
  </si>
  <si>
    <t xml:space="preserve">Paths (the book's, seed 8; fresh, seed 26209)</t>
  </si>
  <si>
    <t xml:space="preserve">Chapter 9's law</t>
  </si>
  <si>
    <t xml:space="preserve">Floor</t>
  </si>
  <si>
    <t xml:space="preserve">The board's floor, in every quarter</t>
  </si>
  <si>
    <t xml:space="preserve">Persistence of a deviation a quarter</t>
  </si>
  <si>
    <t xml:space="preserve">E' = 0.6 E + w (Volume I, Chapter 8)</t>
  </si>
  <si>
    <t xml:space="preserve">Declared spread of the innovations w, a quarter</t>
  </si>
  <si>
    <t xml:space="preserve">The engineering office's record</t>
  </si>
  <si>
    <t xml:space="preserve">Declared rate of funding-window closures, a year</t>
  </si>
  <si>
    <t xml:space="preserve">The treasury's record</t>
  </si>
  <si>
    <t xml:space="preserve">Closure size: mean</t>
  </si>
  <si>
    <t xml:space="preserve">Gamma-distributed, never recovered</t>
  </si>
  <si>
    <t xml:space="preserve">Closure size: standard deviation</t>
  </si>
  <si>
    <t xml:space="preserve">Line fees over the program, per $ of line</t>
  </si>
  <si>
    <t xml:space="preserve">The treasury</t>
  </si>
  <si>
    <t xml:space="preserve">A quarter of delay</t>
  </si>
  <si>
    <t xml:space="preserve">The transformation office</t>
  </si>
  <si>
    <t xml:space="preserve">The draw's depth (index points)</t>
  </si>
  <si>
    <t xml:space="preserve">Deepest at two years</t>
  </si>
  <si>
    <t xml:space="preserve">Depth cut by a quarter of delay (points)</t>
  </si>
  <si>
    <t xml:space="preserve">$ million per index point</t>
  </si>
  <si>
    <t xml:space="preserve">Index 100 = $620 million</t>
  </si>
  <si>
    <t xml:space="preserve">The draw is deepest at (years)</t>
  </si>
  <si>
    <t xml:space="preserve">Shape S(t) = (t/2) e^(1 - t/2)</t>
  </si>
  <si>
    <t xml:space="preserve">The appetite</t>
  </si>
  <si>
    <t xml:space="preserve">At most a 5 percent chance of a breach in some quarter</t>
  </si>
  <si>
    <t xml:space="preserve">The extra stream's rate ceiling (a year)</t>
  </si>
  <si>
    <t xml:space="preserve">Online Appendix Remark 11.B.1: a higher rate adds closures from an extra stream at 0.40 - 0.10, thinned</t>
  </si>
  <si>
    <t xml:space="preserve">The records (Worked Example 11.1, Step 1; Proposition 11.2)</t>
  </si>
  <si>
    <t xml:space="preserve">The treasury's record: closures</t>
  </si>
  <si>
    <t xml:space="preserve">Two closures...</t>
  </si>
  <si>
    <t xml:space="preserve">  in years of history</t>
  </si>
  <si>
    <t xml:space="preserve">...in twenty years: the declared 0.10 a year</t>
  </si>
  <si>
    <t xml:space="preserve">The engineering office's record: quarters of deviations</t>
  </si>
  <si>
    <t xml:space="preserve">  innovations (the persistence 0.6 taken as known)</t>
  </si>
  <si>
    <t xml:space="preserve">39 innovations</t>
  </si>
  <si>
    <t xml:space="preserve">  their root-mean-square</t>
  </si>
  <si>
    <t xml:space="preserve">The declared spread</t>
  </si>
  <si>
    <t xml:space="preserve">Confidence of each bound</t>
  </si>
  <si>
    <t xml:space="preserve">One-sided, 95 percent each</t>
  </si>
  <si>
    <t xml:space="preserve">Twice the record: closures</t>
  </si>
  <si>
    <t xml:space="preserve">Four closures in forty years, the same estimate</t>
  </si>
  <si>
    <t xml:space="preserve">  in years</t>
  </si>
  <si>
    <t xml:space="preserve">  quarters of deviations</t>
  </si>
  <si>
    <t xml:space="preserve">Eighty quarters</t>
  </si>
  <si>
    <t xml:space="preserve">  innovations</t>
  </si>
  <si>
    <t xml:space="preserve">79 innovations</t>
  </si>
  <si>
    <t xml:space="preserve">Read the records: confidence bounds for the rate and the spread (Proposition 11.2(i)-(iii); Worked Example 11.1, Step 1; AXIOM Lab 2.11, step 1)</t>
  </si>
  <si>
    <t xml:space="preserve">Rate: n closures in T years give the one-sided bound chi2_(conf)(2n + 2) / (2T) (Garwood). Spread: n Gaussian innovations of root-mean-square s give s sqrt(n / chi2_(1-conf)(n)) above and s sqrt(n / chi2_(conf)(n)) below.</t>
  </si>
  <si>
    <t xml:space="preserve">Reading</t>
  </si>
  <si>
    <t xml:space="preserve">Rate: the record's estimate (closures a year)</t>
  </si>
  <si>
    <t xml:space="preserve">0.10</t>
  </si>
  <si>
    <t xml:space="preserve">Rate: upper 95% bound (Garwood)</t>
  </si>
  <si>
    <t xml:space="preserve">0.3148: Section 11.1's 0.315</t>
  </si>
  <si>
    <t xml:space="preserve">  the same from the right tail</t>
  </si>
  <si>
    <t xml:space="preserve">Rate: lower 95% bound</t>
  </si>
  <si>
    <t xml:space="preserve">0.0178</t>
  </si>
  <si>
    <t xml:space="preserve">Spread: lower 95% bound</t>
  </si>
  <si>
    <t xml:space="preserve">$42.27 million</t>
  </si>
  <si>
    <t xml:space="preserve">Spread: upper 95% bound</t>
  </si>
  <si>
    <t xml:space="preserve">$61.60 million</t>
  </si>
  <si>
    <t xml:space="preserve">The records' family holds the true law with at least (Bonferroni)</t>
  </si>
  <si>
    <t xml:space="preserve">90 percent: Proposition 11.2(iii)</t>
  </si>
  <si>
    <t xml:space="preserve">The corner's spread, as a multiple of the declared</t>
  </si>
  <si>
    <t xml:space="preserve">1.232</t>
  </si>
  <si>
    <t xml:space="preserve">Twice the record: rate, upper bound</t>
  </si>
  <si>
    <t xml:space="preserve">0.2288 (Step 5's 0.229)</t>
  </si>
  <si>
    <t xml:space="preserve">Twice the record: spread, upper bound</t>
  </si>
  <si>
    <t xml:space="preserve">$57.60 million</t>
  </si>
  <si>
    <t xml:space="preserve">Twice the record: spread, lower bound</t>
  </si>
  <si>
    <t xml:space="preserve">$44.28 million</t>
  </si>
  <si>
    <t xml:space="preserve">Garwood's bound errs on the safe side: the chance it holds the true rate, exactly (Proposition 11.2(i))</t>
  </si>
  <si>
    <t xml:space="preserve">Closures n in the record</t>
  </si>
  <si>
    <t xml:space="preserve">Its upper bound</t>
  </si>
  <si>
    <t xml:space="preserve">P(n) at a true rate of 0.10</t>
  </si>
  <si>
    <t xml:space="preserve">P(n) at 0.20</t>
  </si>
  <si>
    <t xml:space="preserve">P(n) at the bound</t>
  </si>
  <si>
    <t xml:space="preserve">Chance the bound holds a true rate of 0.10</t>
  </si>
  <si>
    <t xml:space="preserve">Chance the bound holds a true rate of 0.20</t>
  </si>
  <si>
    <t xml:space="preserve">Chance the bound holds a true rate of the bound, 0.3148</t>
  </si>
  <si>
    <t xml:space="preserve">Simulated records under the declared law (engine, the lab's seed 26211): the rate's bound holds</t>
  </si>
  <si>
    <t xml:space="preserve">100,000 records; with no closure at all the bound is 0.150</t>
  </si>
  <si>
    <t xml:space="preserve">  the spread's bound holds</t>
  </si>
  <si>
    <t xml:space="preserve">95 percent: Proposition 11.2(ii)</t>
  </si>
  <si>
    <t xml:space="preserve">  both hold</t>
  </si>
  <si>
    <t xml:space="preserve">At least 90 percent (Bonferroni)</t>
  </si>
  <si>
    <t xml:space="preserve">Volume I's package ($170 million line, 0.668 quarter) under the laws the records allow (engine)</t>
  </si>
  <si>
    <t xml:space="preserve">Rate a year (spread $50m)</t>
  </si>
  <si>
    <t xml:space="preserve">Chance of a breach (engine)</t>
  </si>
  <si>
    <t xml:space="preserve">Spread (rate 0.10)</t>
  </si>
  <si>
    <t xml:space="preserve">Across the closures' range (0 to the bound): from</t>
  </si>
  <si>
    <t xml:space="preserve">4.5 percent</t>
  </si>
  <si>
    <t xml:space="preserve">  to</t>
  </si>
  <si>
    <t xml:space="preserve">6.2 percent</t>
  </si>
  <si>
    <t xml:space="preserve">Across the spread's range (the two bounds): from</t>
  </si>
  <si>
    <t xml:space="preserve">1.6 percent</t>
  </si>
  <si>
    <t xml:space="preserve">14.4 percent</t>
  </si>
  <si>
    <t xml:space="preserve">At the corner, both bounds (engine)</t>
  </si>
  <si>
    <t xml:space="preserve">15.8 percent; fresh paths 15.83</t>
  </si>
  <si>
    <t xml:space="preserve">Price the family: the cheapest package at each declaration's worst law (Theorem 11.1(iv); Proposition 11.2(iii); Worked Example 11.1, Step 2; AXIOM Lab 2.11, step 2)</t>
  </si>
  <si>
    <t xml:space="preserve">Lines and delays are Chapter 9's design at each law (engine: the line on a $5 million grid, the delay the least that keeps 5 percent on the simulated paths); costs, the price of ambiguity and the value of a longer record are formulas.</t>
  </si>
  <si>
    <t xml:space="preserve">Declaration</t>
  </si>
  <si>
    <t xml:space="preserve">Rate a year</t>
  </si>
  <si>
    <t xml:space="preserve">Spread</t>
  </si>
  <si>
    <t xml:space="preserve">Volume I's package at the law (engine)</t>
  </si>
  <si>
    <t xml:space="preserve">fresh (engine)</t>
  </si>
  <si>
    <t xml:space="preserve">Line (engine)</t>
  </si>
  <si>
    <t xml:space="preserve">Delay (engine)</t>
  </si>
  <si>
    <t xml:space="preserve">Fees</t>
  </si>
  <si>
    <t xml:space="preserve">Delay cost</t>
  </si>
  <si>
    <t xml:space="preserve">Cost</t>
  </si>
  <si>
    <t xml:space="preserve">Fresh paths at its law (engine)</t>
  </si>
  <si>
    <t xml:space="preserve">Under the declared law (engine)</t>
  </si>
  <si>
    <t xml:space="preserve">Extra over Volume I's package</t>
  </si>
  <si>
    <t xml:space="preserve">Volume I's package (one law)</t>
  </si>
  <si>
    <t xml:space="preserve">Closures' doubt (rate at its bound)</t>
  </si>
  <si>
    <t xml:space="preserve">Spread's doubt (spread at its bound)</t>
  </si>
  <si>
    <t xml:space="preserve">The records' family (both: the corner)</t>
  </si>
  <si>
    <t xml:space="preserve">Records twice as long</t>
  </si>
  <si>
    <t xml:space="preserve">The price of ambiguity: the records' family less one law</t>
  </si>
  <si>
    <t xml:space="preserve">$13.56 million (Step 5)</t>
  </si>
  <si>
    <t xml:space="preserve">  of which the spread's doubt alone</t>
  </si>
  <si>
    <t xml:space="preserve">Most of it: the spread is what costs</t>
  </si>
  <si>
    <t xml:space="preserve">  and the closures' doubt alone</t>
  </si>
  <si>
    <t xml:space="preserve">The value of a record twice as long</t>
  </si>
  <si>
    <t xml:space="preserve">$4.63 million on this program alone</t>
  </si>
  <si>
    <t xml:space="preserve">The records' family's package ($200 million line, 2.250 quarters) across the family: 49 laws (engine)</t>
  </si>
  <si>
    <t xml:space="preserve">Rows: seven rates from 0 to the bound; columns: seven spreads from the lower bound to the upper (Online Appendix Remark 11.B.1). The chance rises with both: the worst law is the corner.</t>
  </si>
  <si>
    <t xml:space="preserve">Rate \ spread</t>
  </si>
  <si>
    <t xml:space="preserve">The largest chance on the grid</t>
  </si>
  <si>
    <t xml:space="preserve">5.00 percent</t>
  </si>
  <si>
    <t xml:space="preserve">  at the corner? (1 = yes)</t>
  </si>
  <si>
    <t xml:space="preserve">The corner: both bounds</t>
  </si>
  <si>
    <t xml:space="preserve">Try balls: Kullback-Leibler families (Theorem 11.2; Figure 11.1; Worked Example 11.1, Step 3; AXIOM Lab 2.11, step 3)</t>
  </si>
  <si>
    <t xml:space="preserve">kl(q || p) = q ln(q/p) + (1 - q) ln((1 - q)/(1 - p)). The ball of radius d keeps 5 percent exactly when the law keeps alpha'(d), kl(0.05 || alpha') = d; the ball's package is Chapter 9's design at that appetite.</t>
  </si>
  <si>
    <t xml:space="preserve">The radius that holds each doubt (Theorem 11.2(iii))</t>
  </si>
  <si>
    <t xml:space="preserve">Radius d</t>
  </si>
  <si>
    <t xml:space="preserve">alpha'(d) by bisection</t>
  </si>
  <si>
    <t xml:space="preserve">alpha'(d) (engine)</t>
  </si>
  <si>
    <t xml:space="preserve">Explore: a ball of any radius</t>
  </si>
  <si>
    <t xml:space="preserve">Closures at the bound over the program: H (l' ln(l'/l) - l' + l)</t>
  </si>
  <si>
    <t xml:space="preserve">0.439: 3 in a million</t>
  </si>
  <si>
    <t xml:space="preserve">Radius d (change it)</t>
  </si>
  <si>
    <t xml:space="preserve">Spread at the bound, twelve innovations: n (ln(1/c) + (c^2 - 1)/2)</t>
  </si>
  <si>
    <t xml:space="preserve">0.603</t>
  </si>
  <si>
    <t xml:space="preserve">The law must keep alpha'(d)</t>
  </si>
  <si>
    <t xml:space="preserve">Both: divergences add over independent parts</t>
  </si>
  <si>
    <t xml:space="preserve">1.042: 2 in 100 billion</t>
  </si>
  <si>
    <t xml:space="preserve">Volume I's package (5% under the law) breaches on up to q*(5%, d)</t>
  </si>
  <si>
    <t xml:space="preserve">Check: kl(0.05 || alpha') - d</t>
  </si>
  <si>
    <t xml:space="preserve">The levers' floor: the fewest paths a $400m line and 7 quarters leave breached (engine)</t>
  </si>
  <si>
    <t xml:space="preserve">One path in 100,000</t>
  </si>
  <si>
    <t xml:space="preserve">  as a chance</t>
  </si>
  <si>
    <t xml:space="preserve">Change d in M5: the bisection on KL_Bisection recomputes alpha'(d) and q*(5%, d). For d = 0.01 the law must keep 2.50 percent: a $175 million line and 1.354 quarters, $16.08 million (engine, row 29).</t>
  </si>
  <si>
    <t xml:space="preserve">  the ball is beyond the levers from kl(0.05 || that chance)</t>
  </si>
  <si>
    <t xml:space="preserve">0.377 (Online Appendix 11.B.2; Figure 11.1(b): 0.38)</t>
  </si>
  <si>
    <t xml:space="preserve">The worst chance of Volume I's package over the ball (it keeps 5.00 percent under the law)</t>
  </si>
  <si>
    <t xml:space="preserve">q* by bisection</t>
  </si>
  <si>
    <t xml:space="preserve">q* (engine)</t>
  </si>
  <si>
    <t xml:space="preserve">kl(q* engine || 0.05) - d</t>
  </si>
  <si>
    <t xml:space="preserve">Keeping 5 percent over the ball: Chapter 9's design at the law's appetite alpha'(d) (engine) and its cost</t>
  </si>
  <si>
    <t xml:space="preserve">alpha' by bisection</t>
  </si>
  <si>
    <t xml:space="preserve">alpha' (engine)</t>
  </si>
  <si>
    <t xml:space="preserve">kl(0.05 || alpha' engine) - d</t>
  </si>
  <si>
    <t xml:space="preserve">Under the law (engine)</t>
  </si>
  <si>
    <t xml:space="preserve">Fresh paths (engine)</t>
  </si>
  <si>
    <t xml:space="preserve">Extra over Volume I's</t>
  </si>
  <si>
    <t xml:space="preserve">Theorem 11.2(ii) by bisection: the law's appetite alpha'(d), kl(0.05 || alpha') = d, and the worst chance q*(p, d), kl(q* || p) = d</t>
  </si>
  <si>
    <t xml:space="preserve">Each problem takes two columns (low and high end of the bracket) and 60 halvings. alpha' is bracketed in ln p between ln(1E-30) and ln(0.05): kl(0.05 || p) falls as p rises. q* is bracketed between p and 1: kl(q || p) rises with q.</t>
  </si>
  <si>
    <t xml:space="preserve">Problem</t>
  </si>
  <si>
    <t xml:space="preserve">closures' doubt</t>
  </si>
  <si>
    <t xml:space="preserve">spread's doubt</t>
  </si>
  <si>
    <t xml:space="preserve">both doubts</t>
  </si>
  <si>
    <t xml:space="preserve">design d = 0.001</t>
  </si>
  <si>
    <t xml:space="preserve">design d = 0.002</t>
  </si>
  <si>
    <t xml:space="preserve">design d = 0.005</t>
  </si>
  <si>
    <t xml:space="preserve">design d = 0.01</t>
  </si>
  <si>
    <t xml:space="preserve">design d = 0.02</t>
  </si>
  <si>
    <t xml:space="preserve">design d = 0.03</t>
  </si>
  <si>
    <t xml:space="preserve">design d = 0.05</t>
  </si>
  <si>
    <t xml:space="preserve">design d = 0.075</t>
  </si>
  <si>
    <t xml:space="preserve">design d = 0.1</t>
  </si>
  <si>
    <t xml:space="preserve">design d = 0.15</t>
  </si>
  <si>
    <t xml:space="preserve">Volume I's package, d = 0.001</t>
  </si>
  <si>
    <t xml:space="preserve">Volume I's package, d = 0.003</t>
  </si>
  <si>
    <t xml:space="preserve">Volume I's package, d = 0.01</t>
  </si>
  <si>
    <t xml:space="preserve">Volume I's package, d = 0.03</t>
  </si>
  <si>
    <t xml:space="preserve">Volume I's package, d = 0.1</t>
  </si>
  <si>
    <t xml:space="preserve">Volume I's package, d = 0.3</t>
  </si>
  <si>
    <t xml:space="preserve">Volume I's package, d = 1</t>
  </si>
  <si>
    <t xml:space="preserve">the input d</t>
  </si>
  <si>
    <t xml:space="preserve">alpha'</t>
  </si>
  <si>
    <t xml:space="preserve">q*</t>
  </si>
  <si>
    <t xml:space="preserve">d</t>
  </si>
  <si>
    <t xml:space="preserve">chance p</t>
  </si>
  <si>
    <t xml:space="preserve">halving 0</t>
  </si>
  <si>
    <t xml:space="preserve">Result</t>
  </si>
  <si>
    <t xml:space="preserve">Try balls: Wasserstein families on the record (Theorem 11.3(ii)-(iii); Figure 11.2(a); Worked Example 11.1, Step 3; AXIOM Lab 2.11, step 3)</t>
  </si>
  <si>
    <t xml:space="preserve">A path's distance from a breach is its thinnest margin over the quarters (a move shifts its deviations; the cost is the largest shift). The ball of radius eps keeps 5 percent exactly when the thinnest K = 0.05 N paths average at least eps / 0.05 above the floor.</t>
  </si>
  <si>
    <t xml:space="preserve">Paths K that must keep the average margin, 0.05 N</t>
  </si>
  <si>
    <t xml:space="preserve">5,000 of 100,000</t>
  </si>
  <si>
    <t xml:space="preserve">Radius eps ($m)</t>
  </si>
  <si>
    <t xml:space="preserve">Required average of the thinnest 5% (eps / 0.05)</t>
  </si>
  <si>
    <t xml:space="preserve">Achieved by the design (engine)</t>
  </si>
  <si>
    <t xml:space="preserve">Worst chance of Volume I's package (engine)</t>
  </si>
  <si>
    <t xml:space="preserve">The spread's doubt: its excess over the declared spread, c - 1</t>
  </si>
  <si>
    <t xml:space="preserve">0.232</t>
  </si>
  <si>
    <t xml:space="preserve">The paths' average largest deviation, $m (engine)</t>
  </si>
  <si>
    <t xml:space="preserve">$113.2 million</t>
  </si>
  <si>
    <t xml:space="preserve">The radius that holds the spread's doubt (Theorem 11.3(ii))</t>
  </si>
  <si>
    <t xml:space="preserve">$26.3 million</t>
  </si>
  <si>
    <t xml:space="preserve">The thinnest 5% would need to average</t>
  </si>
  <si>
    <t xml:space="preserve">$525 million</t>
  </si>
  <si>
    <t xml:space="preserve">What a $400m line and 7 quarters give them (engine)</t>
  </si>
  <si>
    <t xml:space="preserve">$121.9 million: no package can do it</t>
  </si>
  <si>
    <t xml:space="preserve">  shortfall, as a multiple</t>
  </si>
  <si>
    <t xml:space="preserve">Set a radius from a record: 200 records of 1,000 paths, checked on the fresh 100,000 (Theorem 11.3(iv); Proposition 11.2(iv); Figure 11.2(b); Worked Example 11.1, Step 4; AXIOM Lab 2.11, step 4)</t>
  </si>
  <si>
    <t xml:space="preserve">Engine: on each record (seeds 900000-900199) a package is designed aimed at a lower target or kept over a Wasserstein ball around the record, among Chapter 9's lines ($120-220 million); its true chance is read on the fresh paths. The formulas compare reliability per dollar.</t>
  </si>
  <si>
    <t xml:space="preserve">Design</t>
  </si>
  <si>
    <t xml:space="preserve">Keep 5% (engine)</t>
  </si>
  <si>
    <t xml:space="preserve">Mean true chance (engine)</t>
  </si>
  <si>
    <t xml:space="preserve">90th percentile (engine)</t>
  </si>
  <si>
    <t xml:space="preserve">Mean cost (engine)</t>
  </si>
  <si>
    <t xml:space="preserve">Mean line (engine)</t>
  </si>
  <si>
    <t xml:space="preserve">Extra cost over no margin</t>
  </si>
  <si>
    <t xml:space="preserve">Extra reliability (points)</t>
  </si>
  <si>
    <t xml:space="preserve">Points of reliability per $ million</t>
  </si>
  <si>
    <t xml:space="preserve">No margin: aim at 5%</t>
  </si>
  <si>
    <t xml:space="preserve">Target lower by 0.5 points</t>
  </si>
  <si>
    <t xml:space="preserve">Target lower by 1 point</t>
  </si>
  <si>
    <t xml:space="preserve">Target lower by 1.5 points</t>
  </si>
  <si>
    <t xml:space="preserve">Target lower by 2 points</t>
  </si>
  <si>
    <t xml:space="preserve">Wasserstein radius $10,000</t>
  </si>
  <si>
    <t xml:space="preserve">Wasserstein radius $20,000</t>
  </si>
  <si>
    <t xml:space="preserve">Wasserstein radius $30,000</t>
  </si>
  <si>
    <t xml:space="preserve">Wasserstein radius $50,000</t>
  </si>
  <si>
    <t xml:space="preserve">Wasserstein radius $100,000</t>
  </si>
  <si>
    <t xml:space="preserve">Wasserstein radius $200,000</t>
  </si>
  <si>
    <t xml:space="preserve">A radius of $50,000 makes 97.5 percent of designs keep 5 percent at $12.94 million on average, about what lowering the target by 1.5 points buys: the radius should follow the record's size.</t>
  </si>
  <si>
    <t xml:space="preserve">Moments only: Cantelli's bounds and the cost of keeping every quarter at 5 percent (Proposition 11.1(iii)-(iv); Section 11.4; AXIOM Lab 2.11, step 5)</t>
  </si>
  <si>
    <t xml:space="preserve">Among laws of a margin with mean mu &gt; 0 and spread sigma, the worst chance that it falls to zero is sigma^2 / (sigma^2 + mu^2), on two points. Means and spreads of each quarter's margin are the engine's.</t>
  </si>
  <si>
    <t xml:space="preserve">Quarter k</t>
  </si>
  <si>
    <t xml:space="preserve">t (years)</t>
  </si>
  <si>
    <t xml:space="preserve">The draw's shape S</t>
  </si>
  <si>
    <t xml:space="preserve">Lift of a quarter of delay, l_k</t>
  </si>
  <si>
    <t xml:space="preserve">Mean margin, Volume I's package (engine)</t>
  </si>
  <si>
    <t xml:space="preserve">Spread (engine)</t>
  </si>
  <si>
    <t xml:space="preserve">Cantelli bound</t>
  </si>
  <si>
    <t xml:space="preserve">Mean margin at $160m, no delay (engine)</t>
  </si>
  <si>
    <t xml:space="preserve">Spread at $160m (engine)</t>
  </si>
  <si>
    <t xml:space="preserve">Delay its bound needs</t>
  </si>
  <si>
    <t xml:space="preserve">The worst quarter</t>
  </si>
  <si>
    <t xml:space="preserve">Quarter 7</t>
  </si>
  <si>
    <t xml:space="preserve">  its bound</t>
  </si>
  <si>
    <t xml:space="preserve">15.4 percent</t>
  </si>
  <si>
    <t xml:space="preserve">  the two-point law: the margin is zero with that chance, otherwise</t>
  </si>
  <si>
    <t xml:space="preserve">The lump a closure produces</t>
  </si>
  <si>
    <t xml:space="preserve">  the two-point law's mean (equals the declared mean)</t>
  </si>
  <si>
    <t xml:space="preserve">$147.5 million</t>
  </si>
  <si>
    <t xml:space="preserve">The bounds' sum: the union bound (Proposition 11.1(iv))</t>
  </si>
  <si>
    <t xml:space="preserve">148.6 percent: it says nothing</t>
  </si>
  <si>
    <t xml:space="preserve">Spreads of margin each quarter needs at 5 percent, sqrt((1 - a)/a)</t>
  </si>
  <si>
    <t xml:space="preserve">4.36 = sqrt(19)</t>
  </si>
  <si>
    <t xml:space="preserve">Spreads the union bound would need, at a / 12 per quarter</t>
  </si>
  <si>
    <t xml:space="preserve">15.46</t>
  </si>
  <si>
    <t xml:space="preserve">The moment package: line (engine)</t>
  </si>
  <si>
    <t xml:space="preserve">$160 million</t>
  </si>
  <si>
    <t xml:space="preserve">  delay: the largest any quarter's bound needs</t>
  </si>
  <si>
    <t xml:space="preserve">6.062 quarters</t>
  </si>
  <si>
    <t xml:space="preserve">  cost</t>
  </si>
  <si>
    <t xml:space="preserve">$53.29 million</t>
  </si>
  <si>
    <t xml:space="preserve">  its chance of a breach under the law (engine)</t>
  </si>
  <si>
    <t xml:space="preserve">0.026 percent</t>
  </si>
  <si>
    <t xml:space="preserve">Price the doubt: Table 11.3, every declaration's package (Worked Example 11.1, Step 5; Figure 11.3(b))</t>
  </si>
  <si>
    <t xml:space="preserve">Lines, delays and chances are the engine's (the book's 100,000 paths and the fresh 100,000); the costs, the gaps and the standard errors are formulas. The worst law: closures 0.315 a year, spread $61.6 million.</t>
  </si>
  <si>
    <t xml:space="preserve">Under the worst law (engine)</t>
  </si>
  <si>
    <t xml:space="preserve">Law: |book - fresh|</t>
  </si>
  <si>
    <t xml:space="preserve">Worst: |book - fresh|</t>
  </si>
  <si>
    <t xml:space="preserve">Standard error, law</t>
  </si>
  <si>
    <t xml:space="preserve">Standard error, worst</t>
  </si>
  <si>
    <t xml:space="preserve">One law (Chapter 9)</t>
  </si>
  <si>
    <t xml:space="preserve">A set, max-min choice (Chapter 10)</t>
  </si>
  <si>
    <t xml:space="preserve">Wasserstein ball, $0.1 million</t>
  </si>
  <si>
    <t xml:space="preserve">Divergence ball, d = 0.01</t>
  </si>
  <si>
    <t xml:space="preserve">Closures' doubt (rate &lt;= 0.315)</t>
  </si>
  <si>
    <t xml:space="preserve">Spread's doubt (spread &lt;= 61.6)</t>
  </si>
  <si>
    <t xml:space="preserve">The records' family (both)</t>
  </si>
  <si>
    <t xml:space="preserve">Moments only (every quarter)</t>
  </si>
  <si>
    <t xml:space="preserve">$13.56 million</t>
  </si>
  <si>
    <t xml:space="preserve">$4.63 million</t>
  </si>
  <si>
    <t xml:space="preserve">Fresh paths: the largest gap, points</t>
  </si>
  <si>
    <t xml:space="preserve">Within 0.3 points (Table 11.3)</t>
  </si>
  <si>
    <t xml:space="preserve">  within 0.3 points? (1 = yes)</t>
  </si>
  <si>
    <t xml:space="preserve">The largest standard error of a chance, points</t>
  </si>
  <si>
    <t xml:space="preserve">Below 0.12 points (Section 11.5)</t>
  </si>
  <si>
    <t xml:space="preserve">  below 0.12 points? (1 = yes)</t>
  </si>
  <si>
    <t xml:space="preserve">Checkpoint</t>
  </si>
  <si>
    <t xml:space="preserve">Engine value</t>
  </si>
  <si>
    <t xml:space="preserve">Meaning (where in the book)</t>
  </si>
  <si>
    <t xml:space="preserve">Proposition 11.2(i); Step 1: 0.3148</t>
  </si>
  <si>
    <t xml:space="preserve">Rate: upper bound from the right tail</t>
  </si>
  <si>
    <t xml:space="preserve">The same bound</t>
  </si>
  <si>
    <t xml:space="preserve">Proposition 11.2(ii): $61.60 million</t>
  </si>
  <si>
    <t xml:space="preserve">Twice the record: rate bound</t>
  </si>
  <si>
    <t xml:space="preserve">0.2288</t>
  </si>
  <si>
    <t xml:space="preserve">The records' family: confidence together</t>
  </si>
  <si>
    <t xml:space="preserve">Proposition 11.2(iii): 90 percent</t>
  </si>
  <si>
    <t xml:space="preserve">Volume I's package: cost</t>
  </si>
  <si>
    <t xml:space="preserve">$10.44 million</t>
  </si>
  <si>
    <t xml:space="preserve">Closures' doubt: cost</t>
  </si>
  <si>
    <t xml:space="preserve">$11.64 million</t>
  </si>
  <si>
    <t xml:space="preserve">Spread's doubt: cost</t>
  </si>
  <si>
    <t xml:space="preserve">$22.85 million</t>
  </si>
  <si>
    <t xml:space="preserve">The records' family: cost</t>
  </si>
  <si>
    <t xml:space="preserve">Step 2: $24.00 million</t>
  </si>
  <si>
    <t xml:space="preserve">Twice the record: cost</t>
  </si>
  <si>
    <t xml:space="preserve">$19.37 million</t>
  </si>
  <si>
    <t xml:space="preserve">Price of ambiguity</t>
  </si>
  <si>
    <t xml:space="preserve">Step 5: $13.56 million</t>
  </si>
  <si>
    <t xml:space="preserve">Value of a record twice as long</t>
  </si>
  <si>
    <t xml:space="preserve">Step 5: $4.63 million</t>
  </si>
  <si>
    <t xml:space="preserve">The family's package: largest chance on the 49-law grid</t>
  </si>
  <si>
    <t xml:space="preserve">The family's package: the grid's worst law is the corner</t>
  </si>
  <si>
    <t xml:space="preserve">Proposition 11.2(iii)</t>
  </si>
  <si>
    <t xml:space="preserve">Divergence: radius of the closures' doubt</t>
  </si>
  <si>
    <t xml:space="preserve">Theorem 11.2(iii): 0.439</t>
  </si>
  <si>
    <t xml:space="preserve">Divergence: radius of the spread's doubt</t>
  </si>
  <si>
    <t xml:space="preserve">Divergence: radius of both doubts</t>
  </si>
  <si>
    <t xml:space="preserve">1.042</t>
  </si>
  <si>
    <t xml:space="preserve">The law's appetite at the closures' radius, per million</t>
  </si>
  <si>
    <t xml:space="preserve">2.93: 3 in a million</t>
  </si>
  <si>
    <t xml:space="preserve">The law's appetite at the spread's radius, per 10 million</t>
  </si>
  <si>
    <t xml:space="preserve">1.09</t>
  </si>
  <si>
    <t xml:space="preserve">The law's appetite at both radii, per 100 billion</t>
  </si>
  <si>
    <t xml:space="preserve">1.69: 2 in 100 billion</t>
  </si>
  <si>
    <t xml:space="preserve">The levers' floor: kl(0.05 || 1 path in 100,000)</t>
  </si>
  <si>
    <t xml:space="preserve">0.377 (Online Appendix 11.B.2); Figure 11.1(b): 0.38</t>
  </si>
  <si>
    <t xml:space="preserve">Volume I's package: worst chance over the ball of 0.001</t>
  </si>
  <si>
    <t xml:space="preserve">Theorem 11.2(ii); Online Appendix Example 11.B.2</t>
  </si>
  <si>
    <t xml:space="preserve">Volume I's package: worst chance over the ball of 0.003</t>
  </si>
  <si>
    <t xml:space="preserve">Volume I's package: worst chance over the ball of 0.01</t>
  </si>
  <si>
    <t xml:space="preserve">Volume I's package: worst chance over the ball of 0.03</t>
  </si>
  <si>
    <t xml:space="preserve">Volume I's package: worst chance over the ball of 0.1</t>
  </si>
  <si>
    <t xml:space="preserve">Volume I's package: worst chance over the ball of 0.3</t>
  </si>
  <si>
    <t xml:space="preserve">Volume I's package: worst chance over the ball of 1</t>
  </si>
  <si>
    <t xml:space="preserve">The law's appetite for the ball of 0.001, %</t>
  </si>
  <si>
    <t xml:space="preserve">kl(0.05 || alpha') = d</t>
  </si>
  <si>
    <t xml:space="preserve">The ball of 0.001: package cost</t>
  </si>
  <si>
    <t xml:space="preserve">Online Appendix Example 11.B.2</t>
  </si>
  <si>
    <t xml:space="preserve">The law's appetite for the ball of 0.002, %</t>
  </si>
  <si>
    <t xml:space="preserve">The ball of 0.002: package cost</t>
  </si>
  <si>
    <t xml:space="preserve">The law's appetite for the ball of 0.005, %</t>
  </si>
  <si>
    <t xml:space="preserve">The ball of 0.005: package cost</t>
  </si>
  <si>
    <t xml:space="preserve">The law's appetite for the ball of 0.01, %</t>
  </si>
  <si>
    <t xml:space="preserve">The ball of 0.01: package cost</t>
  </si>
  <si>
    <t xml:space="preserve">The law's appetite for the ball of 0.02, %</t>
  </si>
  <si>
    <t xml:space="preserve">The ball of 0.02: package cost</t>
  </si>
  <si>
    <t xml:space="preserve">The law's appetite for the ball of 0.03, %</t>
  </si>
  <si>
    <t xml:space="preserve">The ball of 0.03: package cost</t>
  </si>
  <si>
    <t xml:space="preserve">The law's appetite for the ball of 0.05, %</t>
  </si>
  <si>
    <t xml:space="preserve">The ball of 0.05: package cost</t>
  </si>
  <si>
    <t xml:space="preserve">The law's appetite for the ball of 0.075, %</t>
  </si>
  <si>
    <t xml:space="preserve">The ball of 0.075: package cost</t>
  </si>
  <si>
    <t xml:space="preserve">The law's appetite for the ball of 0.1, %</t>
  </si>
  <si>
    <t xml:space="preserve">The ball of 0.1: package cost</t>
  </si>
  <si>
    <t xml:space="preserve">The law's appetite for the ball of 0.15, %</t>
  </si>
  <si>
    <t xml:space="preserve">The ball of 0.15: package cost</t>
  </si>
  <si>
    <t xml:space="preserve">kl at the engine's worst chances, largest |kl - d|</t>
  </si>
  <si>
    <t xml:space="preserve">The engine's q* solve kl(q* || 0.05) = d</t>
  </si>
  <si>
    <t xml:space="preserve">kl at the engine's appetites, largest |kl - d|</t>
  </si>
  <si>
    <t xml:space="preserve">The engine's alpha' solve kl(0.05 || alpha') = d</t>
  </si>
  <si>
    <t xml:space="preserve">The paths that must keep the average margin, K</t>
  </si>
  <si>
    <t xml:space="preserve">0.05 x 100,000</t>
  </si>
  <si>
    <t xml:space="preserve">Wasserstein $0.01m: the thinnest 5% average eps / 0.05</t>
  </si>
  <si>
    <t xml:space="preserve">Theorem 11.3(iii): exactly the radius over 0.05</t>
  </si>
  <si>
    <t xml:space="preserve">Wasserstein $0.01m: package cost</t>
  </si>
  <si>
    <t xml:space="preserve">Wasserstein $0.02m: the thinnest 5% average eps / 0.05</t>
  </si>
  <si>
    <t xml:space="preserve">Wasserstein $0.02m: package cost</t>
  </si>
  <si>
    <t xml:space="preserve">Wasserstein $0.05m: the thinnest 5% average eps / 0.05</t>
  </si>
  <si>
    <t xml:space="preserve">Wasserstein $0.05m: package cost</t>
  </si>
  <si>
    <t xml:space="preserve">Wasserstein $0.1m: the thinnest 5% average eps / 0.05</t>
  </si>
  <si>
    <t xml:space="preserve">Wasserstein $0.1m: package cost</t>
  </si>
  <si>
    <t xml:space="preserve">Wasserstein $0.2m: the thinnest 5% average eps / 0.05</t>
  </si>
  <si>
    <t xml:space="preserve">Wasserstein $0.2m: package cost</t>
  </si>
  <si>
    <t xml:space="preserve">Wasserstein $0.5m: the thinnest 5% average eps / 0.05</t>
  </si>
  <si>
    <t xml:space="preserve">Wasserstein $0.5m: package cost</t>
  </si>
  <si>
    <t xml:space="preserve">Wasserstein $1m: the thinnest 5% average eps / 0.05</t>
  </si>
  <si>
    <t xml:space="preserve">Wasserstein $1m: package cost</t>
  </si>
  <si>
    <t xml:space="preserve">The spread's excess, c - 1</t>
  </si>
  <si>
    <t xml:space="preserve">The radius that holds the spread's doubt</t>
  </si>
  <si>
    <t xml:space="preserve">The thinnest 5% would need</t>
  </si>
  <si>
    <t xml:space="preserve">Cantelli bound, quarter 1</t>
  </si>
  <si>
    <t xml:space="preserve">Cantelli bound, quarter 2</t>
  </si>
  <si>
    <t xml:space="preserve">Cantelli bound, quarter 3</t>
  </si>
  <si>
    <t xml:space="preserve">Cantelli bound, quarter 4</t>
  </si>
  <si>
    <t xml:space="preserve">Cantelli bound, quarter 5</t>
  </si>
  <si>
    <t xml:space="preserve">Cantelli bound, quarter 6</t>
  </si>
  <si>
    <t xml:space="preserve">Cantelli bound, quarter 7</t>
  </si>
  <si>
    <t xml:space="preserve">Cantelli bound, quarter 8</t>
  </si>
  <si>
    <t xml:space="preserve">Cantelli bound, quarter 9</t>
  </si>
  <si>
    <t xml:space="preserve">Cantelli bound, quarter 10</t>
  </si>
  <si>
    <t xml:space="preserve">Cantelli bound, quarter 11</t>
  </si>
  <si>
    <t xml:space="preserve">Cantelli bound, quarter 12</t>
  </si>
  <si>
    <t xml:space="preserve">Cantelli: the worst quarter</t>
  </si>
  <si>
    <t xml:space="preserve">Cantelli: the bounds' sum, %</t>
  </si>
  <si>
    <t xml:space="preserve">148.6</t>
  </si>
  <si>
    <t xml:space="preserve">Spreads of margin at 5 percent</t>
  </si>
  <si>
    <t xml:space="preserve">Proposition 11.1(iii): 4.36</t>
  </si>
  <si>
    <t xml:space="preserve">Spreads the union bound would need</t>
  </si>
  <si>
    <t xml:space="preserve">The moment package: delay</t>
  </si>
  <si>
    <t xml:space="preserve">The moment package: cost</t>
  </si>
  <si>
    <t xml:space="preserve">The two-point law keeps the mean of quarter 7</t>
  </si>
  <si>
    <t xml:space="preserve">Table 11.3, One law (Chapter 9): cost</t>
  </si>
  <si>
    <t xml:space="preserve">Table 11.3</t>
  </si>
  <si>
    <t xml:space="preserve">Table 11.3, A set, max-min choice (Chapter 10): cost</t>
  </si>
  <si>
    <t xml:space="preserve">Table 11.3, Wasserstein ball, $0.1 million: cost</t>
  </si>
  <si>
    <t xml:space="preserve">Table 11.3, Divergence ball, d = 0.01: cost</t>
  </si>
  <si>
    <t xml:space="preserve">Table 11.3, Closures' doubt (rate &lt;= 0.315): cost</t>
  </si>
  <si>
    <t xml:space="preserve">Table 11.3, Spread's doubt (spread &lt;= 61.6): cost</t>
  </si>
  <si>
    <t xml:space="preserve">Table 11.3, The records' family (both): cost</t>
  </si>
  <si>
    <t xml:space="preserve">Table 11.3, Records twice as long: cost</t>
  </si>
  <si>
    <t xml:space="preserve">Table 11.3, Moments only (every quarter): cost</t>
  </si>
  <si>
    <t xml:space="preserve">Table 11.3: the price of ambiguity</t>
  </si>
  <si>
    <t xml:space="preserve">Table 11.3: the value of a longer record</t>
  </si>
  <si>
    <t xml:space="preserve">Table 11.3: fresh paths within 0.3 points</t>
  </si>
  <si>
    <t xml:space="preserve">Table 11.3's caption</t>
  </si>
  <si>
    <t xml:space="preserve">Table 11.3: standard errors below 0.12 points</t>
  </si>
  <si>
    <t xml:space="preserve">Section 11.5</t>
  </si>
  <si>
    <t xml:space="preserve">Chapter 10's max-min package: cost</t>
  </si>
  <si>
    <t xml:space="preserve">$10.54 million</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</si>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</sst>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6">
    <numFmt numFmtId="164" formatCode="General"/>
    <numFmt numFmtId="165" formatCode="0"/>
    <numFmt numFmtId="166" formatCode="#,##0"/>
    <numFmt numFmtId="167" formatCode="0.00"/>
    <numFmt numFmtId="168" formatCode="0.0"/>
    <numFmt numFmtId="169" formatCode="0.0000"/>
    <numFmt numFmtId="170" formatCode="0%"/>
    <numFmt numFmtId="171" formatCode="0.0%"/>
    <numFmt numFmtId="172" formatCode="0.00%"/>
    <numFmt numFmtId="173" formatCode="0.000"/>
    <numFmt numFmtId="174" formatCode="0.000E+00"/>
    <numFmt numFmtId="175" formatCode="0.0000%"/>
    <numFmt numFmtId="176" formatCode="0.0E+00"/>
    <numFmt numFmtId="177" formatCode="0.00000"/>
    <numFmt numFmtId="178" formatCode="0.000000"/>
    <numFmt numFmtId="179" formatCode="0.0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4" fontId="8" fillId="3"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73" fontId="7" fillId="2" borderId="0" xfId="0" applyFont="true" applyBorder="false" applyAlignment="false" applyProtection="false">
      <alignment horizontal="general" vertical="bottom" textRotation="0" wrapText="fals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78" fontId="7" fillId="2" borderId="0" xfId="0" applyFont="true" applyBorder="fals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9" fontId="8" fillId="3"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8" fontId="8" fillId="3" borderId="0" xfId="0" applyFont="true" applyBorder="false" applyAlignment="false" applyProtection="false">
      <alignment horizontal="general" vertical="bottom" textRotation="0" wrapText="false" indent="0" shrinkToFit="false"/>
      <protection locked="true" hidden="false"/>
    </xf>
    <xf numFmtId="176"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46.25" hidden="false" customHeight="false" outlineLevel="0" collapsed="false">
      <c r="B4" s="3" t="s">
        <v>2</v>
      </c>
    </row>
    <row r="5" customFormat="false" ht="15" hidden="false" customHeight="false" outlineLevel="0" collapsed="false">
      <c r="B5" s="3" t="s">
        <v>3</v>
      </c>
    </row>
    <row r="6" customFormat="false" ht="23.85" hidden="false" customHeight="false" outlineLevel="0" collapsed="false">
      <c r="B6" s="3" t="s">
        <v>4</v>
      </c>
    </row>
    <row r="7" customFormat="false" ht="23.85" hidden="false" customHeight="false" outlineLevel="0" collapsed="false">
      <c r="B7" s="3" t="s">
        <v>5</v>
      </c>
    </row>
    <row r="8" customFormat="false" ht="23.85" hidden="false" customHeight="false" outlineLevel="0" collapsed="false">
      <c r="B8" s="3" t="s">
        <v>6</v>
      </c>
    </row>
    <row r="9" customFormat="false" ht="23.85" hidden="false" customHeight="false" outlineLevel="0" collapsed="false">
      <c r="B9" s="3" t="s">
        <v>7</v>
      </c>
    </row>
    <row r="10" customFormat="false" ht="15" hidden="false" customHeight="false" outlineLevel="0" collapsed="false">
      <c r="B10" s="3" t="s">
        <v>8</v>
      </c>
    </row>
    <row r="11" customFormat="false" ht="15" hidden="false" customHeight="false" outlineLevel="0" collapsed="false">
      <c r="B11" s="3" t="s">
        <v>9</v>
      </c>
    </row>
    <row r="12" customFormat="false" ht="23.85" hidden="false" customHeight="false" outlineLevel="0" collapsed="false">
      <c r="B12" s="3" t="s">
        <v>10</v>
      </c>
    </row>
    <row r="13" customFormat="false" ht="23.85" hidden="false" customHeight="false" outlineLevel="0" collapsed="false">
      <c r="B13" s="3" t="s">
        <v>11</v>
      </c>
    </row>
    <row r="14" customFormat="false" ht="15" hidden="false" customHeight="false" outlineLevel="0" collapsed="false">
      <c r="B14" s="3" t="s">
        <v>12</v>
      </c>
    </row>
    <row r="16" customFormat="false" ht="15" hidden="false" customHeight="false" outlineLevel="0" collapsed="false">
      <c r="B16" s="4" t="s">
        <v>13</v>
      </c>
    </row>
    <row r="17" customFormat="false" ht="15" hidden="false" customHeight="false" outlineLevel="0" collapsed="false">
      <c r="B17" s="5" t="s">
        <v>14</v>
      </c>
    </row>
    <row r="18" customFormat="false" ht="15" hidden="false" customHeight="false" outlineLevel="0" collapsed="false">
      <c r="B18" s="2" t="s">
        <v>15</v>
      </c>
    </row>
    <row r="19" customFormat="false" ht="15" hidden="false" customHeight="false" outlineLevel="0" collapsed="false">
      <c r="B19" s="6" t="s">
        <v>16</v>
      </c>
    </row>
    <row r="20" customFormat="false" ht="15" hidden="false" customHeight="false" outlineLevel="0" collapsed="false">
      <c r="B20" s="7"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86"/>
  </cols>
  <sheetData>
    <row r="1" customFormat="false" ht="15" hidden="false" customHeight="false" outlineLevel="0" collapsed="false">
      <c r="A1" s="1" t="s">
        <v>18</v>
      </c>
    </row>
    <row r="3" customFormat="false" ht="15" hidden="false" customHeight="false" outlineLevel="0" collapsed="false">
      <c r="A3" s="8" t="s">
        <v>19</v>
      </c>
      <c r="B3" s="8" t="s">
        <v>20</v>
      </c>
      <c r="C3" s="8" t="s">
        <v>21</v>
      </c>
    </row>
    <row r="4" customFormat="false" ht="15" hidden="false" customHeight="false" outlineLevel="0" collapsed="false">
      <c r="A4" s="2" t="s">
        <v>22</v>
      </c>
      <c r="B4" s="9" t="n">
        <v>3</v>
      </c>
      <c r="C4" s="10" t="s">
        <v>23</v>
      </c>
    </row>
    <row r="5" customFormat="false" ht="15" hidden="false" customHeight="false" outlineLevel="0" collapsed="false">
      <c r="A5" s="2" t="s">
        <v>24</v>
      </c>
      <c r="B5" s="9" t="n">
        <v>12</v>
      </c>
    </row>
    <row r="6" customFormat="false" ht="15" hidden="false" customHeight="false" outlineLevel="0" collapsed="false">
      <c r="A6" s="2" t="s">
        <v>25</v>
      </c>
      <c r="B6" s="11" t="n">
        <v>100000</v>
      </c>
      <c r="C6" s="10" t="s">
        <v>26</v>
      </c>
    </row>
    <row r="7" customFormat="false" ht="15" hidden="false" customHeight="false" outlineLevel="0" collapsed="false">
      <c r="A7" s="2" t="s">
        <v>27</v>
      </c>
      <c r="B7" s="9" t="n">
        <v>350</v>
      </c>
      <c r="C7" s="10" t="s">
        <v>28</v>
      </c>
    </row>
    <row r="8" customFormat="false" ht="15" hidden="false" customHeight="false" outlineLevel="0" collapsed="false">
      <c r="A8" s="2" t="s">
        <v>29</v>
      </c>
      <c r="B8" s="12" t="n">
        <v>0.6</v>
      </c>
      <c r="C8" s="10" t="s">
        <v>30</v>
      </c>
    </row>
    <row r="9" customFormat="false" ht="15" hidden="false" customHeight="false" outlineLevel="0" collapsed="false">
      <c r="A9" s="2" t="s">
        <v>31</v>
      </c>
      <c r="B9" s="9" t="n">
        <v>50</v>
      </c>
      <c r="C9" s="10" t="s">
        <v>32</v>
      </c>
    </row>
    <row r="10" customFormat="false" ht="15" hidden="false" customHeight="false" outlineLevel="0" collapsed="false">
      <c r="A10" s="2" t="s">
        <v>33</v>
      </c>
      <c r="B10" s="12" t="n">
        <v>0.1</v>
      </c>
      <c r="C10" s="10" t="s">
        <v>34</v>
      </c>
    </row>
    <row r="11" customFormat="false" ht="15" hidden="false" customHeight="false" outlineLevel="0" collapsed="false">
      <c r="A11" s="2" t="s">
        <v>35</v>
      </c>
      <c r="B11" s="9" t="n">
        <v>120</v>
      </c>
      <c r="C11" s="10" t="s">
        <v>36</v>
      </c>
    </row>
    <row r="12" customFormat="false" ht="15" hidden="false" customHeight="false" outlineLevel="0" collapsed="false">
      <c r="A12" s="2" t="s">
        <v>37</v>
      </c>
      <c r="B12" s="9" t="n">
        <v>50</v>
      </c>
    </row>
    <row r="13" customFormat="false" ht="15" hidden="false" customHeight="false" outlineLevel="0" collapsed="false">
      <c r="A13" s="2" t="s">
        <v>38</v>
      </c>
      <c r="B13" s="12" t="n">
        <v>0.03</v>
      </c>
      <c r="C13" s="10" t="s">
        <v>39</v>
      </c>
    </row>
    <row r="14" customFormat="false" ht="15" hidden="false" customHeight="false" outlineLevel="0" collapsed="false">
      <c r="A14" s="2" t="s">
        <v>40</v>
      </c>
      <c r="B14" s="13" t="n">
        <v>8</v>
      </c>
      <c r="C14" s="10" t="s">
        <v>41</v>
      </c>
    </row>
    <row r="15" customFormat="false" ht="15" hidden="false" customHeight="false" outlineLevel="0" collapsed="false">
      <c r="A15" s="2" t="s">
        <v>42</v>
      </c>
      <c r="B15" s="9" t="n">
        <v>28</v>
      </c>
      <c r="C15" s="10" t="s">
        <v>43</v>
      </c>
    </row>
    <row r="16" customFormat="false" ht="15" hidden="false" customHeight="false" outlineLevel="0" collapsed="false">
      <c r="A16" s="2" t="s">
        <v>44</v>
      </c>
      <c r="B16" s="9" t="n">
        <v>4</v>
      </c>
    </row>
    <row r="17" customFormat="false" ht="15" hidden="false" customHeight="false" outlineLevel="0" collapsed="false">
      <c r="A17" s="2" t="s">
        <v>45</v>
      </c>
      <c r="B17" s="14" t="n">
        <f aca="false">620/100</f>
        <v>6.2</v>
      </c>
      <c r="C17" s="10" t="s">
        <v>46</v>
      </c>
    </row>
    <row r="18" customFormat="false" ht="15" hidden="false" customHeight="false" outlineLevel="0" collapsed="false">
      <c r="A18" s="2" t="s">
        <v>47</v>
      </c>
      <c r="B18" s="13" t="n">
        <v>2</v>
      </c>
      <c r="C18" s="10" t="s">
        <v>48</v>
      </c>
    </row>
    <row r="19" customFormat="false" ht="15" hidden="false" customHeight="false" outlineLevel="0" collapsed="false">
      <c r="A19" s="2" t="s">
        <v>49</v>
      </c>
      <c r="B19" s="12" t="n">
        <v>0.05</v>
      </c>
      <c r="C19" s="10" t="s">
        <v>50</v>
      </c>
    </row>
    <row r="20" customFormat="false" ht="15" hidden="false" customHeight="false" outlineLevel="0" collapsed="false">
      <c r="A20" s="2" t="s">
        <v>51</v>
      </c>
      <c r="B20" s="12" t="n">
        <v>0.4</v>
      </c>
      <c r="C20" s="10" t="s">
        <v>52</v>
      </c>
    </row>
    <row r="22" customFormat="false" ht="15" hidden="false" customHeight="false" outlineLevel="0" collapsed="false">
      <c r="A22" s="4" t="s">
        <v>53</v>
      </c>
    </row>
    <row r="23" customFormat="false" ht="15" hidden="false" customHeight="false" outlineLevel="0" collapsed="false">
      <c r="A23" s="2" t="s">
        <v>54</v>
      </c>
      <c r="B23" s="9" t="n">
        <v>2</v>
      </c>
      <c r="C23" s="10" t="s">
        <v>55</v>
      </c>
    </row>
    <row r="24" customFormat="false" ht="15" hidden="false" customHeight="false" outlineLevel="0" collapsed="false">
      <c r="A24" s="2" t="s">
        <v>56</v>
      </c>
      <c r="B24" s="9" t="n">
        <v>20</v>
      </c>
      <c r="C24" s="10" t="s">
        <v>57</v>
      </c>
    </row>
    <row r="25" customFormat="false" ht="15" hidden="false" customHeight="false" outlineLevel="0" collapsed="false">
      <c r="A25" s="2" t="s">
        <v>58</v>
      </c>
      <c r="B25" s="9" t="n">
        <v>40</v>
      </c>
    </row>
    <row r="26" customFormat="false" ht="15" hidden="false" customHeight="false" outlineLevel="0" collapsed="false">
      <c r="A26" s="2" t="s">
        <v>59</v>
      </c>
      <c r="B26" s="15" t="n">
        <f aca="false">B25-1</f>
        <v>39</v>
      </c>
      <c r="C26" s="10" t="s">
        <v>60</v>
      </c>
    </row>
    <row r="27" customFormat="false" ht="15" hidden="false" customHeight="false" outlineLevel="0" collapsed="false">
      <c r="A27" s="2" t="s">
        <v>61</v>
      </c>
      <c r="B27" s="9" t="n">
        <v>50</v>
      </c>
      <c r="C27" s="10" t="s">
        <v>62</v>
      </c>
    </row>
    <row r="28" customFormat="false" ht="15" hidden="false" customHeight="false" outlineLevel="0" collapsed="false">
      <c r="A28" s="2" t="s">
        <v>63</v>
      </c>
      <c r="B28" s="12" t="n">
        <v>0.95</v>
      </c>
      <c r="C28" s="10" t="s">
        <v>64</v>
      </c>
    </row>
    <row r="29" customFormat="false" ht="15" hidden="false" customHeight="false" outlineLevel="0" collapsed="false">
      <c r="A29" s="2" t="s">
        <v>65</v>
      </c>
      <c r="B29" s="9" t="n">
        <v>4</v>
      </c>
      <c r="C29" s="10" t="s">
        <v>66</v>
      </c>
    </row>
    <row r="30" customFormat="false" ht="15" hidden="false" customHeight="false" outlineLevel="0" collapsed="false">
      <c r="A30" s="2" t="s">
        <v>67</v>
      </c>
      <c r="B30" s="9" t="n">
        <v>40</v>
      </c>
    </row>
    <row r="31" customFormat="false" ht="15" hidden="false" customHeight="false" outlineLevel="0" collapsed="false">
      <c r="A31" s="2" t="s">
        <v>68</v>
      </c>
      <c r="B31" s="9" t="n">
        <v>80</v>
      </c>
      <c r="C31" s="10" t="s">
        <v>69</v>
      </c>
    </row>
    <row r="32" customFormat="false" ht="15" hidden="false" customHeight="false" outlineLevel="0" collapsed="false">
      <c r="A32" s="2" t="s">
        <v>70</v>
      </c>
      <c r="B32" s="15" t="n">
        <f aca="false">B31-1</f>
        <v>79</v>
      </c>
      <c r="C32" s="10"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22"/>
    <col collapsed="false" customWidth="true" hidden="false" outlineLevel="0" max="3" min="3" style="0" width="46"/>
    <col collapsed="false" customWidth="true" hidden="false" outlineLevel="0" max="4" min="4" style="0" width="18"/>
    <col collapsed="false" customWidth="true" hidden="false" outlineLevel="0" max="5" min="5" style="0" width="22"/>
  </cols>
  <sheetData>
    <row r="1" customFormat="false" ht="15" hidden="false" customHeight="false" outlineLevel="0" collapsed="false">
      <c r="A1" s="1" t="s">
        <v>72</v>
      </c>
    </row>
    <row r="2" customFormat="false" ht="15" hidden="false" customHeight="false" outlineLevel="0" collapsed="false">
      <c r="A2" s="10" t="s">
        <v>73</v>
      </c>
    </row>
    <row r="3" customFormat="false" ht="15" hidden="false" customHeight="false" outlineLevel="0" collapsed="false">
      <c r="A3" s="8" t="s">
        <v>19</v>
      </c>
      <c r="B3" s="8" t="s">
        <v>20</v>
      </c>
      <c r="C3" s="8" t="s">
        <v>74</v>
      </c>
    </row>
    <row r="4" customFormat="false" ht="15" hidden="false" customHeight="false" outlineLevel="0" collapsed="false">
      <c r="A4" s="2" t="s">
        <v>75</v>
      </c>
      <c r="B4" s="16" t="n">
        <f aca="false">NCl/TYrs</f>
        <v>0.1</v>
      </c>
      <c r="C4" s="10" t="s">
        <v>76</v>
      </c>
    </row>
    <row r="5" customFormat="false" ht="15" hidden="false" customHeight="false" outlineLevel="0" collapsed="false">
      <c r="A5" s="2" t="s">
        <v>77</v>
      </c>
      <c r="B5" s="16" t="n">
        <f aca="false">_xlfn.CHISQ.INV(Conf,2*NCl+2)/(2*TYrs)</f>
        <v>0.314789681093599</v>
      </c>
      <c r="C5" s="10" t="s">
        <v>78</v>
      </c>
    </row>
    <row r="6" customFormat="false" ht="15" hidden="false" customHeight="false" outlineLevel="0" collapsed="false">
      <c r="A6" s="2" t="s">
        <v>79</v>
      </c>
      <c r="B6" s="16" t="n">
        <f aca="false">_xlfn.CHISQ.INV.RT(1-Conf,2*NCl+2)/(2*TYrs)</f>
        <v>0.314789681093599</v>
      </c>
    </row>
    <row r="7" customFormat="false" ht="15" hidden="false" customHeight="false" outlineLevel="0" collapsed="false">
      <c r="A7" s="2" t="s">
        <v>80</v>
      </c>
      <c r="B7" s="16" t="n">
        <f aca="false">_xlfn.CHISQ.INV(1-Conf,2*NCl)/(2*TYrs)</f>
        <v>0.0177680755349331</v>
      </c>
      <c r="C7" s="10" t="s">
        <v>81</v>
      </c>
    </row>
    <row r="8" customFormat="false" ht="15" hidden="false" customHeight="false" outlineLevel="0" collapsed="false">
      <c r="A8" s="2" t="s">
        <v>82</v>
      </c>
      <c r="B8" s="17" t="n">
        <f aca="false">RMS*SQRT(NInn/_xlfn.CHISQ.INV(Conf,NInn))</f>
        <v>42.2684640119222</v>
      </c>
      <c r="C8" s="10" t="s">
        <v>83</v>
      </c>
    </row>
    <row r="9" customFormat="false" ht="15" hidden="false" customHeight="false" outlineLevel="0" collapsed="false">
      <c r="A9" s="2" t="s">
        <v>84</v>
      </c>
      <c r="B9" s="17" t="n">
        <f aca="false">RMS*SQRT(NInn/_xlfn.CHISQ.INV(1-Conf,NInn))</f>
        <v>61.5991469068091</v>
      </c>
      <c r="C9" s="10" t="s">
        <v>85</v>
      </c>
    </row>
    <row r="10" customFormat="false" ht="15" hidden="false" customHeight="false" outlineLevel="0" collapsed="false">
      <c r="A10" s="2" t="s">
        <v>86</v>
      </c>
      <c r="B10" s="18" t="n">
        <f aca="false">1-2*(1-Conf)</f>
        <v>0.9</v>
      </c>
      <c r="C10" s="10" t="s">
        <v>87</v>
      </c>
    </row>
    <row r="11" customFormat="false" ht="15" hidden="false" customHeight="false" outlineLevel="0" collapsed="false">
      <c r="A11" s="2" t="s">
        <v>88</v>
      </c>
      <c r="B11" s="16" t="n">
        <f aca="false">B9/Sig0</f>
        <v>1.23198293813618</v>
      </c>
      <c r="C11" s="10" t="s">
        <v>89</v>
      </c>
    </row>
    <row r="12" customFormat="false" ht="15" hidden="false" customHeight="false" outlineLevel="0" collapsed="false">
      <c r="A12" s="2" t="s">
        <v>90</v>
      </c>
      <c r="B12" s="16" t="n">
        <f aca="false">_xlfn.CHISQ.INV(Conf,2*NCl2+2)/(2*TYrs2)</f>
        <v>0.228837975665939</v>
      </c>
      <c r="C12" s="10" t="s">
        <v>91</v>
      </c>
    </row>
    <row r="13" customFormat="false" ht="15" hidden="false" customHeight="false" outlineLevel="0" collapsed="false">
      <c r="A13" s="2" t="s">
        <v>92</v>
      </c>
      <c r="B13" s="17" t="n">
        <f aca="false">RMS*SQRT(NInn2/_xlfn.CHISQ.INV(1-Conf,NInn2))</f>
        <v>57.6028166616579</v>
      </c>
      <c r="C13" s="10" t="s">
        <v>93</v>
      </c>
    </row>
    <row r="14" customFormat="false" ht="15" hidden="false" customHeight="false" outlineLevel="0" collapsed="false">
      <c r="A14" s="2" t="s">
        <v>94</v>
      </c>
      <c r="B14" s="17" t="n">
        <f aca="false">RMS*SQRT(NInn2/_xlfn.CHISQ.INV(Conf,NInn2))</f>
        <v>44.2755535509029</v>
      </c>
      <c r="C14" s="10" t="s">
        <v>95</v>
      </c>
    </row>
    <row r="16" customFormat="false" ht="15" hidden="false" customHeight="false" outlineLevel="0" collapsed="false">
      <c r="A16" s="4" t="s">
        <v>96</v>
      </c>
    </row>
    <row r="17" customFormat="false" ht="15" hidden="false" customHeight="false" outlineLevel="0" collapsed="false">
      <c r="A17" s="8" t="s">
        <v>97</v>
      </c>
      <c r="B17" s="8" t="s">
        <v>98</v>
      </c>
      <c r="C17" s="8" t="s">
        <v>99</v>
      </c>
      <c r="D17" s="8" t="s">
        <v>100</v>
      </c>
      <c r="E17" s="8" t="s">
        <v>101</v>
      </c>
    </row>
    <row r="18" customFormat="false" ht="15" hidden="false" customHeight="false" outlineLevel="0" collapsed="false">
      <c r="A18" s="15" t="n">
        <v>0</v>
      </c>
      <c r="B18" s="16" t="n">
        <f aca="false">_xlfn.CHISQ.INV(Conf,2*A18+2)/(2*TYrs)</f>
        <v>0.149786613677699</v>
      </c>
      <c r="C18" s="16" t="n">
        <f aca="false">_xlfn.POISSON.DIST(A18,Lam0*TYrs,FALSE())</f>
        <v>0.135335283236613</v>
      </c>
      <c r="D18" s="16" t="n">
        <f aca="false">_xlfn.POISSON.DIST(A18,0.2*TYrs,FALSE())</f>
        <v>0.0183156388887342</v>
      </c>
      <c r="E18" s="16" t="n">
        <f aca="false">_xlfn.POISSON.DIST(A18,LamU*TYrs,FALSE())</f>
        <v>0.00184404523751816</v>
      </c>
    </row>
    <row r="19" customFormat="false" ht="15" hidden="false" customHeight="false" outlineLevel="0" collapsed="false">
      <c r="A19" s="15" t="n">
        <v>1</v>
      </c>
      <c r="B19" s="16" t="n">
        <f aca="false">_xlfn.CHISQ.INV(Conf,2*A19+2)/(2*TYrs)</f>
        <v>0.237193225919529</v>
      </c>
      <c r="C19" s="16" t="n">
        <f aca="false">_xlfn.POISSON.DIST(A19,Lam0*TYrs,FALSE())</f>
        <v>0.270670566473225</v>
      </c>
      <c r="D19" s="16" t="n">
        <f aca="false">_xlfn.POISSON.DIST(A19,0.2*TYrs,FALSE())</f>
        <v>0.0732625555549367</v>
      </c>
      <c r="E19" s="16" t="n">
        <f aca="false">_xlfn.POISSON.DIST(A19,LamU*TYrs,FALSE())</f>
        <v>0.0116097282448102</v>
      </c>
    </row>
    <row r="20" customFormat="false" ht="15" hidden="false" customHeight="false" outlineLevel="0" collapsed="false">
      <c r="A20" s="15" t="n">
        <v>2</v>
      </c>
      <c r="B20" s="16" t="n">
        <f aca="false">_xlfn.CHISQ.INV(Conf,2*A20+2)/(2*TYrs)</f>
        <v>0.314789681093599</v>
      </c>
      <c r="C20" s="16" t="n">
        <f aca="false">_xlfn.POISSON.DIST(A20,Lam0*TYrs,FALSE())</f>
        <v>0.270670566473225</v>
      </c>
      <c r="D20" s="16" t="n">
        <f aca="false">_xlfn.POISSON.DIST(A20,0.2*TYrs,FALSE())</f>
        <v>0.146525111109873</v>
      </c>
      <c r="E20" s="16" t="n">
        <f aca="false">_xlfn.POISSON.DIST(A20,LamU*TYrs,FALSE())</f>
        <v>0.0365462265176716</v>
      </c>
    </row>
    <row r="21" customFormat="false" ht="15" hidden="false" customHeight="false" outlineLevel="0" collapsed="false">
      <c r="A21" s="15" t="n">
        <v>3</v>
      </c>
      <c r="B21" s="16" t="n">
        <f aca="false">_xlfn.CHISQ.INV(Conf,2*A21+2)/(2*TYrs)</f>
        <v>0.387682826396636</v>
      </c>
      <c r="C21" s="16" t="n">
        <f aca="false">_xlfn.POISSON.DIST(A21,Lam0*TYrs,FALSE())</f>
        <v>0.180447044315484</v>
      </c>
      <c r="D21" s="16" t="n">
        <f aca="false">_xlfn.POISSON.DIST(A21,0.2*TYrs,FALSE())</f>
        <v>0.195366814813165</v>
      </c>
      <c r="E21" s="16" t="n">
        <f aca="false">_xlfn.POISSON.DIST(A21,LamU*TYrs,FALSE())</f>
        <v>0.0766958332711487</v>
      </c>
    </row>
    <row r="22" customFormat="false" ht="15" hidden="false" customHeight="false" outlineLevel="0" collapsed="false">
      <c r="A22" s="15" t="n">
        <v>4</v>
      </c>
      <c r="B22" s="16" t="n">
        <f aca="false">_xlfn.CHISQ.INV(Conf,2*A22+2)/(2*TYrs)</f>
        <v>0.457675951331879</v>
      </c>
      <c r="C22" s="16" t="n">
        <f aca="false">_xlfn.POISSON.DIST(A22,Lam0*TYrs,FALSE())</f>
        <v>0.0902235221577418</v>
      </c>
      <c r="D22" s="16" t="n">
        <f aca="false">_xlfn.POISSON.DIST(A22,0.2*TYrs,FALSE())</f>
        <v>0.195366814813165</v>
      </c>
      <c r="E22" s="16" t="n">
        <f aca="false">_xlfn.POISSON.DIST(A22,LamU*TYrs,FALSE())</f>
        <v>0.120715284483164</v>
      </c>
    </row>
    <row r="23" customFormat="false" ht="15" hidden="false" customHeight="false" outlineLevel="0" collapsed="false">
      <c r="A23" s="15" t="n">
        <v>5</v>
      </c>
      <c r="B23" s="16" t="n">
        <f aca="false">_xlfn.CHISQ.INV(Conf,2*A23+2)/(2*TYrs)</f>
        <v>0.525651745437077</v>
      </c>
      <c r="C23" s="16" t="n">
        <f aca="false">_xlfn.POISSON.DIST(A23,Lam0*TYrs,FALSE())</f>
        <v>0.0360894088630967</v>
      </c>
      <c r="D23" s="16" t="n">
        <f aca="false">_xlfn.POISSON.DIST(A23,0.2*TYrs,FALSE())</f>
        <v>0.156293451850532</v>
      </c>
      <c r="E23" s="16" t="n">
        <f aca="false">_xlfn.POISSON.DIST(A23,LamU*TYrs,FALSE())</f>
        <v>0.151999703622313</v>
      </c>
    </row>
    <row r="24" customFormat="false" ht="15" hidden="false" customHeight="false" outlineLevel="0" collapsed="false">
      <c r="A24" s="15" t="n">
        <v>6</v>
      </c>
      <c r="B24" s="16" t="n">
        <f aca="false">_xlfn.CHISQ.INV(Conf,2*A24+2)/(2*TYrs)</f>
        <v>0.592119782621015</v>
      </c>
      <c r="C24" s="16" t="n">
        <f aca="false">_xlfn.POISSON.DIST(A24,Lam0*TYrs,FALSE())</f>
        <v>0.0120298029543656</v>
      </c>
      <c r="D24" s="16" t="n">
        <f aca="false">_xlfn.POISSON.DIST(A24,0.2*TYrs,FALSE())</f>
        <v>0.104195634567021</v>
      </c>
      <c r="E24" s="16" t="n">
        <f aca="false">_xlfn.POISSON.DIST(A24,LamU*TYrs,FALSE())</f>
        <v>0.159493127431965</v>
      </c>
    </row>
    <row r="25" customFormat="false" ht="15" hidden="false" customHeight="false" outlineLevel="0" collapsed="false">
      <c r="A25" s="15" t="n">
        <v>7</v>
      </c>
      <c r="B25" s="16" t="n">
        <f aca="false">_xlfn.CHISQ.INV(Conf,2*A25+2)/(2*TYrs)</f>
        <v>0.657405690121606</v>
      </c>
      <c r="C25" s="16" t="n">
        <f aca="false">_xlfn.POISSON.DIST(A25,Lam0*TYrs,FALSE())</f>
        <v>0.00343708655839016</v>
      </c>
      <c r="D25" s="16" t="n">
        <f aca="false">_xlfn.POISSON.DIST(A25,0.2*TYrs,FALSE())</f>
        <v>0.0595403626097263</v>
      </c>
      <c r="E25" s="16" t="n">
        <f aca="false">_xlfn.POISSON.DIST(A25,LamU*TYrs,FALSE())</f>
        <v>0.143447973488369</v>
      </c>
    </row>
    <row r="26" customFormat="false" ht="15" hidden="false" customHeight="false" outlineLevel="0" collapsed="false">
      <c r="A26" s="15" t="n">
        <v>8</v>
      </c>
      <c r="B26" s="16" t="n">
        <f aca="false">_xlfn.CHISQ.INV(Conf,2*A26+2)/(2*TYrs)</f>
        <v>0.721732485759816</v>
      </c>
      <c r="C26" s="16" t="n">
        <f aca="false">_xlfn.POISSON.DIST(A26,Lam0*TYrs,FALSE())</f>
        <v>0.000859271639597541</v>
      </c>
      <c r="D26" s="16" t="n">
        <f aca="false">_xlfn.POISSON.DIST(A26,0.2*TYrs,FALSE())</f>
        <v>0.0297701813048632</v>
      </c>
      <c r="E26" s="16" t="n">
        <f aca="false">_xlfn.POISSON.DIST(A26,LamU*TYrs,FALSE())</f>
        <v>0.112889854569817</v>
      </c>
    </row>
    <row r="27" customFormat="false" ht="15" hidden="false" customHeight="false" outlineLevel="0" collapsed="false">
      <c r="A27" s="15" t="n">
        <v>9</v>
      </c>
      <c r="B27" s="16" t="n">
        <f aca="false">_xlfn.CHISQ.INV(Conf,2*A27+2)/(2*TYrs)</f>
        <v>0.785260821105773</v>
      </c>
      <c r="C27" s="16" t="n">
        <f aca="false">_xlfn.POISSON.DIST(A27,Lam0*TYrs,FALSE())</f>
        <v>0.000190949253243898</v>
      </c>
      <c r="D27" s="16" t="n">
        <f aca="false">_xlfn.POISSON.DIST(A27,0.2*TYrs,FALSE())</f>
        <v>0.0132311916910503</v>
      </c>
      <c r="E27" s="16" t="n">
        <f aca="false">_xlfn.POISSON.DIST(A27,LamU*TYrs,FALSE())</f>
        <v>0.0789701362638567</v>
      </c>
    </row>
    <row r="28" customFormat="false" ht="15" hidden="false" customHeight="false" outlineLevel="0" collapsed="false">
      <c r="A28" s="15" t="n">
        <v>10</v>
      </c>
      <c r="B28" s="16" t="n">
        <f aca="false">_xlfn.CHISQ.INV(Conf,2*A28+2)/(2*TYrs)</f>
        <v>0.848110961786095</v>
      </c>
      <c r="C28" s="16" t="n">
        <f aca="false">_xlfn.POISSON.DIST(A28,Lam0*TYrs,FALSE())</f>
        <v>3.81898506487796E-005</v>
      </c>
      <c r="D28" s="16" t="n">
        <f aca="false">_xlfn.POISSON.DIST(A28,0.2*TYrs,FALSE())</f>
        <v>0.00529247667642012</v>
      </c>
      <c r="E28" s="16" t="n">
        <f aca="false">_xlfn.POISSON.DIST(A28,LamU*TYrs,FALSE())</f>
        <v>0.0497179680208351</v>
      </c>
    </row>
    <row r="29" customFormat="false" ht="15" hidden="false" customHeight="false" outlineLevel="0" collapsed="false">
      <c r="A29" s="15" t="n">
        <v>11</v>
      </c>
      <c r="B29" s="16" t="n">
        <f aca="false">_xlfn.CHISQ.INV(Conf,2*A29+2)/(2*TYrs)</f>
        <v>0.910375712545183</v>
      </c>
      <c r="C29" s="16" t="n">
        <f aca="false">_xlfn.POISSON.DIST(A29,Lam0*TYrs,FALSE())</f>
        <v>6.94360920886902E-006</v>
      </c>
      <c r="D29" s="16" t="n">
        <f aca="false">_xlfn.POISSON.DIST(A29,0.2*TYrs,FALSE())</f>
        <v>0.00192453697324368</v>
      </c>
      <c r="E29" s="16" t="n">
        <f aca="false">_xlfn.POISSON.DIST(A29,LamU*TYrs,FALSE())</f>
        <v>0.0284558241780008</v>
      </c>
    </row>
    <row r="30" customFormat="false" ht="15" hidden="false" customHeight="false" outlineLevel="0" collapsed="false">
      <c r="A30" s="15" t="n">
        <v>12</v>
      </c>
      <c r="B30" s="16" t="n">
        <f aca="false">_xlfn.CHISQ.INV(Conf,2*A30+2)/(2*TYrs)</f>
        <v>0.972128466495751</v>
      </c>
      <c r="C30" s="16" t="n">
        <f aca="false">_xlfn.POISSON.DIST(A30,Lam0*TYrs,FALSE())</f>
        <v>1.15726820147817E-006</v>
      </c>
      <c r="D30" s="16" t="n">
        <f aca="false">_xlfn.POISSON.DIST(A30,0.2*TYrs,FALSE())</f>
        <v>0.00064151232441456</v>
      </c>
      <c r="E30" s="16" t="n">
        <f aca="false">_xlfn.POISSON.DIST(A30,LamU*TYrs,FALSE())</f>
        <v>0.014929333030414</v>
      </c>
    </row>
    <row r="31" customFormat="false" ht="15" hidden="false" customHeight="false" outlineLevel="0" collapsed="false">
      <c r="A31" s="15" t="n">
        <v>13</v>
      </c>
      <c r="B31" s="16" t="n">
        <f aca="false">_xlfn.CHISQ.INV(Conf,2*A31+2)/(2*TYrs)</f>
        <v>1.03342845378568</v>
      </c>
      <c r="C31" s="16" t="n">
        <f aca="false">_xlfn.POISSON.DIST(A31,Lam0*TYrs,FALSE())</f>
        <v>1.78041261765872E-007</v>
      </c>
      <c r="D31" s="16" t="n">
        <f aca="false">_xlfn.POISSON.DIST(A31,0.2*TYrs,FALSE())</f>
        <v>0.000197388407512172</v>
      </c>
      <c r="E31" s="16" t="n">
        <f aca="false">_xlfn.POISSON.DIST(A31,LamU*TYrs,FALSE())</f>
        <v>0.00723015382089873</v>
      </c>
    </row>
    <row r="32" customFormat="false" ht="15" hidden="false" customHeight="false" outlineLevel="0" collapsed="false">
      <c r="A32" s="15" t="n">
        <v>14</v>
      </c>
      <c r="B32" s="16" t="n">
        <f aca="false">_xlfn.CHISQ.INV(Conf,2*A32+2)/(2*TYrs)</f>
        <v>1.09432429564356</v>
      </c>
      <c r="C32" s="16" t="n">
        <f aca="false">_xlfn.POISSON.DIST(A32,Lam0*TYrs,FALSE())</f>
        <v>2.54344659665532E-008</v>
      </c>
      <c r="D32" s="16" t="n">
        <f aca="false">_xlfn.POISSON.DIST(A32,0.2*TYrs,FALSE())</f>
        <v>5.63966878606206E-005</v>
      </c>
      <c r="E32" s="16" t="n">
        <f aca="false">_xlfn.POISSON.DIST(A32,LamU*TYrs,FALSE())</f>
        <v>0.00325139687934054</v>
      </c>
    </row>
    <row r="33" customFormat="false" ht="15" hidden="false" customHeight="false" outlineLevel="0" collapsed="false">
      <c r="A33" s="15" t="n">
        <v>15</v>
      </c>
      <c r="B33" s="16" t="n">
        <f aca="false">_xlfn.CHISQ.INV(Conf,2*A33+2)/(2*TYrs)</f>
        <v>1.15485648800696</v>
      </c>
      <c r="C33" s="16" t="n">
        <f aca="false">_xlfn.POISSON.DIST(A33,Lam0*TYrs,FALSE())</f>
        <v>3.39126212887376E-009</v>
      </c>
      <c r="D33" s="16" t="n">
        <f aca="false">_xlfn.POISSON.DIST(A33,0.2*TYrs,FALSE())</f>
        <v>1.50391167628322E-005</v>
      </c>
      <c r="E33" s="16" t="n">
        <f aca="false">_xlfn.POISSON.DIST(A33,LamU*TYrs,FALSE())</f>
        <v>0.00136467491567511</v>
      </c>
    </row>
    <row r="35" customFormat="false" ht="15" hidden="false" customHeight="false" outlineLevel="0" collapsed="false">
      <c r="A35" s="2" t="s">
        <v>102</v>
      </c>
      <c r="B35" s="19" t="n">
        <f aca="false">1-SUMPRODUCT(($B$18:$B$33&lt;Lam0)*C18:C33)</f>
        <v>1</v>
      </c>
    </row>
    <row r="36" customFormat="false" ht="15" hidden="false" customHeight="false" outlineLevel="0" collapsed="false">
      <c r="A36" s="2" t="s">
        <v>103</v>
      </c>
      <c r="B36" s="19" t="n">
        <f aca="false">1-SUMPRODUCT(($B$18:$B$33&lt;0.2)*D18:D33)</f>
        <v>0.981684361111266</v>
      </c>
    </row>
    <row r="37" customFormat="false" ht="15" hidden="false" customHeight="false" outlineLevel="0" collapsed="false">
      <c r="A37" s="2" t="s">
        <v>104</v>
      </c>
      <c r="B37" s="19" t="n">
        <f aca="false">1-SUMPRODUCT(($B$18:$B$33&lt;LamU)*E18:E33)</f>
        <v>0.986546226517672</v>
      </c>
    </row>
    <row r="38" customFormat="false" ht="15" hidden="false" customHeight="false" outlineLevel="0" collapsed="false">
      <c r="A38" s="2" t="s">
        <v>105</v>
      </c>
      <c r="B38" s="20" t="n">
        <v>1</v>
      </c>
      <c r="C38" s="10" t="s">
        <v>106</v>
      </c>
    </row>
    <row r="39" customFormat="false" ht="15" hidden="false" customHeight="false" outlineLevel="0" collapsed="false">
      <c r="A39" s="2" t="s">
        <v>107</v>
      </c>
      <c r="B39" s="20" t="n">
        <v>0.94986</v>
      </c>
      <c r="C39" s="10" t="s">
        <v>108</v>
      </c>
    </row>
    <row r="40" customFormat="false" ht="15" hidden="false" customHeight="false" outlineLevel="0" collapsed="false">
      <c r="A40" s="2" t="s">
        <v>109</v>
      </c>
      <c r="B40" s="20" t="n">
        <v>0.94986</v>
      </c>
      <c r="C40" s="10" t="s">
        <v>110</v>
      </c>
    </row>
    <row r="42" customFormat="false" ht="15" hidden="false" customHeight="false" outlineLevel="0" collapsed="false">
      <c r="A42" s="4" t="s">
        <v>111</v>
      </c>
    </row>
    <row r="43" customFormat="false" ht="23.85" hidden="false" customHeight="false" outlineLevel="0" collapsed="false">
      <c r="A43" s="8" t="s">
        <v>112</v>
      </c>
      <c r="B43" s="8" t="s">
        <v>113</v>
      </c>
      <c r="C43" s="8"/>
      <c r="D43" s="8" t="s">
        <v>114</v>
      </c>
      <c r="E43" s="8" t="s">
        <v>113</v>
      </c>
    </row>
    <row r="44" customFormat="false" ht="15" hidden="false" customHeight="false" outlineLevel="0" collapsed="false">
      <c r="A44" s="21" t="n">
        <v>0</v>
      </c>
      <c r="B44" s="22" t="n">
        <v>0.04471</v>
      </c>
      <c r="D44" s="12" t="n">
        <v>40</v>
      </c>
      <c r="E44" s="22" t="n">
        <v>0.01034</v>
      </c>
    </row>
    <row r="45" customFormat="false" ht="15" hidden="false" customHeight="false" outlineLevel="0" collapsed="false">
      <c r="A45" s="23" t="n">
        <f aca="false">LamL</f>
        <v>0.0177680755349331</v>
      </c>
      <c r="B45" s="22" t="n">
        <v>0.04567</v>
      </c>
      <c r="D45" s="24" t="n">
        <f aca="false">SigL</f>
        <v>42.2684640119222</v>
      </c>
      <c r="E45" s="22" t="n">
        <v>0.01591</v>
      </c>
    </row>
    <row r="46" customFormat="false" ht="15" hidden="false" customHeight="false" outlineLevel="0" collapsed="false">
      <c r="A46" s="21" t="n">
        <v>0.05</v>
      </c>
      <c r="B46" s="22" t="n">
        <v>0.04732</v>
      </c>
      <c r="D46" s="12" t="n">
        <v>45</v>
      </c>
      <c r="E46" s="22" t="n">
        <v>0.02515</v>
      </c>
    </row>
    <row r="47" customFormat="false" ht="15" hidden="false" customHeight="false" outlineLevel="0" collapsed="false">
      <c r="A47" s="23" t="n">
        <f aca="false">Lam0</f>
        <v>0.1</v>
      </c>
      <c r="B47" s="22" t="n">
        <v>0.05</v>
      </c>
      <c r="D47" s="24" t="n">
        <f aca="false">Sig0</f>
        <v>50</v>
      </c>
      <c r="E47" s="22" t="n">
        <v>0.05</v>
      </c>
    </row>
    <row r="48" customFormat="false" ht="15" hidden="false" customHeight="false" outlineLevel="0" collapsed="false">
      <c r="A48" s="21" t="n">
        <v>0.15</v>
      </c>
      <c r="B48" s="22" t="n">
        <v>0.05271</v>
      </c>
      <c r="D48" s="12" t="n">
        <v>55</v>
      </c>
      <c r="E48" s="22" t="n">
        <v>0.08585</v>
      </c>
    </row>
    <row r="49" customFormat="false" ht="15" hidden="false" customHeight="false" outlineLevel="0" collapsed="false">
      <c r="A49" s="21" t="n">
        <v>0.2</v>
      </c>
      <c r="B49" s="22" t="n">
        <v>0.05529</v>
      </c>
      <c r="D49" s="12" t="n">
        <v>60</v>
      </c>
      <c r="E49" s="22" t="n">
        <v>0.12917</v>
      </c>
    </row>
    <row r="50" customFormat="false" ht="15" hidden="false" customHeight="false" outlineLevel="0" collapsed="false">
      <c r="A50" s="21" t="n">
        <v>0.25</v>
      </c>
      <c r="B50" s="22" t="n">
        <v>0.05796</v>
      </c>
      <c r="D50" s="24" t="n">
        <f aca="false">SigU</f>
        <v>61.5991469068091</v>
      </c>
      <c r="E50" s="22" t="n">
        <v>0.14427</v>
      </c>
    </row>
    <row r="51" customFormat="false" ht="15" hidden="false" customHeight="false" outlineLevel="0" collapsed="false">
      <c r="A51" s="23" t="n">
        <f aca="false">LamU</f>
        <v>0.314789681093599</v>
      </c>
      <c r="B51" s="22" t="n">
        <v>0.0616</v>
      </c>
      <c r="D51" s="12" t="n">
        <v>65</v>
      </c>
      <c r="E51" s="22" t="n">
        <v>0.17865</v>
      </c>
    </row>
    <row r="52" customFormat="false" ht="15" hidden="false" customHeight="false" outlineLevel="0" collapsed="false">
      <c r="A52" s="21" t="n">
        <v>0.35</v>
      </c>
      <c r="B52" s="22" t="n">
        <v>0.06353</v>
      </c>
    </row>
    <row r="54" customFormat="false" ht="15" hidden="false" customHeight="false" outlineLevel="0" collapsed="false">
      <c r="A54" s="2" t="s">
        <v>115</v>
      </c>
      <c r="B54" s="25" t="n">
        <f aca="false">MIN(B44:B51)</f>
        <v>0.04471</v>
      </c>
      <c r="C54" s="10" t="s">
        <v>116</v>
      </c>
    </row>
    <row r="55" customFormat="false" ht="15" hidden="false" customHeight="false" outlineLevel="0" collapsed="false">
      <c r="A55" s="2" t="s">
        <v>117</v>
      </c>
      <c r="B55" s="25" t="n">
        <f aca="false">MAX(B44:B51)</f>
        <v>0.0616</v>
      </c>
      <c r="C55" s="10" t="s">
        <v>118</v>
      </c>
    </row>
    <row r="56" customFormat="false" ht="15" hidden="false" customHeight="false" outlineLevel="0" collapsed="false">
      <c r="A56" s="2" t="s">
        <v>119</v>
      </c>
      <c r="B56" s="25" t="n">
        <f aca="false">E45</f>
        <v>0.01591</v>
      </c>
      <c r="C56" s="10" t="s">
        <v>120</v>
      </c>
    </row>
    <row r="57" customFormat="false" ht="15" hidden="false" customHeight="false" outlineLevel="0" collapsed="false">
      <c r="A57" s="2" t="s">
        <v>117</v>
      </c>
      <c r="B57" s="25" t="n">
        <f aca="false">E50</f>
        <v>0.14427</v>
      </c>
      <c r="C57" s="10" t="s">
        <v>121</v>
      </c>
    </row>
    <row r="58" customFormat="false" ht="15" hidden="false" customHeight="false" outlineLevel="0" collapsed="false">
      <c r="A58" s="2" t="s">
        <v>122</v>
      </c>
      <c r="B58" s="22" t="n">
        <v>0.15789</v>
      </c>
      <c r="C58" s="10"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2"/>
    <col collapsed="false" customWidth="true" hidden="false" outlineLevel="0" max="4" min="4" style="0" width="16"/>
    <col collapsed="false" customWidth="true" hidden="false" outlineLevel="0" max="5" min="5" style="0" width="12"/>
    <col collapsed="false" customWidth="true" hidden="false" outlineLevel="0" max="10" min="6" style="0" width="10"/>
    <col collapsed="false" customWidth="true" hidden="false" outlineLevel="0" max="12" min="11" style="0" width="14"/>
    <col collapsed="false" customWidth="true" hidden="false" outlineLevel="0" max="13" min="13" style="0" width="12"/>
    <col collapsed="false" customWidth="true" hidden="false" outlineLevel="0" max="14" min="14" style="0" width="14"/>
  </cols>
  <sheetData>
    <row r="1" customFormat="false" ht="15" hidden="false" customHeight="false" outlineLevel="0" collapsed="false">
      <c r="A1" s="1" t="s">
        <v>124</v>
      </c>
    </row>
    <row r="2" customFormat="false" ht="15" hidden="false" customHeight="false" outlineLevel="0" collapsed="false">
      <c r="A2" s="10" t="s">
        <v>125</v>
      </c>
    </row>
    <row r="4" customFormat="false" ht="35.05" hidden="false" customHeight="false" outlineLevel="0" collapsed="false">
      <c r="A4" s="8" t="s">
        <v>126</v>
      </c>
      <c r="B4" s="8" t="s">
        <v>127</v>
      </c>
      <c r="C4" s="8" t="s">
        <v>128</v>
      </c>
      <c r="D4" s="8" t="s">
        <v>129</v>
      </c>
      <c r="E4" s="8" t="s">
        <v>130</v>
      </c>
      <c r="F4" s="8" t="s">
        <v>131</v>
      </c>
      <c r="G4" s="8" t="s">
        <v>132</v>
      </c>
      <c r="H4" s="8" t="s">
        <v>133</v>
      </c>
      <c r="I4" s="8" t="s">
        <v>134</v>
      </c>
      <c r="J4" s="8" t="s">
        <v>135</v>
      </c>
      <c r="K4" s="8" t="s">
        <v>136</v>
      </c>
      <c r="L4" s="8" t="s">
        <v>137</v>
      </c>
      <c r="M4" s="8" t="s">
        <v>130</v>
      </c>
      <c r="N4" s="8" t="s">
        <v>138</v>
      </c>
    </row>
    <row r="5" customFormat="false" ht="15" hidden="false" customHeight="false" outlineLevel="0" collapsed="false">
      <c r="A5" s="4" t="s">
        <v>139</v>
      </c>
      <c r="B5" s="23" t="n">
        <f aca="false">Lam0</f>
        <v>0.1</v>
      </c>
      <c r="C5" s="24" t="n">
        <f aca="false">Sig0</f>
        <v>50</v>
      </c>
      <c r="D5" s="22" t="n">
        <v>0.05</v>
      </c>
      <c r="E5" s="22" t="n">
        <v>0.04907</v>
      </c>
      <c r="F5" s="26" t="n">
        <v>170</v>
      </c>
      <c r="G5" s="27" t="n">
        <v>0.667576361426625</v>
      </c>
      <c r="H5" s="17" t="n">
        <f aca="false">Fee*F5</f>
        <v>5.1</v>
      </c>
      <c r="I5" s="17" t="n">
        <f aca="false">VQ*G5</f>
        <v>5.340610891413</v>
      </c>
      <c r="J5" s="17" t="n">
        <f aca="false">H5+I5</f>
        <v>10.440610891413</v>
      </c>
      <c r="K5" s="22" t="n">
        <v>0.04907</v>
      </c>
      <c r="L5" s="22" t="n">
        <v>0.05</v>
      </c>
      <c r="M5" s="22" t="n">
        <v>0.04907</v>
      </c>
      <c r="N5" s="17" t="n">
        <f aca="false">J5-$J$5</f>
        <v>0</v>
      </c>
    </row>
    <row r="6" customFormat="false" ht="15" hidden="false" customHeight="false" outlineLevel="0" collapsed="false">
      <c r="A6" s="4" t="s">
        <v>140</v>
      </c>
      <c r="B6" s="23" t="n">
        <f aca="false">LamU</f>
        <v>0.314789681093599</v>
      </c>
      <c r="C6" s="24" t="n">
        <f aca="false">Sig0</f>
        <v>50</v>
      </c>
      <c r="D6" s="22" t="n">
        <v>0.0616</v>
      </c>
      <c r="E6" s="22" t="n">
        <v>0.06064</v>
      </c>
      <c r="F6" s="26" t="n">
        <v>210</v>
      </c>
      <c r="G6" s="27" t="n">
        <v>0.667167916264314</v>
      </c>
      <c r="H6" s="17" t="n">
        <f aca="false">Fee*F6</f>
        <v>6.3</v>
      </c>
      <c r="I6" s="17" t="n">
        <f aca="false">VQ*G6</f>
        <v>5.33734333011451</v>
      </c>
      <c r="J6" s="17" t="n">
        <f aca="false">H6+I6</f>
        <v>11.6373433301145</v>
      </c>
      <c r="K6" s="22" t="n">
        <v>0.04883</v>
      </c>
      <c r="L6" s="22" t="n">
        <v>0.04631</v>
      </c>
      <c r="M6" s="22" t="n">
        <v>0.04534</v>
      </c>
      <c r="N6" s="17" t="n">
        <f aca="false">J6-$J$5</f>
        <v>1.19673243870152</v>
      </c>
    </row>
    <row r="7" customFormat="false" ht="15" hidden="false" customHeight="false" outlineLevel="0" collapsed="false">
      <c r="A7" s="4" t="s">
        <v>141</v>
      </c>
      <c r="B7" s="23" t="n">
        <f aca="false">Lam0</f>
        <v>0.1</v>
      </c>
      <c r="C7" s="24" t="n">
        <f aca="false">SigU</f>
        <v>61.5991469068091</v>
      </c>
      <c r="D7" s="22" t="n">
        <v>0.14427</v>
      </c>
      <c r="E7" s="22" t="n">
        <v>0.14443</v>
      </c>
      <c r="F7" s="26" t="n">
        <v>170</v>
      </c>
      <c r="G7" s="27" t="n">
        <v>2.21836799238346</v>
      </c>
      <c r="H7" s="17" t="n">
        <f aca="false">Fee*F7</f>
        <v>5.1</v>
      </c>
      <c r="I7" s="17" t="n">
        <f aca="false">VQ*G7</f>
        <v>17.7469439390677</v>
      </c>
      <c r="J7" s="17" t="n">
        <f aca="false">H7+I7</f>
        <v>22.8469439390677</v>
      </c>
      <c r="K7" s="22" t="n">
        <v>0.04914</v>
      </c>
      <c r="L7" s="22" t="n">
        <v>0.01063</v>
      </c>
      <c r="M7" s="22" t="n">
        <v>0.01032</v>
      </c>
      <c r="N7" s="17" t="n">
        <f aca="false">J7-$J$5</f>
        <v>12.4063330476547</v>
      </c>
    </row>
    <row r="8" customFormat="false" ht="15" hidden="false" customHeight="false" outlineLevel="0" collapsed="false">
      <c r="A8" s="4" t="s">
        <v>142</v>
      </c>
      <c r="B8" s="23" t="n">
        <f aca="false">LamU</f>
        <v>0.314789681093599</v>
      </c>
      <c r="C8" s="24" t="n">
        <f aca="false">SigU</f>
        <v>61.5991469068091</v>
      </c>
      <c r="D8" s="22" t="n">
        <v>0.15789</v>
      </c>
      <c r="E8" s="22" t="n">
        <v>0.15835</v>
      </c>
      <c r="F8" s="26" t="n">
        <v>200</v>
      </c>
      <c r="G8" s="27" t="n">
        <v>2.25040414029763</v>
      </c>
      <c r="H8" s="17" t="n">
        <f aca="false">Fee*F8</f>
        <v>6</v>
      </c>
      <c r="I8" s="17" t="n">
        <f aca="false">VQ*G8</f>
        <v>18.003233122381</v>
      </c>
      <c r="J8" s="17" t="n">
        <f aca="false">H8+I8</f>
        <v>24.003233122381</v>
      </c>
      <c r="K8" s="22" t="n">
        <v>0.04905</v>
      </c>
      <c r="L8" s="22" t="n">
        <v>0.00894</v>
      </c>
      <c r="M8" s="22" t="n">
        <v>0.0086</v>
      </c>
      <c r="N8" s="17" t="n">
        <f aca="false">J8-$J$5</f>
        <v>13.562622230968</v>
      </c>
    </row>
    <row r="9" customFormat="false" ht="15" hidden="false" customHeight="false" outlineLevel="0" collapsed="false">
      <c r="A9" s="4" t="s">
        <v>143</v>
      </c>
      <c r="B9" s="23" t="n">
        <f aca="false">LamU2</f>
        <v>0.228837975665939</v>
      </c>
      <c r="C9" s="24" t="n">
        <f aca="false">SigU2</f>
        <v>57.6028166616579</v>
      </c>
      <c r="D9" s="22" t="n">
        <v>0.11598</v>
      </c>
      <c r="E9" s="22" t="n">
        <v>0.11429</v>
      </c>
      <c r="F9" s="26" t="n">
        <v>195</v>
      </c>
      <c r="G9" s="27" t="n">
        <v>1.69008238167613</v>
      </c>
      <c r="H9" s="17" t="n">
        <f aca="false">Fee*F9</f>
        <v>5.85</v>
      </c>
      <c r="I9" s="17" t="n">
        <f aca="false">VQ*G9</f>
        <v>13.520659053409</v>
      </c>
      <c r="J9" s="17" t="n">
        <f aca="false">H9+I9</f>
        <v>19.370659053409</v>
      </c>
      <c r="K9" s="22" t="n">
        <v>0.04871</v>
      </c>
      <c r="L9" s="22" t="n">
        <v>0.01664</v>
      </c>
      <c r="M9" s="22" t="n">
        <v>0.01622</v>
      </c>
      <c r="N9" s="17" t="n">
        <f aca="false">J9-$J$5</f>
        <v>8.93004816199601</v>
      </c>
    </row>
    <row r="11" customFormat="false" ht="15" hidden="false" customHeight="false" outlineLevel="0" collapsed="false">
      <c r="A11" s="2" t="s">
        <v>144</v>
      </c>
      <c r="B11" s="17" t="n">
        <f aca="false">J8-J5</f>
        <v>13.562622230968</v>
      </c>
      <c r="C11" s="10" t="s">
        <v>145</v>
      </c>
    </row>
    <row r="12" customFormat="false" ht="15" hidden="false" customHeight="false" outlineLevel="0" collapsed="false">
      <c r="A12" s="2" t="s">
        <v>146</v>
      </c>
      <c r="B12" s="17" t="n">
        <f aca="false">J7-J5</f>
        <v>12.4063330476547</v>
      </c>
      <c r="C12" s="10" t="s">
        <v>147</v>
      </c>
    </row>
    <row r="13" customFormat="false" ht="15" hidden="false" customHeight="false" outlineLevel="0" collapsed="false">
      <c r="A13" s="2" t="s">
        <v>148</v>
      </c>
      <c r="B13" s="17" t="n">
        <f aca="false">J6-J5</f>
        <v>1.19673243870152</v>
      </c>
    </row>
    <row r="14" customFormat="false" ht="15" hidden="false" customHeight="false" outlineLevel="0" collapsed="false">
      <c r="A14" s="2" t="s">
        <v>149</v>
      </c>
      <c r="B14" s="17" t="n">
        <f aca="false">J8-J9</f>
        <v>4.63257406897201</v>
      </c>
      <c r="C14" s="10" t="s">
        <v>150</v>
      </c>
    </row>
    <row r="16" customFormat="false" ht="15" hidden="false" customHeight="false" outlineLevel="0" collapsed="false">
      <c r="A16" s="4" t="s">
        <v>151</v>
      </c>
    </row>
    <row r="17" customFormat="false" ht="15" hidden="false" customHeight="false" outlineLevel="0" collapsed="false">
      <c r="A17" s="10" t="s">
        <v>152</v>
      </c>
    </row>
    <row r="18" customFormat="false" ht="15" hidden="false" customHeight="false" outlineLevel="0" collapsed="false">
      <c r="A18" s="4" t="s">
        <v>153</v>
      </c>
      <c r="B18" s="17" t="n">
        <f aca="false">SigL+(SigU-SigL)*0/6</f>
        <v>42.2684640119222</v>
      </c>
      <c r="C18" s="17" t="n">
        <f aca="false">SigL+(SigU-SigL)*1/6</f>
        <v>45.4902444944033</v>
      </c>
      <c r="D18" s="17" t="n">
        <f aca="false">SigL+(SigU-SigL)*2/6</f>
        <v>48.7120249768845</v>
      </c>
      <c r="E18" s="17" t="n">
        <f aca="false">SigL+(SigU-SigL)*3/6</f>
        <v>51.9338054593656</v>
      </c>
      <c r="F18" s="17" t="n">
        <f aca="false">SigL+(SigU-SigL)*4/6</f>
        <v>55.1555859418468</v>
      </c>
      <c r="G18" s="17" t="n">
        <f aca="false">SigL+(SigU-SigL)*5/6</f>
        <v>58.3773664243279</v>
      </c>
      <c r="H18" s="17" t="n">
        <f aca="false">SigL+(SigU-SigL)*6/6</f>
        <v>61.5991469068091</v>
      </c>
    </row>
    <row r="19" customFormat="false" ht="15" hidden="false" customHeight="false" outlineLevel="0" collapsed="false">
      <c r="A19" s="16" t="n">
        <f aca="false">LamU*0/6</f>
        <v>0</v>
      </c>
      <c r="B19" s="22" t="n">
        <v>0.00098</v>
      </c>
      <c r="C19" s="22" t="n">
        <v>0.00256</v>
      </c>
      <c r="D19" s="22" t="n">
        <v>0.00613</v>
      </c>
      <c r="E19" s="22" t="n">
        <v>0.0112</v>
      </c>
      <c r="F19" s="22" t="n">
        <v>0.01925</v>
      </c>
      <c r="G19" s="22" t="n">
        <v>0.03049</v>
      </c>
      <c r="H19" s="22" t="n">
        <v>0.04505</v>
      </c>
    </row>
    <row r="20" customFormat="false" ht="15" hidden="false" customHeight="false" outlineLevel="0" collapsed="false">
      <c r="A20" s="16" t="n">
        <f aca="false">LamU*1/6</f>
        <v>0.0524649468489332</v>
      </c>
      <c r="B20" s="22" t="n">
        <v>0.00123</v>
      </c>
      <c r="C20" s="22" t="n">
        <v>0.00292</v>
      </c>
      <c r="D20" s="22" t="n">
        <v>0.00655</v>
      </c>
      <c r="E20" s="22" t="n">
        <v>0.0118</v>
      </c>
      <c r="F20" s="22" t="n">
        <v>0.01991</v>
      </c>
      <c r="G20" s="22" t="n">
        <v>0.03116</v>
      </c>
      <c r="H20" s="22" t="n">
        <v>0.04587</v>
      </c>
    </row>
    <row r="21" customFormat="false" ht="15" hidden="false" customHeight="false" outlineLevel="0" collapsed="false">
      <c r="A21" s="16" t="n">
        <f aca="false">LamU*2/6</f>
        <v>0.104929893697866</v>
      </c>
      <c r="B21" s="22" t="n">
        <v>0.00163</v>
      </c>
      <c r="C21" s="22" t="n">
        <v>0.0034</v>
      </c>
      <c r="D21" s="22" t="n">
        <v>0.00718</v>
      </c>
      <c r="E21" s="22" t="n">
        <v>0.01251</v>
      </c>
      <c r="F21" s="22" t="n">
        <v>0.02063</v>
      </c>
      <c r="G21" s="22" t="n">
        <v>0.03194</v>
      </c>
      <c r="H21" s="22" t="n">
        <v>0.04669</v>
      </c>
    </row>
    <row r="22" customFormat="false" ht="15" hidden="false" customHeight="false" outlineLevel="0" collapsed="false">
      <c r="A22" s="16" t="n">
        <f aca="false">LamU*3/6</f>
        <v>0.1573948405468</v>
      </c>
      <c r="B22" s="22" t="n">
        <v>0.00189</v>
      </c>
      <c r="C22" s="22" t="n">
        <v>0.00369</v>
      </c>
      <c r="D22" s="22" t="n">
        <v>0.00759</v>
      </c>
      <c r="E22" s="22" t="n">
        <v>0.01298</v>
      </c>
      <c r="F22" s="22" t="n">
        <v>0.02131</v>
      </c>
      <c r="G22" s="22" t="n">
        <v>0.03271</v>
      </c>
      <c r="H22" s="22" t="n">
        <v>0.04746</v>
      </c>
    </row>
    <row r="23" customFormat="false" ht="15" hidden="false" customHeight="false" outlineLevel="0" collapsed="false">
      <c r="A23" s="16" t="n">
        <f aca="false">LamU*4/6</f>
        <v>0.209859787395733</v>
      </c>
      <c r="B23" s="22" t="n">
        <v>0.00219</v>
      </c>
      <c r="C23" s="22" t="n">
        <v>0.00408</v>
      </c>
      <c r="D23" s="22" t="n">
        <v>0.00805</v>
      </c>
      <c r="E23" s="22" t="n">
        <v>0.01356</v>
      </c>
      <c r="F23" s="22" t="n">
        <v>0.02196</v>
      </c>
      <c r="G23" s="22" t="n">
        <v>0.03343</v>
      </c>
      <c r="H23" s="22" t="n">
        <v>0.04822</v>
      </c>
    </row>
    <row r="24" customFormat="false" ht="15" hidden="false" customHeight="false" outlineLevel="0" collapsed="false">
      <c r="A24" s="16" t="n">
        <f aca="false">LamU*5/6</f>
        <v>0.262324734244666</v>
      </c>
      <c r="B24" s="22" t="n">
        <v>0.00257</v>
      </c>
      <c r="C24" s="22" t="n">
        <v>0.00453</v>
      </c>
      <c r="D24" s="22" t="n">
        <v>0.00856</v>
      </c>
      <c r="E24" s="22" t="n">
        <v>0.01413</v>
      </c>
      <c r="F24" s="22" t="n">
        <v>0.02266</v>
      </c>
      <c r="G24" s="22" t="n">
        <v>0.03415</v>
      </c>
      <c r="H24" s="22" t="n">
        <v>0.04903</v>
      </c>
    </row>
    <row r="25" customFormat="false" ht="15" hidden="false" customHeight="false" outlineLevel="0" collapsed="false">
      <c r="A25" s="16" t="n">
        <f aca="false">LamU*6/6</f>
        <v>0.314789681093599</v>
      </c>
      <c r="B25" s="22" t="n">
        <v>0.00292</v>
      </c>
      <c r="C25" s="22" t="n">
        <v>0.00491</v>
      </c>
      <c r="D25" s="22" t="n">
        <v>0.00901</v>
      </c>
      <c r="E25" s="22" t="n">
        <v>0.0147</v>
      </c>
      <c r="F25" s="22" t="n">
        <v>0.02342</v>
      </c>
      <c r="G25" s="22" t="n">
        <v>0.03501</v>
      </c>
      <c r="H25" s="22" t="n">
        <v>0.05</v>
      </c>
    </row>
    <row r="27" customFormat="false" ht="15" hidden="false" customHeight="false" outlineLevel="0" collapsed="false">
      <c r="A27" s="2" t="s">
        <v>154</v>
      </c>
      <c r="B27" s="25" t="n">
        <f aca="false">MAX(B19:H25)</f>
        <v>0.05</v>
      </c>
      <c r="C27" s="10" t="s">
        <v>155</v>
      </c>
    </row>
    <row r="28" customFormat="false" ht="15" hidden="false" customHeight="false" outlineLevel="0" collapsed="false">
      <c r="A28" s="2" t="s">
        <v>156</v>
      </c>
      <c r="B28" s="15" t="n">
        <f aca="false">IF(MAX(B19:H25)=H25,1,0)</f>
        <v>1</v>
      </c>
      <c r="C28" s="10"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3" min="2" style="0" width="16"/>
    <col collapsed="false" customWidth="true" hidden="false" outlineLevel="0" max="4" min="4" style="0" width="18"/>
    <col collapsed="false" customWidth="true" hidden="false" outlineLevel="0" max="5" min="5" style="0" width="30"/>
    <col collapsed="false" customWidth="true" hidden="false" outlineLevel="0" max="6" min="6" style="0" width="12"/>
    <col collapsed="false" customWidth="true" hidden="false" outlineLevel="0" max="7" min="7" style="0" width="10"/>
    <col collapsed="false" customWidth="true" hidden="false" outlineLevel="0" max="10" min="8" style="0" width="14"/>
    <col collapsed="false" customWidth="true" hidden="false" outlineLevel="0" max="11" min="11" style="0" width="3"/>
    <col collapsed="false" customWidth="true" hidden="false" outlineLevel="0" max="12" min="12" style="0" width="58"/>
    <col collapsed="false" customWidth="true" hidden="false" outlineLevel="0" max="13" min="13" style="0" width="14"/>
  </cols>
  <sheetData>
    <row r="1" customFormat="false" ht="15" hidden="false" customHeight="false" outlineLevel="0" collapsed="false">
      <c r="A1" s="1" t="s">
        <v>158</v>
      </c>
    </row>
    <row r="2" customFormat="false" ht="15" hidden="false" customHeight="false" outlineLevel="0" collapsed="false">
      <c r="A2" s="10" t="s">
        <v>159</v>
      </c>
    </row>
    <row r="4" customFormat="false" ht="23.85" hidden="false" customHeight="false" outlineLevel="0" collapsed="false">
      <c r="A4" s="8" t="s">
        <v>160</v>
      </c>
      <c r="B4" s="8" t="s">
        <v>161</v>
      </c>
      <c r="C4" s="8" t="s">
        <v>162</v>
      </c>
      <c r="D4" s="8" t="s">
        <v>163</v>
      </c>
      <c r="E4" s="8" t="s">
        <v>74</v>
      </c>
      <c r="L4" s="4" t="s">
        <v>164</v>
      </c>
    </row>
    <row r="5" customFormat="false" ht="15" hidden="false" customHeight="false" outlineLevel="0" collapsed="false">
      <c r="A5" s="2" t="s">
        <v>165</v>
      </c>
      <c r="B5" s="16" t="n">
        <f aca="false">H_yrs*(LamU*LN(LamU/Lam0)-LamU+Lam0)</f>
        <v>0.438571567329423</v>
      </c>
      <c r="C5" s="28" t="n">
        <f aca="false">KL_Bisection!B71</f>
        <v>2.92656666513344E-006</v>
      </c>
      <c r="D5" s="29" t="n">
        <v>2.92656666513355E-006</v>
      </c>
      <c r="E5" s="10" t="s">
        <v>166</v>
      </c>
      <c r="L5" s="2" t="s">
        <v>167</v>
      </c>
      <c r="M5" s="21" t="n">
        <v>0.01</v>
      </c>
    </row>
    <row r="6" customFormat="false" ht="15" hidden="false" customHeight="false" outlineLevel="0" collapsed="false">
      <c r="A6" s="2" t="s">
        <v>168</v>
      </c>
      <c r="B6" s="16" t="n">
        <f aca="false">NQ*(LN(1/Records!B11)+(Records!B11^2-1)/2)</f>
        <v>0.603191565952027</v>
      </c>
      <c r="C6" s="28" t="n">
        <f aca="false">KL_Bisection!D71</f>
        <v>1.0875870550699E-007</v>
      </c>
      <c r="D6" s="29" t="n">
        <v>1.0875870550699E-007</v>
      </c>
      <c r="E6" s="10" t="s">
        <v>169</v>
      </c>
      <c r="L6" s="2" t="s">
        <v>170</v>
      </c>
      <c r="M6" s="30" t="n">
        <f aca="false">KL_Bisection!AP71</f>
        <v>0.024981144816651</v>
      </c>
    </row>
    <row r="7" customFormat="false" ht="15" hidden="false" customHeight="false" outlineLevel="0" collapsed="false">
      <c r="A7" s="2" t="s">
        <v>171</v>
      </c>
      <c r="B7" s="16" t="n">
        <f aca="false">B5+B6</f>
        <v>1.04176313328145</v>
      </c>
      <c r="C7" s="28" t="n">
        <f aca="false">KL_Bisection!F71</f>
        <v>1.68685945706765E-011</v>
      </c>
      <c r="D7" s="29" t="n">
        <v>1.6868594570677E-011</v>
      </c>
      <c r="E7" s="10" t="s">
        <v>172</v>
      </c>
      <c r="L7" s="2" t="s">
        <v>173</v>
      </c>
      <c r="M7" s="31" t="n">
        <f aca="false">KL_Bisection!AR71</f>
        <v>0.0836482674857246</v>
      </c>
    </row>
    <row r="8" customFormat="false" ht="15" hidden="false" customHeight="false" outlineLevel="0" collapsed="false">
      <c r="L8" s="2" t="s">
        <v>174</v>
      </c>
      <c r="M8" s="32" t="n">
        <f aca="false">(Alpha)*LN((Alpha)/(M6))+(1-(Alpha))*LN((1-(Alpha))/(1-(M6)))-M5</f>
        <v>5.03069808033274E-017</v>
      </c>
    </row>
    <row r="9" customFormat="false" ht="15" hidden="false" customHeight="false" outlineLevel="0" collapsed="false">
      <c r="A9" s="2" t="s">
        <v>175</v>
      </c>
      <c r="B9" s="26" t="n">
        <v>1</v>
      </c>
      <c r="E9" s="10" t="s">
        <v>176</v>
      </c>
    </row>
    <row r="10" customFormat="false" ht="15" hidden="false" customHeight="false" outlineLevel="0" collapsed="false">
      <c r="A10" s="2" t="s">
        <v>177</v>
      </c>
      <c r="B10" s="33" t="n">
        <f aca="false">B9/NPaths</f>
        <v>1E-005</v>
      </c>
      <c r="L10" s="10" t="s">
        <v>178</v>
      </c>
    </row>
    <row r="11" customFormat="false" ht="15" hidden="false" customHeight="false" outlineLevel="0" collapsed="false">
      <c r="A11" s="2" t="s">
        <v>179</v>
      </c>
      <c r="B11" s="16" t="n">
        <f aca="false">(Alpha)*LN((Alpha)/(B10))+(1-(Alpha))*LN((1-(Alpha))/(1-(B10)))</f>
        <v>0.377140529950139</v>
      </c>
      <c r="E11" s="10" t="s">
        <v>180</v>
      </c>
    </row>
    <row r="13" customFormat="false" ht="15" hidden="false" customHeight="false" outlineLevel="0" collapsed="false">
      <c r="A13" s="4" t="s">
        <v>181</v>
      </c>
    </row>
    <row r="14" customFormat="false" ht="23.85" hidden="false" customHeight="false" outlineLevel="0" collapsed="false">
      <c r="A14" s="8" t="s">
        <v>161</v>
      </c>
      <c r="B14" s="8" t="s">
        <v>182</v>
      </c>
      <c r="C14" s="8" t="s">
        <v>183</v>
      </c>
      <c r="D14" s="8" t="s">
        <v>184</v>
      </c>
    </row>
    <row r="15" customFormat="false" ht="15" hidden="false" customHeight="false" outlineLevel="0" collapsed="false">
      <c r="A15" s="34" t="n">
        <v>0.001</v>
      </c>
      <c r="B15" s="31" t="n">
        <f aca="false">KL_Bisection!AB71</f>
        <v>0.0600408213770422</v>
      </c>
      <c r="C15" s="22" t="n">
        <v>0.0600408213770421</v>
      </c>
      <c r="D15" s="32" t="n">
        <f aca="false">(C15)*LN((C15)/(Alpha))+(1-(C15))*LN((1-(C15))/(1-(Alpha)))-A15</f>
        <v>1.12757025938492E-017</v>
      </c>
    </row>
    <row r="16" customFormat="false" ht="15" hidden="false" customHeight="false" outlineLevel="0" collapsed="false">
      <c r="A16" s="34" t="n">
        <v>0.003</v>
      </c>
      <c r="B16" s="31" t="n">
        <f aca="false">KL_Bisection!AD71</f>
        <v>0.0677518178859637</v>
      </c>
      <c r="C16" s="22" t="n">
        <v>0.0677518178859636</v>
      </c>
      <c r="D16" s="32" t="n">
        <f aca="false">(C16)*LN((C16)/(Alpha))+(1-(C16))*LN((1-(C16))/(1-(Alpha)))-A16</f>
        <v>-2.86229373536173E-017</v>
      </c>
    </row>
    <row r="17" customFormat="false" ht="15" hidden="false" customHeight="false" outlineLevel="0" collapsed="false">
      <c r="A17" s="34" t="n">
        <v>0.01</v>
      </c>
      <c r="B17" s="31" t="n">
        <f aca="false">KL_Bisection!AF71</f>
        <v>0.0836482674857246</v>
      </c>
      <c r="C17" s="22" t="n">
        <v>0.0836482674857247</v>
      </c>
      <c r="D17" s="32" t="n">
        <f aca="false">(C17)*LN((C17)/(Alpha))+(1-(C17))*LN((1-(C17))/(1-(Alpha)))-A17</f>
        <v>-3.98986399474666E-017</v>
      </c>
    </row>
    <row r="18" customFormat="false" ht="15" hidden="false" customHeight="false" outlineLevel="0" collapsed="false">
      <c r="A18" s="34" t="n">
        <v>0.03</v>
      </c>
      <c r="B18" s="31" t="n">
        <f aca="false">KL_Bisection!AH71</f>
        <v>0.111548048226802</v>
      </c>
      <c r="C18" s="22" t="n">
        <v>0.111548048226802</v>
      </c>
      <c r="D18" s="32" t="n">
        <f aca="false">(C18)*LN((C18)/(Alpha))+(1-(C18))*LN((1-(C18))/(1-(Alpha)))-A18</f>
        <v>0</v>
      </c>
    </row>
    <row r="19" customFormat="false" ht="15" hidden="false" customHeight="false" outlineLevel="0" collapsed="false">
      <c r="A19" s="34" t="n">
        <v>0.1</v>
      </c>
      <c r="B19" s="31" t="n">
        <f aca="false">KL_Bisection!AJ71</f>
        <v>0.172949347713484</v>
      </c>
      <c r="C19" s="22" t="n">
        <v>0.172949347713485</v>
      </c>
      <c r="D19" s="32" t="n">
        <f aca="false">(C19)*LN((C19)/(Alpha))+(1-(C19))*LN((1-(C19))/(1-(Alpha)))-A19</f>
        <v>0</v>
      </c>
    </row>
    <row r="20" customFormat="false" ht="15" hidden="false" customHeight="false" outlineLevel="0" collapsed="false">
      <c r="A20" s="34" t="n">
        <v>0.3</v>
      </c>
      <c r="B20" s="31" t="n">
        <f aca="false">KL_Bisection!AL71</f>
        <v>0.288519197341886</v>
      </c>
      <c r="C20" s="22" t="n">
        <v>0.288519197341887</v>
      </c>
      <c r="D20" s="32" t="n">
        <f aca="false">(C20)*LN((C20)/(Alpha))+(1-(C20))*LN((1-(C20))/(1-(Alpha)))-A20</f>
        <v>0</v>
      </c>
    </row>
    <row r="21" customFormat="false" ht="15" hidden="false" customHeight="false" outlineLevel="0" collapsed="false">
      <c r="A21" s="34" t="n">
        <v>1</v>
      </c>
      <c r="B21" s="31" t="n">
        <f aca="false">KL_Bisection!AN71</f>
        <v>0.555514150436409</v>
      </c>
      <c r="C21" s="22" t="n">
        <v>0.55551415043641</v>
      </c>
      <c r="D21" s="32" t="n">
        <f aca="false">(C21)*LN((C21)/(Alpha))+(1-(C21))*LN((1-(C21))/(1-(Alpha)))-A21</f>
        <v>0</v>
      </c>
    </row>
    <row r="23" customFormat="false" ht="15" hidden="false" customHeight="false" outlineLevel="0" collapsed="false">
      <c r="A23" s="4" t="s">
        <v>185</v>
      </c>
    </row>
    <row r="24" customFormat="false" ht="23.85" hidden="false" customHeight="false" outlineLevel="0" collapsed="false">
      <c r="A24" s="8" t="s">
        <v>161</v>
      </c>
      <c r="B24" s="8" t="s">
        <v>186</v>
      </c>
      <c r="C24" s="8" t="s">
        <v>187</v>
      </c>
      <c r="D24" s="8" t="s">
        <v>188</v>
      </c>
      <c r="E24" s="8" t="s">
        <v>131</v>
      </c>
      <c r="F24" s="8" t="s">
        <v>132</v>
      </c>
      <c r="G24" s="8" t="s">
        <v>135</v>
      </c>
      <c r="H24" s="8" t="s">
        <v>189</v>
      </c>
      <c r="I24" s="8" t="s">
        <v>190</v>
      </c>
      <c r="J24" s="8" t="s">
        <v>191</v>
      </c>
    </row>
    <row r="25" customFormat="false" ht="15" hidden="false" customHeight="false" outlineLevel="0" collapsed="false">
      <c r="A25" s="34" t="n">
        <v>0</v>
      </c>
      <c r="B25" s="31" t="n">
        <f aca="false">Alpha</f>
        <v>0.05</v>
      </c>
      <c r="C25" s="22" t="n">
        <v>0.05</v>
      </c>
      <c r="E25" s="26" t="n">
        <v>170</v>
      </c>
      <c r="F25" s="27" t="n">
        <v>0.667576361426625</v>
      </c>
      <c r="G25" s="17" t="n">
        <f aca="false">Fee*E25+VQ*F25</f>
        <v>10.440610891413</v>
      </c>
      <c r="H25" s="22" t="n">
        <v>0.05</v>
      </c>
      <c r="I25" s="22" t="n">
        <v>0.04907</v>
      </c>
      <c r="J25" s="17" t="n">
        <f aca="false">G25-$G$25</f>
        <v>0</v>
      </c>
    </row>
    <row r="26" customFormat="false" ht="15" hidden="false" customHeight="false" outlineLevel="0" collapsed="false">
      <c r="A26" s="34" t="n">
        <v>0.001</v>
      </c>
      <c r="B26" s="31" t="n">
        <f aca="false">KL_Bisection!H71</f>
        <v>0.0408482563896957</v>
      </c>
      <c r="C26" s="22" t="n">
        <v>0.0408482563896962</v>
      </c>
      <c r="D26" s="32" t="n">
        <f aca="false">(Alpha)*LN((Alpha)/(C26))+(1-(Alpha))*LN((1-(Alpha))/(1-(C26)))-A26</f>
        <v>-5.63785129692462E-017</v>
      </c>
      <c r="E26" s="26" t="n">
        <v>160</v>
      </c>
      <c r="F26" s="27" t="n">
        <v>0.924280193766207</v>
      </c>
      <c r="G26" s="17" t="n">
        <f aca="false">Fee*E26+VQ*F26</f>
        <v>12.1942415501297</v>
      </c>
      <c r="H26" s="22" t="n">
        <v>0.04084</v>
      </c>
      <c r="I26" s="22" t="n">
        <v>0.04049</v>
      </c>
      <c r="J26" s="17" t="n">
        <f aca="false">G26-$G$25</f>
        <v>1.75363065871666</v>
      </c>
    </row>
    <row r="27" customFormat="false" ht="15" hidden="false" customHeight="false" outlineLevel="0" collapsed="false">
      <c r="A27" s="34" t="n">
        <v>0.002</v>
      </c>
      <c r="B27" s="31" t="n">
        <f aca="false">KL_Bisection!J71</f>
        <v>0.0374012612403768</v>
      </c>
      <c r="C27" s="22" t="n">
        <v>0.0374012612403768</v>
      </c>
      <c r="D27" s="32" t="n">
        <f aca="false">(Alpha)*LN((Alpha)/(C27))+(1-(Alpha))*LN((1-(Alpha))/(1-(C27)))-A27</f>
        <v>5.72458747072346E-017</v>
      </c>
      <c r="E27" s="26" t="n">
        <v>165</v>
      </c>
      <c r="F27" s="27" t="n">
        <v>0.99808348730644</v>
      </c>
      <c r="G27" s="17" t="n">
        <f aca="false">Fee*E27+VQ*F27</f>
        <v>12.9346678984515</v>
      </c>
      <c r="H27" s="22" t="n">
        <v>0.0374</v>
      </c>
      <c r="I27" s="22" t="n">
        <v>0.0368</v>
      </c>
      <c r="J27" s="17" t="n">
        <f aca="false">G27-$G$25</f>
        <v>2.49405700703852</v>
      </c>
    </row>
    <row r="28" customFormat="false" ht="15" hidden="false" customHeight="false" outlineLevel="0" collapsed="false">
      <c r="A28" s="34" t="n">
        <v>0.005</v>
      </c>
      <c r="B28" s="31" t="n">
        <f aca="false">KL_Bisection!L71</f>
        <v>0.0311420171306599</v>
      </c>
      <c r="C28" s="22" t="n">
        <v>0.0311420171306599</v>
      </c>
      <c r="D28" s="32" t="n">
        <f aca="false">(Alpha)*LN((Alpha)/(C28))+(1-(Alpha))*LN((1-(Alpha))/(1-(C28)))-A28</f>
        <v>-5.11743425413158E-017</v>
      </c>
      <c r="E28" s="26" t="n">
        <v>170</v>
      </c>
      <c r="F28" s="27" t="n">
        <v>1.16216729584418</v>
      </c>
      <c r="G28" s="17" t="n">
        <f aca="false">Fee*E28+VQ*F28</f>
        <v>14.3973383667534</v>
      </c>
      <c r="H28" s="22" t="n">
        <v>0.03114</v>
      </c>
      <c r="I28" s="22" t="n">
        <v>0.03093</v>
      </c>
      <c r="J28" s="17" t="n">
        <f aca="false">G28-$G$25</f>
        <v>3.95672747534042</v>
      </c>
    </row>
    <row r="29" customFormat="false" ht="15" hidden="false" customHeight="false" outlineLevel="0" collapsed="false">
      <c r="A29" s="34" t="n">
        <v>0.01</v>
      </c>
      <c r="B29" s="31" t="n">
        <f aca="false">KL_Bisection!N71</f>
        <v>0.024981144816651</v>
      </c>
      <c r="C29" s="22" t="n">
        <v>0.024981144816651</v>
      </c>
      <c r="D29" s="32" t="n">
        <f aca="false">(Alpha)*LN((Alpha)/(C29))+(1-(Alpha))*LN((1-(Alpha))/(1-(C29)))-A29</f>
        <v>0</v>
      </c>
      <c r="E29" s="26" t="n">
        <v>175</v>
      </c>
      <c r="F29" s="27" t="n">
        <v>1.35390235665322</v>
      </c>
      <c r="G29" s="17" t="n">
        <f aca="false">Fee*E29+VQ*F29</f>
        <v>16.0812188532258</v>
      </c>
      <c r="H29" s="22" t="n">
        <v>0.02498</v>
      </c>
      <c r="I29" s="22" t="n">
        <v>0.02515</v>
      </c>
      <c r="J29" s="17" t="n">
        <f aca="false">G29-$G$25</f>
        <v>5.64060796181275</v>
      </c>
    </row>
    <row r="30" customFormat="false" ht="15" hidden="false" customHeight="false" outlineLevel="0" collapsed="false">
      <c r="A30" s="34" t="n">
        <v>0.02</v>
      </c>
      <c r="B30" s="31" t="n">
        <f aca="false">KL_Bisection!P71</f>
        <v>0.0177863835365825</v>
      </c>
      <c r="C30" s="22" t="n">
        <v>0.0177863835365825</v>
      </c>
      <c r="D30" s="32" t="n">
        <f aca="false">(Alpha)*LN((Alpha)/(C30))+(1-(Alpha))*LN((1-(Alpha))/(1-(C30)))-A30</f>
        <v>0</v>
      </c>
      <c r="E30" s="26" t="n">
        <v>180</v>
      </c>
      <c r="F30" s="27" t="n">
        <v>1.67081828398783</v>
      </c>
      <c r="G30" s="17" t="n">
        <f aca="false">Fee*E30+VQ*F30</f>
        <v>18.7665462719026</v>
      </c>
      <c r="H30" s="22" t="n">
        <v>0.01778</v>
      </c>
      <c r="I30" s="22" t="n">
        <v>0.01745</v>
      </c>
      <c r="J30" s="17" t="n">
        <f aca="false">G30-$G$25</f>
        <v>8.32593538048963</v>
      </c>
    </row>
    <row r="31" customFormat="false" ht="15" hidden="false" customHeight="false" outlineLevel="0" collapsed="false">
      <c r="A31" s="34" t="n">
        <v>0.03</v>
      </c>
      <c r="B31" s="31" t="n">
        <f aca="false">KL_Bisection!R71</f>
        <v>0.0133732506550018</v>
      </c>
      <c r="C31" s="22" t="n">
        <v>0.0133732506550018</v>
      </c>
      <c r="D31" s="32" t="n">
        <f aca="false">(Alpha)*LN((Alpha)/(C31))+(1-(Alpha))*LN((1-(Alpha))/(1-(C31)))-A31</f>
        <v>0</v>
      </c>
      <c r="E31" s="26" t="n">
        <v>175</v>
      </c>
      <c r="F31" s="27" t="n">
        <v>1.95523458473236</v>
      </c>
      <c r="G31" s="17" t="n">
        <f aca="false">Fee*E31+VQ*F31</f>
        <v>20.8918766778589</v>
      </c>
      <c r="H31" s="22" t="n">
        <v>0.01337</v>
      </c>
      <c r="I31" s="22" t="n">
        <v>0.01302</v>
      </c>
      <c r="J31" s="17" t="n">
        <f aca="false">G31-$G$25</f>
        <v>10.4512657864459</v>
      </c>
    </row>
    <row r="32" customFormat="false" ht="15" hidden="false" customHeight="false" outlineLevel="0" collapsed="false">
      <c r="A32" s="34" t="n">
        <v>0.05</v>
      </c>
      <c r="B32" s="31" t="n">
        <f aca="false">KL_Bisection!T71</f>
        <v>0.00810108378668787</v>
      </c>
      <c r="C32" s="22" t="n">
        <v>0.00810108378668793</v>
      </c>
      <c r="D32" s="32" t="n">
        <f aca="false">(Alpha)*LN((Alpha)/(C32))+(1-(Alpha))*LN((1-(Alpha))/(1-(C32)))-A32</f>
        <v>0</v>
      </c>
      <c r="E32" s="26" t="n">
        <v>195</v>
      </c>
      <c r="F32" s="27" t="n">
        <v>2.3562578613664</v>
      </c>
      <c r="G32" s="17" t="n">
        <f aca="false">Fee*E32+VQ*F32</f>
        <v>24.7000628909312</v>
      </c>
      <c r="H32" s="22" t="n">
        <v>0.0081</v>
      </c>
      <c r="I32" s="22" t="n">
        <v>0.00792</v>
      </c>
      <c r="J32" s="17" t="n">
        <f aca="false">G32-$G$25</f>
        <v>14.2594519995182</v>
      </c>
    </row>
    <row r="33" customFormat="false" ht="15" hidden="false" customHeight="false" outlineLevel="0" collapsed="false">
      <c r="A33" s="34" t="n">
        <v>0.075</v>
      </c>
      <c r="B33" s="31" t="n">
        <f aca="false">KL_Bisection!V71</f>
        <v>0.00459493883434537</v>
      </c>
      <c r="C33" s="22" t="n">
        <v>0.00459493883434538</v>
      </c>
      <c r="D33" s="32" t="n">
        <f aca="false">(Alpha)*LN((Alpha)/(C33))+(1-(Alpha))*LN((1-(Alpha))/(1-(C33)))-A33</f>
        <v>0</v>
      </c>
      <c r="E33" s="26" t="n">
        <v>215</v>
      </c>
      <c r="F33" s="27" t="n">
        <v>2.73727670851681</v>
      </c>
      <c r="G33" s="17" t="n">
        <f aca="false">Fee*E33+VQ*F33</f>
        <v>28.3482136681345</v>
      </c>
      <c r="H33" s="22" t="n">
        <v>0.00459</v>
      </c>
      <c r="I33" s="22" t="n">
        <v>0.00457</v>
      </c>
      <c r="J33" s="17" t="n">
        <f aca="false">G33-$G$25</f>
        <v>17.9076027767215</v>
      </c>
    </row>
    <row r="34" customFormat="false" ht="15" hidden="false" customHeight="false" outlineLevel="0" collapsed="false">
      <c r="A34" s="34" t="n">
        <v>0.1</v>
      </c>
      <c r="B34" s="31" t="n">
        <f aca="false">KL_Bisection!X71</f>
        <v>0.00268741575366596</v>
      </c>
      <c r="C34" s="22" t="n">
        <v>0.00268741575366598</v>
      </c>
      <c r="D34" s="32" t="n">
        <f aca="false">(Alpha)*LN((Alpha)/(C34))+(1-(Alpha))*LN((1-(Alpha))/(1-(C34)))-A34</f>
        <v>0</v>
      </c>
      <c r="E34" s="26" t="n">
        <v>200</v>
      </c>
      <c r="F34" s="27" t="n">
        <v>3.17317570057475</v>
      </c>
      <c r="G34" s="17" t="n">
        <f aca="false">Fee*E34+VQ*F34</f>
        <v>31.385405604598</v>
      </c>
      <c r="H34" s="22" t="n">
        <v>0.00268</v>
      </c>
      <c r="I34" s="22" t="n">
        <v>0.00299</v>
      </c>
      <c r="J34" s="17" t="n">
        <f aca="false">G34-$G$25</f>
        <v>20.944794713185</v>
      </c>
    </row>
    <row r="35" customFormat="false" ht="15" hidden="false" customHeight="false" outlineLevel="0" collapsed="false">
      <c r="A35" s="34" t="n">
        <v>0.15</v>
      </c>
      <c r="B35" s="31" t="n">
        <f aca="false">KL_Bisection!Z71</f>
        <v>0.000956604344180015</v>
      </c>
      <c r="C35" s="22" t="n">
        <v>0.000956604344180026</v>
      </c>
      <c r="D35" s="32" t="n">
        <f aca="false">(Alpha)*LN((Alpha)/(C35))+(1-(Alpha))*LN((1-(Alpha))/(1-(C35)))-A35</f>
        <v>0</v>
      </c>
      <c r="E35" s="26" t="n">
        <v>240</v>
      </c>
      <c r="F35" s="27" t="n">
        <v>3.85073911126032</v>
      </c>
      <c r="G35" s="17" t="n">
        <f aca="false">Fee*E35+VQ*F35</f>
        <v>38.0059128900826</v>
      </c>
      <c r="H35" s="22" t="n">
        <v>0.00095</v>
      </c>
      <c r="I35" s="22" t="n">
        <v>0.00106</v>
      </c>
      <c r="J35" s="17" t="n">
        <f aca="false">G35-$G$25</f>
        <v>27.5653019986696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45" min="2" style="0" width="13"/>
  </cols>
  <sheetData>
    <row r="1" customFormat="false" ht="15" hidden="false" customHeight="false" outlineLevel="0" collapsed="false">
      <c r="A1" s="1" t="s">
        <v>192</v>
      </c>
    </row>
    <row r="2" customFormat="false" ht="15" hidden="false" customHeight="false" outlineLevel="0" collapsed="false">
      <c r="A2" s="10" t="s">
        <v>193</v>
      </c>
    </row>
    <row r="4" customFormat="false" ht="15" hidden="false" customHeight="false" outlineLevel="0" collapsed="false">
      <c r="A4" s="8" t="s">
        <v>194</v>
      </c>
      <c r="B4" s="4" t="s">
        <v>195</v>
      </c>
      <c r="D4" s="4" t="s">
        <v>196</v>
      </c>
      <c r="F4" s="4" t="s">
        <v>197</v>
      </c>
      <c r="H4" s="4" t="s">
        <v>198</v>
      </c>
      <c r="J4" s="4" t="s">
        <v>199</v>
      </c>
      <c r="L4" s="4" t="s">
        <v>200</v>
      </c>
      <c r="N4" s="4" t="s">
        <v>201</v>
      </c>
      <c r="P4" s="4" t="s">
        <v>202</v>
      </c>
      <c r="R4" s="4" t="s">
        <v>203</v>
      </c>
      <c r="T4" s="4" t="s">
        <v>204</v>
      </c>
      <c r="V4" s="4" t="s">
        <v>205</v>
      </c>
      <c r="X4" s="4" t="s">
        <v>206</v>
      </c>
      <c r="Z4" s="4" t="s">
        <v>207</v>
      </c>
      <c r="AB4" s="4" t="s">
        <v>208</v>
      </c>
      <c r="AD4" s="4" t="s">
        <v>209</v>
      </c>
      <c r="AF4" s="4" t="s">
        <v>210</v>
      </c>
      <c r="AH4" s="4" t="s">
        <v>211</v>
      </c>
      <c r="AJ4" s="4" t="s">
        <v>212</v>
      </c>
      <c r="AL4" s="4" t="s">
        <v>213</v>
      </c>
      <c r="AN4" s="4" t="s">
        <v>214</v>
      </c>
      <c r="AP4" s="4" t="s">
        <v>215</v>
      </c>
      <c r="AR4" s="4" t="s">
        <v>215</v>
      </c>
    </row>
    <row r="5" customFormat="false" ht="15" hidden="false" customHeight="false" outlineLevel="0" collapsed="false">
      <c r="B5" s="0" t="s">
        <v>216</v>
      </c>
      <c r="D5" s="0" t="s">
        <v>216</v>
      </c>
      <c r="F5" s="0" t="s">
        <v>216</v>
      </c>
      <c r="H5" s="0" t="s">
        <v>216</v>
      </c>
      <c r="J5" s="0" t="s">
        <v>216</v>
      </c>
      <c r="L5" s="0" t="s">
        <v>216</v>
      </c>
      <c r="N5" s="0" t="s">
        <v>216</v>
      </c>
      <c r="P5" s="0" t="s">
        <v>216</v>
      </c>
      <c r="R5" s="0" t="s">
        <v>216</v>
      </c>
      <c r="T5" s="0" t="s">
        <v>216</v>
      </c>
      <c r="V5" s="0" t="s">
        <v>216</v>
      </c>
      <c r="X5" s="0" t="s">
        <v>216</v>
      </c>
      <c r="Z5" s="0" t="s">
        <v>216</v>
      </c>
      <c r="AB5" s="0" t="s">
        <v>217</v>
      </c>
      <c r="AD5" s="0" t="s">
        <v>217</v>
      </c>
      <c r="AF5" s="0" t="s">
        <v>217</v>
      </c>
      <c r="AH5" s="0" t="s">
        <v>217</v>
      </c>
      <c r="AJ5" s="0" t="s">
        <v>217</v>
      </c>
      <c r="AL5" s="0" t="s">
        <v>217</v>
      </c>
      <c r="AN5" s="0" t="s">
        <v>217</v>
      </c>
      <c r="AP5" s="0" t="s">
        <v>216</v>
      </c>
      <c r="AR5" s="0" t="s">
        <v>217</v>
      </c>
    </row>
    <row r="6" customFormat="false" ht="15" hidden="false" customHeight="false" outlineLevel="0" collapsed="false">
      <c r="A6" s="2" t="s">
        <v>218</v>
      </c>
      <c r="B6" s="35" t="n">
        <f aca="false">Divergence!B5</f>
        <v>0.438571567329423</v>
      </c>
      <c r="D6" s="35" t="n">
        <f aca="false">Divergence!B6</f>
        <v>0.603191565952027</v>
      </c>
      <c r="F6" s="35" t="n">
        <f aca="false">Divergence!B7</f>
        <v>1.04176313328145</v>
      </c>
      <c r="H6" s="36" t="n">
        <v>0.001</v>
      </c>
      <c r="J6" s="36" t="n">
        <v>0.002</v>
      </c>
      <c r="L6" s="36" t="n">
        <v>0.005</v>
      </c>
      <c r="N6" s="36" t="n">
        <v>0.01</v>
      </c>
      <c r="P6" s="36" t="n">
        <v>0.02</v>
      </c>
      <c r="R6" s="36" t="n">
        <v>0.03</v>
      </c>
      <c r="T6" s="36" t="n">
        <v>0.05</v>
      </c>
      <c r="V6" s="36" t="n">
        <v>0.075</v>
      </c>
      <c r="X6" s="36" t="n">
        <v>0.1</v>
      </c>
      <c r="Z6" s="36" t="n">
        <v>0.15</v>
      </c>
      <c r="AB6" s="36" t="n">
        <v>0.001</v>
      </c>
      <c r="AD6" s="36" t="n">
        <v>0.003</v>
      </c>
      <c r="AF6" s="36" t="n">
        <v>0.01</v>
      </c>
      <c r="AH6" s="36" t="n">
        <v>0.03</v>
      </c>
      <c r="AJ6" s="36" t="n">
        <v>0.1</v>
      </c>
      <c r="AL6" s="36" t="n">
        <v>0.3</v>
      </c>
      <c r="AN6" s="36" t="n">
        <v>1</v>
      </c>
      <c r="AP6" s="35" t="n">
        <f aca="false">Divergence!M5</f>
        <v>0.01</v>
      </c>
      <c r="AR6" s="35" t="n">
        <f aca="false">Divergence!M5</f>
        <v>0.01</v>
      </c>
    </row>
    <row r="7" customFormat="false" ht="15" hidden="false" customHeight="false" outlineLevel="0" collapsed="false">
      <c r="A7" s="2" t="s">
        <v>219</v>
      </c>
      <c r="B7" s="23" t="n">
        <f aca="false">Alpha</f>
        <v>0.05</v>
      </c>
      <c r="D7" s="23" t="n">
        <f aca="false">Alpha</f>
        <v>0.05</v>
      </c>
      <c r="F7" s="23" t="n">
        <f aca="false">Alpha</f>
        <v>0.05</v>
      </c>
      <c r="H7" s="23" t="n">
        <f aca="false">Alpha</f>
        <v>0.05</v>
      </c>
      <c r="J7" s="23" t="n">
        <f aca="false">Alpha</f>
        <v>0.05</v>
      </c>
      <c r="L7" s="23" t="n">
        <f aca="false">Alpha</f>
        <v>0.05</v>
      </c>
      <c r="N7" s="23" t="n">
        <f aca="false">Alpha</f>
        <v>0.05</v>
      </c>
      <c r="P7" s="23" t="n">
        <f aca="false">Alpha</f>
        <v>0.05</v>
      </c>
      <c r="R7" s="23" t="n">
        <f aca="false">Alpha</f>
        <v>0.05</v>
      </c>
      <c r="T7" s="23" t="n">
        <f aca="false">Alpha</f>
        <v>0.05</v>
      </c>
      <c r="V7" s="23" t="n">
        <f aca="false">Alpha</f>
        <v>0.05</v>
      </c>
      <c r="X7" s="23" t="n">
        <f aca="false">Alpha</f>
        <v>0.05</v>
      </c>
      <c r="Z7" s="23" t="n">
        <f aca="false">Alpha</f>
        <v>0.05</v>
      </c>
      <c r="AB7" s="23" t="n">
        <f aca="false">Alpha</f>
        <v>0.05</v>
      </c>
      <c r="AD7" s="23" t="n">
        <f aca="false">Alpha</f>
        <v>0.05</v>
      </c>
      <c r="AF7" s="23" t="n">
        <f aca="false">Alpha</f>
        <v>0.05</v>
      </c>
      <c r="AH7" s="23" t="n">
        <f aca="false">Alpha</f>
        <v>0.05</v>
      </c>
      <c r="AJ7" s="23" t="n">
        <f aca="false">Alpha</f>
        <v>0.05</v>
      </c>
      <c r="AL7" s="23" t="n">
        <f aca="false">Alpha</f>
        <v>0.05</v>
      </c>
      <c r="AN7" s="23" t="n">
        <f aca="false">Alpha</f>
        <v>0.05</v>
      </c>
      <c r="AP7" s="23" t="n">
        <f aca="false">Alpha</f>
        <v>0.05</v>
      </c>
      <c r="AR7" s="23" t="n">
        <f aca="false">Alpha</f>
        <v>0.05</v>
      </c>
    </row>
    <row r="9" customFormat="false" ht="15" hidden="false" customHeight="false" outlineLevel="0" collapsed="false">
      <c r="A9" s="2" t="s">
        <v>220</v>
      </c>
      <c r="B9" s="37" t="n">
        <f aca="false">LN(1E-030)</f>
        <v>-69.0775527898214</v>
      </c>
      <c r="C9" s="37" t="n">
        <f aca="false">LN(B7)</f>
        <v>-2.99573227355399</v>
      </c>
      <c r="D9" s="37" t="n">
        <f aca="false">LN(1E-030)</f>
        <v>-69.0775527898214</v>
      </c>
      <c r="E9" s="37" t="n">
        <f aca="false">LN(D7)</f>
        <v>-2.99573227355399</v>
      </c>
      <c r="F9" s="37" t="n">
        <f aca="false">LN(1E-030)</f>
        <v>-69.0775527898214</v>
      </c>
      <c r="G9" s="37" t="n">
        <f aca="false">LN(F7)</f>
        <v>-2.99573227355399</v>
      </c>
      <c r="H9" s="37" t="n">
        <f aca="false">LN(1E-030)</f>
        <v>-69.0775527898214</v>
      </c>
      <c r="I9" s="37" t="n">
        <f aca="false">LN(H7)</f>
        <v>-2.99573227355399</v>
      </c>
      <c r="J9" s="37" t="n">
        <f aca="false">LN(1E-030)</f>
        <v>-69.0775527898214</v>
      </c>
      <c r="K9" s="37" t="n">
        <f aca="false">LN(J7)</f>
        <v>-2.99573227355399</v>
      </c>
      <c r="L9" s="37" t="n">
        <f aca="false">LN(1E-030)</f>
        <v>-69.0775527898214</v>
      </c>
      <c r="M9" s="37" t="n">
        <f aca="false">LN(L7)</f>
        <v>-2.99573227355399</v>
      </c>
      <c r="N9" s="37" t="n">
        <f aca="false">LN(1E-030)</f>
        <v>-69.0775527898214</v>
      </c>
      <c r="O9" s="37" t="n">
        <f aca="false">LN(N7)</f>
        <v>-2.99573227355399</v>
      </c>
      <c r="P9" s="37" t="n">
        <f aca="false">LN(1E-030)</f>
        <v>-69.0775527898214</v>
      </c>
      <c r="Q9" s="37" t="n">
        <f aca="false">LN(P7)</f>
        <v>-2.99573227355399</v>
      </c>
      <c r="R9" s="37" t="n">
        <f aca="false">LN(1E-030)</f>
        <v>-69.0775527898214</v>
      </c>
      <c r="S9" s="37" t="n">
        <f aca="false">LN(R7)</f>
        <v>-2.99573227355399</v>
      </c>
      <c r="T9" s="37" t="n">
        <f aca="false">LN(1E-030)</f>
        <v>-69.0775527898214</v>
      </c>
      <c r="U9" s="37" t="n">
        <f aca="false">LN(T7)</f>
        <v>-2.99573227355399</v>
      </c>
      <c r="V9" s="37" t="n">
        <f aca="false">LN(1E-030)</f>
        <v>-69.0775527898214</v>
      </c>
      <c r="W9" s="37" t="n">
        <f aca="false">LN(V7)</f>
        <v>-2.99573227355399</v>
      </c>
      <c r="X9" s="37" t="n">
        <f aca="false">LN(1E-030)</f>
        <v>-69.0775527898214</v>
      </c>
      <c r="Y9" s="37" t="n">
        <f aca="false">LN(X7)</f>
        <v>-2.99573227355399</v>
      </c>
      <c r="Z9" s="37" t="n">
        <f aca="false">LN(1E-030)</f>
        <v>-69.0775527898214</v>
      </c>
      <c r="AA9" s="37" t="n">
        <f aca="false">LN(Z7)</f>
        <v>-2.99573227355399</v>
      </c>
      <c r="AB9" s="37" t="n">
        <f aca="false">AB7</f>
        <v>0.05</v>
      </c>
      <c r="AC9" s="37" t="n">
        <f aca="false">1-1E-015</f>
        <v>0.999999999999999</v>
      </c>
      <c r="AD9" s="37" t="n">
        <f aca="false">AD7</f>
        <v>0.05</v>
      </c>
      <c r="AE9" s="37" t="n">
        <f aca="false">1-1E-015</f>
        <v>0.999999999999999</v>
      </c>
      <c r="AF9" s="37" t="n">
        <f aca="false">AF7</f>
        <v>0.05</v>
      </c>
      <c r="AG9" s="37" t="n">
        <f aca="false">1-1E-015</f>
        <v>0.999999999999999</v>
      </c>
      <c r="AH9" s="37" t="n">
        <f aca="false">AH7</f>
        <v>0.05</v>
      </c>
      <c r="AI9" s="37" t="n">
        <f aca="false">1-1E-015</f>
        <v>0.999999999999999</v>
      </c>
      <c r="AJ9" s="37" t="n">
        <f aca="false">AJ7</f>
        <v>0.05</v>
      </c>
      <c r="AK9" s="37" t="n">
        <f aca="false">1-1E-015</f>
        <v>0.999999999999999</v>
      </c>
      <c r="AL9" s="37" t="n">
        <f aca="false">AL7</f>
        <v>0.05</v>
      </c>
      <c r="AM9" s="37" t="n">
        <f aca="false">1-1E-015</f>
        <v>0.999999999999999</v>
      </c>
      <c r="AN9" s="37" t="n">
        <f aca="false">AN7</f>
        <v>0.05</v>
      </c>
      <c r="AO9" s="37" t="n">
        <f aca="false">1-1E-015</f>
        <v>0.999999999999999</v>
      </c>
      <c r="AP9" s="37" t="n">
        <f aca="false">LN(1E-030)</f>
        <v>-69.0775527898214</v>
      </c>
      <c r="AQ9" s="37" t="n">
        <f aca="false">LN(AP7)</f>
        <v>-2.99573227355399</v>
      </c>
      <c r="AR9" s="37" t="n">
        <f aca="false">AR7</f>
        <v>0.05</v>
      </c>
      <c r="AS9" s="37" t="n">
        <f aca="false">1-1E-015</f>
        <v>0.999999999999999</v>
      </c>
    </row>
    <row r="10" customFormat="false" ht="15" hidden="false" customHeight="false" outlineLevel="0" collapsed="false">
      <c r="B10" s="37" t="n">
        <f aca="false">IF(B$7*LN(B$7)-B$7*((B9+C9)/2)+(1-B$7)*LN(1-B$7)-(1-B$7)*LN(1-EXP(((B9+C9)/2)))-B$6&gt;0,((B9+C9)/2),B9)</f>
        <v>-36.0366425316877</v>
      </c>
      <c r="C10" s="37" t="n">
        <f aca="false">IF(B$7*LN(B$7)-B$7*((B9+C9)/2)+(1-B$7)*LN(1-B$7)-(1-B$7)*LN(1-EXP(((B9+C9)/2)))-B$6&gt;0,C9,((B9+C9)/2))</f>
        <v>-2.99573227355399</v>
      </c>
      <c r="D10" s="37" t="n">
        <f aca="false">IF(D$7*LN(D$7)-D$7*((D9+E9)/2)+(1-D$7)*LN(1-D$7)-(1-D$7)*LN(1-EXP(((D9+E9)/2)))-D$6&gt;0,((D9+E9)/2),D9)</f>
        <v>-36.0366425316877</v>
      </c>
      <c r="E10" s="37" t="n">
        <f aca="false">IF(D$7*LN(D$7)-D$7*((D9+E9)/2)+(1-D$7)*LN(1-D$7)-(1-D$7)*LN(1-EXP(((D9+E9)/2)))-D$6&gt;0,E9,((D9+E9)/2))</f>
        <v>-2.99573227355399</v>
      </c>
      <c r="F10" s="37" t="n">
        <f aca="false">IF(F$7*LN(F$7)-F$7*((F9+G9)/2)+(1-F$7)*LN(1-F$7)-(1-F$7)*LN(1-EXP(((F9+G9)/2)))-F$6&gt;0,((F9+G9)/2),F9)</f>
        <v>-36.0366425316877</v>
      </c>
      <c r="G10" s="37" t="n">
        <f aca="false">IF(F$7*LN(F$7)-F$7*((F9+G9)/2)+(1-F$7)*LN(1-F$7)-(1-F$7)*LN(1-EXP(((F9+G9)/2)))-F$6&gt;0,G9,((F9+G9)/2))</f>
        <v>-2.99573227355399</v>
      </c>
      <c r="H10" s="37" t="n">
        <f aca="false">IF(H$7*LN(H$7)-H$7*((H9+I9)/2)+(1-H$7)*LN(1-H$7)-(1-H$7)*LN(1-EXP(((H9+I9)/2)))-H$6&gt;0,((H9+I9)/2),H9)</f>
        <v>-36.0366425316877</v>
      </c>
      <c r="I10" s="37" t="n">
        <f aca="false">IF(H$7*LN(H$7)-H$7*((H9+I9)/2)+(1-H$7)*LN(1-H$7)-(1-H$7)*LN(1-EXP(((H9+I9)/2)))-H$6&gt;0,I9,((H9+I9)/2))</f>
        <v>-2.99573227355399</v>
      </c>
      <c r="J10" s="37" t="n">
        <f aca="false">IF(J$7*LN(J$7)-J$7*((J9+K9)/2)+(1-J$7)*LN(1-J$7)-(1-J$7)*LN(1-EXP(((J9+K9)/2)))-J$6&gt;0,((J9+K9)/2),J9)</f>
        <v>-36.0366425316877</v>
      </c>
      <c r="K10" s="37" t="n">
        <f aca="false">IF(J$7*LN(J$7)-J$7*((J9+K9)/2)+(1-J$7)*LN(1-J$7)-(1-J$7)*LN(1-EXP(((J9+K9)/2)))-J$6&gt;0,K9,((J9+K9)/2))</f>
        <v>-2.99573227355399</v>
      </c>
      <c r="L10" s="37" t="n">
        <f aca="false">IF(L$7*LN(L$7)-L$7*((L9+M9)/2)+(1-L$7)*LN(1-L$7)-(1-L$7)*LN(1-EXP(((L9+M9)/2)))-L$6&gt;0,((L9+M9)/2),L9)</f>
        <v>-36.0366425316877</v>
      </c>
      <c r="M10" s="37" t="n">
        <f aca="false">IF(L$7*LN(L$7)-L$7*((L9+M9)/2)+(1-L$7)*LN(1-L$7)-(1-L$7)*LN(1-EXP(((L9+M9)/2)))-L$6&gt;0,M9,((L9+M9)/2))</f>
        <v>-2.99573227355399</v>
      </c>
      <c r="N10" s="37" t="n">
        <f aca="false">IF(N$7*LN(N$7)-N$7*((N9+O9)/2)+(1-N$7)*LN(1-N$7)-(1-N$7)*LN(1-EXP(((N9+O9)/2)))-N$6&gt;0,((N9+O9)/2),N9)</f>
        <v>-36.0366425316877</v>
      </c>
      <c r="O10" s="37" t="n">
        <f aca="false">IF(N$7*LN(N$7)-N$7*((N9+O9)/2)+(1-N$7)*LN(1-N$7)-(1-N$7)*LN(1-EXP(((N9+O9)/2)))-N$6&gt;0,O9,((N9+O9)/2))</f>
        <v>-2.99573227355399</v>
      </c>
      <c r="P10" s="37" t="n">
        <f aca="false">IF(P$7*LN(P$7)-P$7*((P9+Q9)/2)+(1-P$7)*LN(1-P$7)-(1-P$7)*LN(1-EXP(((P9+Q9)/2)))-P$6&gt;0,((P9+Q9)/2),P9)</f>
        <v>-36.0366425316877</v>
      </c>
      <c r="Q10" s="37" t="n">
        <f aca="false">IF(P$7*LN(P$7)-P$7*((P9+Q9)/2)+(1-P$7)*LN(1-P$7)-(1-P$7)*LN(1-EXP(((P9+Q9)/2)))-P$6&gt;0,Q9,((P9+Q9)/2))</f>
        <v>-2.99573227355399</v>
      </c>
      <c r="R10" s="37" t="n">
        <f aca="false">IF(R$7*LN(R$7)-R$7*((R9+S9)/2)+(1-R$7)*LN(1-R$7)-(1-R$7)*LN(1-EXP(((R9+S9)/2)))-R$6&gt;0,((R9+S9)/2),R9)</f>
        <v>-36.0366425316877</v>
      </c>
      <c r="S10" s="37" t="n">
        <f aca="false">IF(R$7*LN(R$7)-R$7*((R9+S9)/2)+(1-R$7)*LN(1-R$7)-(1-R$7)*LN(1-EXP(((R9+S9)/2)))-R$6&gt;0,S9,((R9+S9)/2))</f>
        <v>-2.99573227355399</v>
      </c>
      <c r="T10" s="37" t="n">
        <f aca="false">IF(T$7*LN(T$7)-T$7*((T9+U9)/2)+(1-T$7)*LN(1-T$7)-(1-T$7)*LN(1-EXP(((T9+U9)/2)))-T$6&gt;0,((T9+U9)/2),T9)</f>
        <v>-36.0366425316877</v>
      </c>
      <c r="U10" s="37" t="n">
        <f aca="false">IF(T$7*LN(T$7)-T$7*((T9+U9)/2)+(1-T$7)*LN(1-T$7)-(1-T$7)*LN(1-EXP(((T9+U9)/2)))-T$6&gt;0,U9,((T9+U9)/2))</f>
        <v>-2.99573227355399</v>
      </c>
      <c r="V10" s="37" t="n">
        <f aca="false">IF(V$7*LN(V$7)-V$7*((V9+W9)/2)+(1-V$7)*LN(1-V$7)-(1-V$7)*LN(1-EXP(((V9+W9)/2)))-V$6&gt;0,((V9+W9)/2),V9)</f>
        <v>-36.0366425316877</v>
      </c>
      <c r="W10" s="37" t="n">
        <f aca="false">IF(V$7*LN(V$7)-V$7*((V9+W9)/2)+(1-V$7)*LN(1-V$7)-(1-V$7)*LN(1-EXP(((V9+W9)/2)))-V$6&gt;0,W9,((V9+W9)/2))</f>
        <v>-2.99573227355399</v>
      </c>
      <c r="X10" s="37" t="n">
        <f aca="false">IF(X$7*LN(X$7)-X$7*((X9+Y9)/2)+(1-X$7)*LN(1-X$7)-(1-X$7)*LN(1-EXP(((X9+Y9)/2)))-X$6&gt;0,((X9+Y9)/2),X9)</f>
        <v>-36.0366425316877</v>
      </c>
      <c r="Y10" s="37" t="n">
        <f aca="false">IF(X$7*LN(X$7)-X$7*((X9+Y9)/2)+(1-X$7)*LN(1-X$7)-(1-X$7)*LN(1-EXP(((X9+Y9)/2)))-X$6&gt;0,Y9,((X9+Y9)/2))</f>
        <v>-2.99573227355399</v>
      </c>
      <c r="Z10" s="37" t="n">
        <f aca="false">IF(Z$7*LN(Z$7)-Z$7*((Z9+AA9)/2)+(1-Z$7)*LN(1-Z$7)-(1-Z$7)*LN(1-EXP(((Z9+AA9)/2)))-Z$6&gt;0,((Z9+AA9)/2),Z9)</f>
        <v>-36.0366425316877</v>
      </c>
      <c r="AA10" s="37" t="n">
        <f aca="false">IF(Z$7*LN(Z$7)-Z$7*((Z9+AA9)/2)+(1-Z$7)*LN(1-Z$7)-(1-Z$7)*LN(1-EXP(((Z9+AA9)/2)))-Z$6&gt;0,AA9,((Z9+AA9)/2))</f>
        <v>-2.99573227355399</v>
      </c>
      <c r="AB10" s="37" t="n">
        <f aca="false">IF((((AB9+AC9)/2))*LN((((AB9+AC9)/2))/(AB$7))+(1-(((AB9+AC9)/2)))*LN((1-(((AB9+AC9)/2)))/(1-(AB$7)))-AB$6&lt;0,((AB9+AC9)/2),AB9)</f>
        <v>0.05</v>
      </c>
      <c r="AC10" s="37" t="n">
        <f aca="false">IF((((AB9+AC9)/2))*LN((((AB9+AC9)/2))/(AB$7))+(1-(((AB9+AC9)/2)))*LN((1-(((AB9+AC9)/2)))/(1-(AB$7)))-AB$6&lt;0,AC9,((AB9+AC9)/2))</f>
        <v>0.525</v>
      </c>
      <c r="AD10" s="37" t="n">
        <f aca="false">IF((((AD9+AE9)/2))*LN((((AD9+AE9)/2))/(AD$7))+(1-(((AD9+AE9)/2)))*LN((1-(((AD9+AE9)/2)))/(1-(AD$7)))-AD$6&lt;0,((AD9+AE9)/2),AD9)</f>
        <v>0.05</v>
      </c>
      <c r="AE10" s="37" t="n">
        <f aca="false">IF((((AD9+AE9)/2))*LN((((AD9+AE9)/2))/(AD$7))+(1-(((AD9+AE9)/2)))*LN((1-(((AD9+AE9)/2)))/(1-(AD$7)))-AD$6&lt;0,AE9,((AD9+AE9)/2))</f>
        <v>0.525</v>
      </c>
      <c r="AF10" s="37" t="n">
        <f aca="false">IF((((AF9+AG9)/2))*LN((((AF9+AG9)/2))/(AF$7))+(1-(((AF9+AG9)/2)))*LN((1-(((AF9+AG9)/2)))/(1-(AF$7)))-AF$6&lt;0,((AF9+AG9)/2),AF9)</f>
        <v>0.05</v>
      </c>
      <c r="AG10" s="37" t="n">
        <f aca="false">IF((((AF9+AG9)/2))*LN((((AF9+AG9)/2))/(AF$7))+(1-(((AF9+AG9)/2)))*LN((1-(((AF9+AG9)/2)))/(1-(AF$7)))-AF$6&lt;0,AG9,((AF9+AG9)/2))</f>
        <v>0.525</v>
      </c>
      <c r="AH10" s="37" t="n">
        <f aca="false">IF((((AH9+AI9)/2))*LN((((AH9+AI9)/2))/(AH$7))+(1-(((AH9+AI9)/2)))*LN((1-(((AH9+AI9)/2)))/(1-(AH$7)))-AH$6&lt;0,((AH9+AI9)/2),AH9)</f>
        <v>0.05</v>
      </c>
      <c r="AI10" s="37" t="n">
        <f aca="false">IF((((AH9+AI9)/2))*LN((((AH9+AI9)/2))/(AH$7))+(1-(((AH9+AI9)/2)))*LN((1-(((AH9+AI9)/2)))/(1-(AH$7)))-AH$6&lt;0,AI9,((AH9+AI9)/2))</f>
        <v>0.525</v>
      </c>
      <c r="AJ10" s="37" t="n">
        <f aca="false">IF((((AJ9+AK9)/2))*LN((((AJ9+AK9)/2))/(AJ$7))+(1-(((AJ9+AK9)/2)))*LN((1-(((AJ9+AK9)/2)))/(1-(AJ$7)))-AJ$6&lt;0,((AJ9+AK9)/2),AJ9)</f>
        <v>0.05</v>
      </c>
      <c r="AK10" s="37" t="n">
        <f aca="false">IF((((AJ9+AK9)/2))*LN((((AJ9+AK9)/2))/(AJ$7))+(1-(((AJ9+AK9)/2)))*LN((1-(((AJ9+AK9)/2)))/(1-(AJ$7)))-AJ$6&lt;0,AK9,((AJ9+AK9)/2))</f>
        <v>0.525</v>
      </c>
      <c r="AL10" s="37" t="n">
        <f aca="false">IF((((AL9+AM9)/2))*LN((((AL9+AM9)/2))/(AL$7))+(1-(((AL9+AM9)/2)))*LN((1-(((AL9+AM9)/2)))/(1-(AL$7)))-AL$6&lt;0,((AL9+AM9)/2),AL9)</f>
        <v>0.05</v>
      </c>
      <c r="AM10" s="37" t="n">
        <f aca="false">IF((((AL9+AM9)/2))*LN((((AL9+AM9)/2))/(AL$7))+(1-(((AL9+AM9)/2)))*LN((1-(((AL9+AM9)/2)))/(1-(AL$7)))-AL$6&lt;0,AM9,((AL9+AM9)/2))</f>
        <v>0.525</v>
      </c>
      <c r="AN10" s="37" t="n">
        <f aca="false">IF((((AN9+AO9)/2))*LN((((AN9+AO9)/2))/(AN$7))+(1-(((AN9+AO9)/2)))*LN((1-(((AN9+AO9)/2)))/(1-(AN$7)))-AN$6&lt;0,((AN9+AO9)/2),AN9)</f>
        <v>0.525</v>
      </c>
      <c r="AO10" s="37" t="n">
        <f aca="false">IF((((AN9+AO9)/2))*LN((((AN9+AO9)/2))/(AN$7))+(1-(((AN9+AO9)/2)))*LN((1-(((AN9+AO9)/2)))/(1-(AN$7)))-AN$6&lt;0,AO9,((AN9+AO9)/2))</f>
        <v>0.999999999999999</v>
      </c>
      <c r="AP10" s="37" t="n">
        <f aca="false">IF(AP$7*LN(AP$7)-AP$7*((AP9+AQ9)/2)+(1-AP$7)*LN(1-AP$7)-(1-AP$7)*LN(1-EXP(((AP9+AQ9)/2)))-AP$6&gt;0,((AP9+AQ9)/2),AP9)</f>
        <v>-36.0366425316877</v>
      </c>
      <c r="AQ10" s="37" t="n">
        <f aca="false">IF(AP$7*LN(AP$7)-AP$7*((AP9+AQ9)/2)+(1-AP$7)*LN(1-AP$7)-(1-AP$7)*LN(1-EXP(((AP9+AQ9)/2)))-AP$6&gt;0,AQ9,((AP9+AQ9)/2))</f>
        <v>-2.99573227355399</v>
      </c>
      <c r="AR10" s="37" t="n">
        <f aca="false">IF((((AR9+AS9)/2))*LN((((AR9+AS9)/2))/(AR$7))+(1-(((AR9+AS9)/2)))*LN((1-(((AR9+AS9)/2)))/(1-(AR$7)))-AR$6&lt;0,((AR9+AS9)/2),AR9)</f>
        <v>0.05</v>
      </c>
      <c r="AS10" s="37" t="n">
        <f aca="false">IF((((AR9+AS9)/2))*LN((((AR9+AS9)/2))/(AR$7))+(1-(((AR9+AS9)/2)))*LN((1-(((AR9+AS9)/2)))/(1-(AR$7)))-AR$6&lt;0,AS9,((AR9+AS9)/2))</f>
        <v>0.525</v>
      </c>
    </row>
    <row r="11" customFormat="false" ht="15" hidden="false" customHeight="false" outlineLevel="0" collapsed="false">
      <c r="B11" s="37" t="n">
        <f aca="false">IF(B$7*LN(B$7)-B$7*((B10+C10)/2)+(1-B$7)*LN(1-B$7)-(1-B$7)*LN(1-EXP(((B10+C10)/2)))-B$6&gt;0,((B10+C10)/2),B10)</f>
        <v>-19.5161874026208</v>
      </c>
      <c r="C11" s="37" t="n">
        <f aca="false">IF(B$7*LN(B$7)-B$7*((B10+C10)/2)+(1-B$7)*LN(1-B$7)-(1-B$7)*LN(1-EXP(((B10+C10)/2)))-B$6&gt;0,C10,((B10+C10)/2))</f>
        <v>-2.99573227355399</v>
      </c>
      <c r="D11" s="37" t="n">
        <f aca="false">IF(D$7*LN(D$7)-D$7*((D10+E10)/2)+(1-D$7)*LN(1-D$7)-(1-D$7)*LN(1-EXP(((D10+E10)/2)))-D$6&gt;0,((D10+E10)/2),D10)</f>
        <v>-19.5161874026208</v>
      </c>
      <c r="E11" s="37" t="n">
        <f aca="false">IF(D$7*LN(D$7)-D$7*((D10+E10)/2)+(1-D$7)*LN(1-D$7)-(1-D$7)*LN(1-EXP(((D10+E10)/2)))-D$6&gt;0,E10,((D10+E10)/2))</f>
        <v>-2.99573227355399</v>
      </c>
      <c r="F11" s="37" t="n">
        <f aca="false">IF(F$7*LN(F$7)-F$7*((F10+G10)/2)+(1-F$7)*LN(1-F$7)-(1-F$7)*LN(1-EXP(((F10+G10)/2)))-F$6&gt;0,((F10+G10)/2),F10)</f>
        <v>-36.0366425316877</v>
      </c>
      <c r="G11" s="37" t="n">
        <f aca="false">IF(F$7*LN(F$7)-F$7*((F10+G10)/2)+(1-F$7)*LN(1-F$7)-(1-F$7)*LN(1-EXP(((F10+G10)/2)))-F$6&gt;0,G10,((F10+G10)/2))</f>
        <v>-19.5161874026208</v>
      </c>
      <c r="H11" s="37" t="n">
        <f aca="false">IF(H$7*LN(H$7)-H$7*((H10+I10)/2)+(1-H$7)*LN(1-H$7)-(1-H$7)*LN(1-EXP(((H10+I10)/2)))-H$6&gt;0,((H10+I10)/2),H10)</f>
        <v>-19.5161874026208</v>
      </c>
      <c r="I11" s="37" t="n">
        <f aca="false">IF(H$7*LN(H$7)-H$7*((H10+I10)/2)+(1-H$7)*LN(1-H$7)-(1-H$7)*LN(1-EXP(((H10+I10)/2)))-H$6&gt;0,I10,((H10+I10)/2))</f>
        <v>-2.99573227355399</v>
      </c>
      <c r="J11" s="37" t="n">
        <f aca="false">IF(J$7*LN(J$7)-J$7*((J10+K10)/2)+(1-J$7)*LN(1-J$7)-(1-J$7)*LN(1-EXP(((J10+K10)/2)))-J$6&gt;0,((J10+K10)/2),J10)</f>
        <v>-19.5161874026208</v>
      </c>
      <c r="K11" s="37" t="n">
        <f aca="false">IF(J$7*LN(J$7)-J$7*((J10+K10)/2)+(1-J$7)*LN(1-J$7)-(1-J$7)*LN(1-EXP(((J10+K10)/2)))-J$6&gt;0,K10,((J10+K10)/2))</f>
        <v>-2.99573227355399</v>
      </c>
      <c r="L11" s="37" t="n">
        <f aca="false">IF(L$7*LN(L$7)-L$7*((L10+M10)/2)+(1-L$7)*LN(1-L$7)-(1-L$7)*LN(1-EXP(((L10+M10)/2)))-L$6&gt;0,((L10+M10)/2),L10)</f>
        <v>-19.5161874026208</v>
      </c>
      <c r="M11" s="37" t="n">
        <f aca="false">IF(L$7*LN(L$7)-L$7*((L10+M10)/2)+(1-L$7)*LN(1-L$7)-(1-L$7)*LN(1-EXP(((L10+M10)/2)))-L$6&gt;0,M10,((L10+M10)/2))</f>
        <v>-2.99573227355399</v>
      </c>
      <c r="N11" s="37" t="n">
        <f aca="false">IF(N$7*LN(N$7)-N$7*((N10+O10)/2)+(1-N$7)*LN(1-N$7)-(1-N$7)*LN(1-EXP(((N10+O10)/2)))-N$6&gt;0,((N10+O10)/2),N10)</f>
        <v>-19.5161874026208</v>
      </c>
      <c r="O11" s="37" t="n">
        <f aca="false">IF(N$7*LN(N$7)-N$7*((N10+O10)/2)+(1-N$7)*LN(1-N$7)-(1-N$7)*LN(1-EXP(((N10+O10)/2)))-N$6&gt;0,O10,((N10+O10)/2))</f>
        <v>-2.99573227355399</v>
      </c>
      <c r="P11" s="37" t="n">
        <f aca="false">IF(P$7*LN(P$7)-P$7*((P10+Q10)/2)+(1-P$7)*LN(1-P$7)-(1-P$7)*LN(1-EXP(((P10+Q10)/2)))-P$6&gt;0,((P10+Q10)/2),P10)</f>
        <v>-19.5161874026208</v>
      </c>
      <c r="Q11" s="37" t="n">
        <f aca="false">IF(P$7*LN(P$7)-P$7*((P10+Q10)/2)+(1-P$7)*LN(1-P$7)-(1-P$7)*LN(1-EXP(((P10+Q10)/2)))-P$6&gt;0,Q10,((P10+Q10)/2))</f>
        <v>-2.99573227355399</v>
      </c>
      <c r="R11" s="37" t="n">
        <f aca="false">IF(R$7*LN(R$7)-R$7*((R10+S10)/2)+(1-R$7)*LN(1-R$7)-(1-R$7)*LN(1-EXP(((R10+S10)/2)))-R$6&gt;0,((R10+S10)/2),R10)</f>
        <v>-19.5161874026208</v>
      </c>
      <c r="S11" s="37" t="n">
        <f aca="false">IF(R$7*LN(R$7)-R$7*((R10+S10)/2)+(1-R$7)*LN(1-R$7)-(1-R$7)*LN(1-EXP(((R10+S10)/2)))-R$6&gt;0,S10,((R10+S10)/2))</f>
        <v>-2.99573227355399</v>
      </c>
      <c r="T11" s="37" t="n">
        <f aca="false">IF(T$7*LN(T$7)-T$7*((T10+U10)/2)+(1-T$7)*LN(1-T$7)-(1-T$7)*LN(1-EXP(((T10+U10)/2)))-T$6&gt;0,((T10+U10)/2),T10)</f>
        <v>-19.5161874026208</v>
      </c>
      <c r="U11" s="37" t="n">
        <f aca="false">IF(T$7*LN(T$7)-T$7*((T10+U10)/2)+(1-T$7)*LN(1-T$7)-(1-T$7)*LN(1-EXP(((T10+U10)/2)))-T$6&gt;0,U10,((T10+U10)/2))</f>
        <v>-2.99573227355399</v>
      </c>
      <c r="V11" s="37" t="n">
        <f aca="false">IF(V$7*LN(V$7)-V$7*((V10+W10)/2)+(1-V$7)*LN(1-V$7)-(1-V$7)*LN(1-EXP(((V10+W10)/2)))-V$6&gt;0,((V10+W10)/2),V10)</f>
        <v>-19.5161874026208</v>
      </c>
      <c r="W11" s="37" t="n">
        <f aca="false">IF(V$7*LN(V$7)-V$7*((V10+W10)/2)+(1-V$7)*LN(1-V$7)-(1-V$7)*LN(1-EXP(((V10+W10)/2)))-V$6&gt;0,W10,((V10+W10)/2))</f>
        <v>-2.99573227355399</v>
      </c>
      <c r="X11" s="37" t="n">
        <f aca="false">IF(X$7*LN(X$7)-X$7*((X10+Y10)/2)+(1-X$7)*LN(1-X$7)-(1-X$7)*LN(1-EXP(((X10+Y10)/2)))-X$6&gt;0,((X10+Y10)/2),X10)</f>
        <v>-19.5161874026208</v>
      </c>
      <c r="Y11" s="37" t="n">
        <f aca="false">IF(X$7*LN(X$7)-X$7*((X10+Y10)/2)+(1-X$7)*LN(1-X$7)-(1-X$7)*LN(1-EXP(((X10+Y10)/2)))-X$6&gt;0,Y10,((X10+Y10)/2))</f>
        <v>-2.99573227355399</v>
      </c>
      <c r="Z11" s="37" t="n">
        <f aca="false">IF(Z$7*LN(Z$7)-Z$7*((Z10+AA10)/2)+(1-Z$7)*LN(1-Z$7)-(1-Z$7)*LN(1-EXP(((Z10+AA10)/2)))-Z$6&gt;0,((Z10+AA10)/2),Z10)</f>
        <v>-19.5161874026208</v>
      </c>
      <c r="AA11" s="37" t="n">
        <f aca="false">IF(Z$7*LN(Z$7)-Z$7*((Z10+AA10)/2)+(1-Z$7)*LN(1-Z$7)-(1-Z$7)*LN(1-EXP(((Z10+AA10)/2)))-Z$6&gt;0,AA10,((Z10+AA10)/2))</f>
        <v>-2.99573227355399</v>
      </c>
      <c r="AB11" s="37" t="n">
        <f aca="false">IF((((AB10+AC10)/2))*LN((((AB10+AC10)/2))/(AB$7))+(1-(((AB10+AC10)/2)))*LN((1-(((AB10+AC10)/2)))/(1-(AB$7)))-AB$6&lt;0,((AB10+AC10)/2),AB10)</f>
        <v>0.05</v>
      </c>
      <c r="AC11" s="37" t="n">
        <f aca="false">IF((((AB10+AC10)/2))*LN((((AB10+AC10)/2))/(AB$7))+(1-(((AB10+AC10)/2)))*LN((1-(((AB10+AC10)/2)))/(1-(AB$7)))-AB$6&lt;0,AC10,((AB10+AC10)/2))</f>
        <v>0.2875</v>
      </c>
      <c r="AD11" s="37" t="n">
        <f aca="false">IF((((AD10+AE10)/2))*LN((((AD10+AE10)/2))/(AD$7))+(1-(((AD10+AE10)/2)))*LN((1-(((AD10+AE10)/2)))/(1-(AD$7)))-AD$6&lt;0,((AD10+AE10)/2),AD10)</f>
        <v>0.05</v>
      </c>
      <c r="AE11" s="37" t="n">
        <f aca="false">IF((((AD10+AE10)/2))*LN((((AD10+AE10)/2))/(AD$7))+(1-(((AD10+AE10)/2)))*LN((1-(((AD10+AE10)/2)))/(1-(AD$7)))-AD$6&lt;0,AE10,((AD10+AE10)/2))</f>
        <v>0.2875</v>
      </c>
      <c r="AF11" s="37" t="n">
        <f aca="false">IF((((AF10+AG10)/2))*LN((((AF10+AG10)/2))/(AF$7))+(1-(((AF10+AG10)/2)))*LN((1-(((AF10+AG10)/2)))/(1-(AF$7)))-AF$6&lt;0,((AF10+AG10)/2),AF10)</f>
        <v>0.05</v>
      </c>
      <c r="AG11" s="37" t="n">
        <f aca="false">IF((((AF10+AG10)/2))*LN((((AF10+AG10)/2))/(AF$7))+(1-(((AF10+AG10)/2)))*LN((1-(((AF10+AG10)/2)))/(1-(AF$7)))-AF$6&lt;0,AG10,((AF10+AG10)/2))</f>
        <v>0.2875</v>
      </c>
      <c r="AH11" s="37" t="n">
        <f aca="false">IF((((AH10+AI10)/2))*LN((((AH10+AI10)/2))/(AH$7))+(1-(((AH10+AI10)/2)))*LN((1-(((AH10+AI10)/2)))/(1-(AH$7)))-AH$6&lt;0,((AH10+AI10)/2),AH10)</f>
        <v>0.05</v>
      </c>
      <c r="AI11" s="37" t="n">
        <f aca="false">IF((((AH10+AI10)/2))*LN((((AH10+AI10)/2))/(AH$7))+(1-(((AH10+AI10)/2)))*LN((1-(((AH10+AI10)/2)))/(1-(AH$7)))-AH$6&lt;0,AI10,((AH10+AI10)/2))</f>
        <v>0.2875</v>
      </c>
      <c r="AJ11" s="37" t="n">
        <f aca="false">IF((((AJ10+AK10)/2))*LN((((AJ10+AK10)/2))/(AJ$7))+(1-(((AJ10+AK10)/2)))*LN((1-(((AJ10+AK10)/2)))/(1-(AJ$7)))-AJ$6&lt;0,((AJ10+AK10)/2),AJ10)</f>
        <v>0.05</v>
      </c>
      <c r="AK11" s="37" t="n">
        <f aca="false">IF((((AJ10+AK10)/2))*LN((((AJ10+AK10)/2))/(AJ$7))+(1-(((AJ10+AK10)/2)))*LN((1-(((AJ10+AK10)/2)))/(1-(AJ$7)))-AJ$6&lt;0,AK10,((AJ10+AK10)/2))</f>
        <v>0.2875</v>
      </c>
      <c r="AL11" s="37" t="n">
        <f aca="false">IF((((AL10+AM10)/2))*LN((((AL10+AM10)/2))/(AL$7))+(1-(((AL10+AM10)/2)))*LN((1-(((AL10+AM10)/2)))/(1-(AL$7)))-AL$6&lt;0,((AL10+AM10)/2),AL10)</f>
        <v>0.2875</v>
      </c>
      <c r="AM11" s="37" t="n">
        <f aca="false">IF((((AL10+AM10)/2))*LN((((AL10+AM10)/2))/(AL$7))+(1-(((AL10+AM10)/2)))*LN((1-(((AL10+AM10)/2)))/(1-(AL$7)))-AL$6&lt;0,AM10,((AL10+AM10)/2))</f>
        <v>0.525</v>
      </c>
      <c r="AN11" s="37" t="n">
        <f aca="false">IF((((AN10+AO10)/2))*LN((((AN10+AO10)/2))/(AN$7))+(1-(((AN10+AO10)/2)))*LN((1-(((AN10+AO10)/2)))/(1-(AN$7)))-AN$6&lt;0,((AN10+AO10)/2),AN10)</f>
        <v>0.525</v>
      </c>
      <c r="AO11" s="37" t="n">
        <f aca="false">IF((((AN10+AO10)/2))*LN((((AN10+AO10)/2))/(AN$7))+(1-(((AN10+AO10)/2)))*LN((1-(((AN10+AO10)/2)))/(1-(AN$7)))-AN$6&lt;0,AO10,((AN10+AO10)/2))</f>
        <v>0.762499999999999</v>
      </c>
      <c r="AP11" s="37" t="n">
        <f aca="false">IF(AP$7*LN(AP$7)-AP$7*((AP10+AQ10)/2)+(1-AP$7)*LN(1-AP$7)-(1-AP$7)*LN(1-EXP(((AP10+AQ10)/2)))-AP$6&gt;0,((AP10+AQ10)/2),AP10)</f>
        <v>-19.5161874026208</v>
      </c>
      <c r="AQ11" s="37" t="n">
        <f aca="false">IF(AP$7*LN(AP$7)-AP$7*((AP10+AQ10)/2)+(1-AP$7)*LN(1-AP$7)-(1-AP$7)*LN(1-EXP(((AP10+AQ10)/2)))-AP$6&gt;0,AQ10,((AP10+AQ10)/2))</f>
        <v>-2.99573227355399</v>
      </c>
      <c r="AR11" s="37" t="n">
        <f aca="false">IF((((AR10+AS10)/2))*LN((((AR10+AS10)/2))/(AR$7))+(1-(((AR10+AS10)/2)))*LN((1-(((AR10+AS10)/2)))/(1-(AR$7)))-AR$6&lt;0,((AR10+AS10)/2),AR10)</f>
        <v>0.05</v>
      </c>
      <c r="AS11" s="37" t="n">
        <f aca="false">IF((((AR10+AS10)/2))*LN((((AR10+AS10)/2))/(AR$7))+(1-(((AR10+AS10)/2)))*LN((1-(((AR10+AS10)/2)))/(1-(AR$7)))-AR$6&lt;0,AS10,((AR10+AS10)/2))</f>
        <v>0.2875</v>
      </c>
    </row>
    <row r="12" customFormat="false" ht="15" hidden="false" customHeight="false" outlineLevel="0" collapsed="false">
      <c r="B12" s="37" t="n">
        <f aca="false">IF(B$7*LN(B$7)-B$7*((B11+C11)/2)+(1-B$7)*LN(1-B$7)-(1-B$7)*LN(1-EXP(((B11+C11)/2)))-B$6&gt;0,((B11+C11)/2),B11)</f>
        <v>-19.5161874026208</v>
      </c>
      <c r="C12" s="37" t="n">
        <f aca="false">IF(B$7*LN(B$7)-B$7*((B11+C11)/2)+(1-B$7)*LN(1-B$7)-(1-B$7)*LN(1-EXP(((B11+C11)/2)))-B$6&gt;0,C11,((B11+C11)/2))</f>
        <v>-11.2559598380874</v>
      </c>
      <c r="D12" s="37" t="n">
        <f aca="false">IF(D$7*LN(D$7)-D$7*((D11+E11)/2)+(1-D$7)*LN(1-D$7)-(1-D$7)*LN(1-EXP(((D11+E11)/2)))-D$6&gt;0,((D11+E11)/2),D11)</f>
        <v>-19.5161874026208</v>
      </c>
      <c r="E12" s="37" t="n">
        <f aca="false">IF(D$7*LN(D$7)-D$7*((D11+E11)/2)+(1-D$7)*LN(1-D$7)-(1-D$7)*LN(1-EXP(((D11+E11)/2)))-D$6&gt;0,E11,((D11+E11)/2))</f>
        <v>-11.2559598380874</v>
      </c>
      <c r="F12" s="37" t="n">
        <f aca="false">IF(F$7*LN(F$7)-F$7*((F11+G11)/2)+(1-F$7)*LN(1-F$7)-(1-F$7)*LN(1-EXP(((F11+G11)/2)))-F$6&gt;0,((F11+G11)/2),F11)</f>
        <v>-27.7764149671543</v>
      </c>
      <c r="G12" s="37" t="n">
        <f aca="false">IF(F$7*LN(F$7)-F$7*((F11+G11)/2)+(1-F$7)*LN(1-F$7)-(1-F$7)*LN(1-EXP(((F11+G11)/2)))-F$6&gt;0,G11,((F11+G11)/2))</f>
        <v>-19.5161874026208</v>
      </c>
      <c r="H12" s="37" t="n">
        <f aca="false">IF(H$7*LN(H$7)-H$7*((H11+I11)/2)+(1-H$7)*LN(1-H$7)-(1-H$7)*LN(1-EXP(((H11+I11)/2)))-H$6&gt;0,((H11+I11)/2),H11)</f>
        <v>-11.2559598380874</v>
      </c>
      <c r="I12" s="37" t="n">
        <f aca="false">IF(H$7*LN(H$7)-H$7*((H11+I11)/2)+(1-H$7)*LN(1-H$7)-(1-H$7)*LN(1-EXP(((H11+I11)/2)))-H$6&gt;0,I11,((H11+I11)/2))</f>
        <v>-2.99573227355399</v>
      </c>
      <c r="J12" s="37" t="n">
        <f aca="false">IF(J$7*LN(J$7)-J$7*((J11+K11)/2)+(1-J$7)*LN(1-J$7)-(1-J$7)*LN(1-EXP(((J11+K11)/2)))-J$6&gt;0,((J11+K11)/2),J11)</f>
        <v>-11.2559598380874</v>
      </c>
      <c r="K12" s="37" t="n">
        <f aca="false">IF(J$7*LN(J$7)-J$7*((J11+K11)/2)+(1-J$7)*LN(1-J$7)-(1-J$7)*LN(1-EXP(((J11+K11)/2)))-J$6&gt;0,K11,((J11+K11)/2))</f>
        <v>-2.99573227355399</v>
      </c>
      <c r="L12" s="37" t="n">
        <f aca="false">IF(L$7*LN(L$7)-L$7*((L11+M11)/2)+(1-L$7)*LN(1-L$7)-(1-L$7)*LN(1-EXP(((L11+M11)/2)))-L$6&gt;0,((L11+M11)/2),L11)</f>
        <v>-11.2559598380874</v>
      </c>
      <c r="M12" s="37" t="n">
        <f aca="false">IF(L$7*LN(L$7)-L$7*((L11+M11)/2)+(1-L$7)*LN(1-L$7)-(1-L$7)*LN(1-EXP(((L11+M11)/2)))-L$6&gt;0,M11,((L11+M11)/2))</f>
        <v>-2.99573227355399</v>
      </c>
      <c r="N12" s="37" t="n">
        <f aca="false">IF(N$7*LN(N$7)-N$7*((N11+O11)/2)+(1-N$7)*LN(1-N$7)-(1-N$7)*LN(1-EXP(((N11+O11)/2)))-N$6&gt;0,((N11+O11)/2),N11)</f>
        <v>-11.2559598380874</v>
      </c>
      <c r="O12" s="37" t="n">
        <f aca="false">IF(N$7*LN(N$7)-N$7*((N11+O11)/2)+(1-N$7)*LN(1-N$7)-(1-N$7)*LN(1-EXP(((N11+O11)/2)))-N$6&gt;0,O11,((N11+O11)/2))</f>
        <v>-2.99573227355399</v>
      </c>
      <c r="P12" s="37" t="n">
        <f aca="false">IF(P$7*LN(P$7)-P$7*((P11+Q11)/2)+(1-P$7)*LN(1-P$7)-(1-P$7)*LN(1-EXP(((P11+Q11)/2)))-P$6&gt;0,((P11+Q11)/2),P11)</f>
        <v>-11.2559598380874</v>
      </c>
      <c r="Q12" s="37" t="n">
        <f aca="false">IF(P$7*LN(P$7)-P$7*((P11+Q11)/2)+(1-P$7)*LN(1-P$7)-(1-P$7)*LN(1-EXP(((P11+Q11)/2)))-P$6&gt;0,Q11,((P11+Q11)/2))</f>
        <v>-2.99573227355399</v>
      </c>
      <c r="R12" s="37" t="n">
        <f aca="false">IF(R$7*LN(R$7)-R$7*((R11+S11)/2)+(1-R$7)*LN(1-R$7)-(1-R$7)*LN(1-EXP(((R11+S11)/2)))-R$6&gt;0,((R11+S11)/2),R11)</f>
        <v>-11.2559598380874</v>
      </c>
      <c r="S12" s="37" t="n">
        <f aca="false">IF(R$7*LN(R$7)-R$7*((R11+S11)/2)+(1-R$7)*LN(1-R$7)-(1-R$7)*LN(1-EXP(((R11+S11)/2)))-R$6&gt;0,S11,((R11+S11)/2))</f>
        <v>-2.99573227355399</v>
      </c>
      <c r="T12" s="37" t="n">
        <f aca="false">IF(T$7*LN(T$7)-T$7*((T11+U11)/2)+(1-T$7)*LN(1-T$7)-(1-T$7)*LN(1-EXP(((T11+U11)/2)))-T$6&gt;0,((T11+U11)/2),T11)</f>
        <v>-11.2559598380874</v>
      </c>
      <c r="U12" s="37" t="n">
        <f aca="false">IF(T$7*LN(T$7)-T$7*((T11+U11)/2)+(1-T$7)*LN(1-T$7)-(1-T$7)*LN(1-EXP(((T11+U11)/2)))-T$6&gt;0,U11,((T11+U11)/2))</f>
        <v>-2.99573227355399</v>
      </c>
      <c r="V12" s="37" t="n">
        <f aca="false">IF(V$7*LN(V$7)-V$7*((V11+W11)/2)+(1-V$7)*LN(1-V$7)-(1-V$7)*LN(1-EXP(((V11+W11)/2)))-V$6&gt;0,((V11+W11)/2),V11)</f>
        <v>-11.2559598380874</v>
      </c>
      <c r="W12" s="37" t="n">
        <f aca="false">IF(V$7*LN(V$7)-V$7*((V11+W11)/2)+(1-V$7)*LN(1-V$7)-(1-V$7)*LN(1-EXP(((V11+W11)/2)))-V$6&gt;0,W11,((V11+W11)/2))</f>
        <v>-2.99573227355399</v>
      </c>
      <c r="X12" s="37" t="n">
        <f aca="false">IF(X$7*LN(X$7)-X$7*((X11+Y11)/2)+(1-X$7)*LN(1-X$7)-(1-X$7)*LN(1-EXP(((X11+Y11)/2)))-X$6&gt;0,((X11+Y11)/2),X11)</f>
        <v>-11.2559598380874</v>
      </c>
      <c r="Y12" s="37" t="n">
        <f aca="false">IF(X$7*LN(X$7)-X$7*((X11+Y11)/2)+(1-X$7)*LN(1-X$7)-(1-X$7)*LN(1-EXP(((X11+Y11)/2)))-X$6&gt;0,Y11,((X11+Y11)/2))</f>
        <v>-2.99573227355399</v>
      </c>
      <c r="Z12" s="37" t="n">
        <f aca="false">IF(Z$7*LN(Z$7)-Z$7*((Z11+AA11)/2)+(1-Z$7)*LN(1-Z$7)-(1-Z$7)*LN(1-EXP(((Z11+AA11)/2)))-Z$6&gt;0,((Z11+AA11)/2),Z11)</f>
        <v>-11.2559598380874</v>
      </c>
      <c r="AA12" s="37" t="n">
        <f aca="false">IF(Z$7*LN(Z$7)-Z$7*((Z11+AA11)/2)+(1-Z$7)*LN(1-Z$7)-(1-Z$7)*LN(1-EXP(((Z11+AA11)/2)))-Z$6&gt;0,AA11,((Z11+AA11)/2))</f>
        <v>-2.99573227355399</v>
      </c>
      <c r="AB12" s="37" t="n">
        <f aca="false">IF((((AB11+AC11)/2))*LN((((AB11+AC11)/2))/(AB$7))+(1-(((AB11+AC11)/2)))*LN((1-(((AB11+AC11)/2)))/(1-(AB$7)))-AB$6&lt;0,((AB11+AC11)/2),AB11)</f>
        <v>0.05</v>
      </c>
      <c r="AC12" s="37" t="n">
        <f aca="false">IF((((AB11+AC11)/2))*LN((((AB11+AC11)/2))/(AB$7))+(1-(((AB11+AC11)/2)))*LN((1-(((AB11+AC11)/2)))/(1-(AB$7)))-AB$6&lt;0,AC11,((AB11+AC11)/2))</f>
        <v>0.16875</v>
      </c>
      <c r="AD12" s="37" t="n">
        <f aca="false">IF((((AD11+AE11)/2))*LN((((AD11+AE11)/2))/(AD$7))+(1-(((AD11+AE11)/2)))*LN((1-(((AD11+AE11)/2)))/(1-(AD$7)))-AD$6&lt;0,((AD11+AE11)/2),AD11)</f>
        <v>0.05</v>
      </c>
      <c r="AE12" s="37" t="n">
        <f aca="false">IF((((AD11+AE11)/2))*LN((((AD11+AE11)/2))/(AD$7))+(1-(((AD11+AE11)/2)))*LN((1-(((AD11+AE11)/2)))/(1-(AD$7)))-AD$6&lt;0,AE11,((AD11+AE11)/2))</f>
        <v>0.16875</v>
      </c>
      <c r="AF12" s="37" t="n">
        <f aca="false">IF((((AF11+AG11)/2))*LN((((AF11+AG11)/2))/(AF$7))+(1-(((AF11+AG11)/2)))*LN((1-(((AF11+AG11)/2)))/(1-(AF$7)))-AF$6&lt;0,((AF11+AG11)/2),AF11)</f>
        <v>0.05</v>
      </c>
      <c r="AG12" s="37" t="n">
        <f aca="false">IF((((AF11+AG11)/2))*LN((((AF11+AG11)/2))/(AF$7))+(1-(((AF11+AG11)/2)))*LN((1-(((AF11+AG11)/2)))/(1-(AF$7)))-AF$6&lt;0,AG11,((AF11+AG11)/2))</f>
        <v>0.16875</v>
      </c>
      <c r="AH12" s="37" t="n">
        <f aca="false">IF((((AH11+AI11)/2))*LN((((AH11+AI11)/2))/(AH$7))+(1-(((AH11+AI11)/2)))*LN((1-(((AH11+AI11)/2)))/(1-(AH$7)))-AH$6&lt;0,((AH11+AI11)/2),AH11)</f>
        <v>0.05</v>
      </c>
      <c r="AI12" s="37" t="n">
        <f aca="false">IF((((AH11+AI11)/2))*LN((((AH11+AI11)/2))/(AH$7))+(1-(((AH11+AI11)/2)))*LN((1-(((AH11+AI11)/2)))/(1-(AH$7)))-AH$6&lt;0,AI11,((AH11+AI11)/2))</f>
        <v>0.16875</v>
      </c>
      <c r="AJ12" s="37" t="n">
        <f aca="false">IF((((AJ11+AK11)/2))*LN((((AJ11+AK11)/2))/(AJ$7))+(1-(((AJ11+AK11)/2)))*LN((1-(((AJ11+AK11)/2)))/(1-(AJ$7)))-AJ$6&lt;0,((AJ11+AK11)/2),AJ11)</f>
        <v>0.16875</v>
      </c>
      <c r="AK12" s="37" t="n">
        <f aca="false">IF((((AJ11+AK11)/2))*LN((((AJ11+AK11)/2))/(AJ$7))+(1-(((AJ11+AK11)/2)))*LN((1-(((AJ11+AK11)/2)))/(1-(AJ$7)))-AJ$6&lt;0,AK11,((AJ11+AK11)/2))</f>
        <v>0.2875</v>
      </c>
      <c r="AL12" s="37" t="n">
        <f aca="false">IF((((AL11+AM11)/2))*LN((((AL11+AM11)/2))/(AL$7))+(1-(((AL11+AM11)/2)))*LN((1-(((AL11+AM11)/2)))/(1-(AL$7)))-AL$6&lt;0,((AL11+AM11)/2),AL11)</f>
        <v>0.2875</v>
      </c>
      <c r="AM12" s="37" t="n">
        <f aca="false">IF((((AL11+AM11)/2))*LN((((AL11+AM11)/2))/(AL$7))+(1-(((AL11+AM11)/2)))*LN((1-(((AL11+AM11)/2)))/(1-(AL$7)))-AL$6&lt;0,AM11,((AL11+AM11)/2))</f>
        <v>0.40625</v>
      </c>
      <c r="AN12" s="37" t="n">
        <f aca="false">IF((((AN11+AO11)/2))*LN((((AN11+AO11)/2))/(AN$7))+(1-(((AN11+AO11)/2)))*LN((1-(((AN11+AO11)/2)))/(1-(AN$7)))-AN$6&lt;0,((AN11+AO11)/2),AN11)</f>
        <v>0.525</v>
      </c>
      <c r="AO12" s="37" t="n">
        <f aca="false">IF((((AN11+AO11)/2))*LN((((AN11+AO11)/2))/(AN$7))+(1-(((AN11+AO11)/2)))*LN((1-(((AN11+AO11)/2)))/(1-(AN$7)))-AN$6&lt;0,AO11,((AN11+AO11)/2))</f>
        <v>0.643749999999999</v>
      </c>
      <c r="AP12" s="37" t="n">
        <f aca="false">IF(AP$7*LN(AP$7)-AP$7*((AP11+AQ11)/2)+(1-AP$7)*LN(1-AP$7)-(1-AP$7)*LN(1-EXP(((AP11+AQ11)/2)))-AP$6&gt;0,((AP11+AQ11)/2),AP11)</f>
        <v>-11.2559598380874</v>
      </c>
      <c r="AQ12" s="37" t="n">
        <f aca="false">IF(AP$7*LN(AP$7)-AP$7*((AP11+AQ11)/2)+(1-AP$7)*LN(1-AP$7)-(1-AP$7)*LN(1-EXP(((AP11+AQ11)/2)))-AP$6&gt;0,AQ11,((AP11+AQ11)/2))</f>
        <v>-2.99573227355399</v>
      </c>
      <c r="AR12" s="37" t="n">
        <f aca="false">IF((((AR11+AS11)/2))*LN((((AR11+AS11)/2))/(AR$7))+(1-(((AR11+AS11)/2)))*LN((1-(((AR11+AS11)/2)))/(1-(AR$7)))-AR$6&lt;0,((AR11+AS11)/2),AR11)</f>
        <v>0.05</v>
      </c>
      <c r="AS12" s="37" t="n">
        <f aca="false">IF((((AR11+AS11)/2))*LN((((AR11+AS11)/2))/(AR$7))+(1-(((AR11+AS11)/2)))*LN((1-(((AR11+AS11)/2)))/(1-(AR$7)))-AR$6&lt;0,AS11,((AR11+AS11)/2))</f>
        <v>0.16875</v>
      </c>
    </row>
    <row r="13" customFormat="false" ht="15" hidden="false" customHeight="false" outlineLevel="0" collapsed="false">
      <c r="B13" s="37" t="n">
        <f aca="false">IF(B$7*LN(B$7)-B$7*((B12+C12)/2)+(1-B$7)*LN(1-B$7)-(1-B$7)*LN(1-EXP(((B12+C12)/2)))-B$6&gt;0,((B12+C12)/2),B12)</f>
        <v>-15.3860736203541</v>
      </c>
      <c r="C13" s="37" t="n">
        <f aca="false">IF(B$7*LN(B$7)-B$7*((B12+C12)/2)+(1-B$7)*LN(1-B$7)-(1-B$7)*LN(1-EXP(((B12+C12)/2)))-B$6&gt;0,C12,((B12+C12)/2))</f>
        <v>-11.2559598380874</v>
      </c>
      <c r="D13" s="37" t="n">
        <f aca="false">IF(D$7*LN(D$7)-D$7*((D12+E12)/2)+(1-D$7)*LN(1-D$7)-(1-D$7)*LN(1-EXP(((D12+E12)/2)))-D$6&gt;0,((D12+E12)/2),D12)</f>
        <v>-19.5161874026208</v>
      </c>
      <c r="E13" s="37" t="n">
        <f aca="false">IF(D$7*LN(D$7)-D$7*((D12+E12)/2)+(1-D$7)*LN(1-D$7)-(1-D$7)*LN(1-EXP(((D12+E12)/2)))-D$6&gt;0,E12,((D12+E12)/2))</f>
        <v>-15.3860736203541</v>
      </c>
      <c r="F13" s="37" t="n">
        <f aca="false">IF(F$7*LN(F$7)-F$7*((F12+G12)/2)+(1-F$7)*LN(1-F$7)-(1-F$7)*LN(1-EXP(((F12+G12)/2)))-F$6&gt;0,((F12+G12)/2),F12)</f>
        <v>-27.7764149671543</v>
      </c>
      <c r="G13" s="37" t="n">
        <f aca="false">IF(F$7*LN(F$7)-F$7*((F12+G12)/2)+(1-F$7)*LN(1-F$7)-(1-F$7)*LN(1-EXP(((F12+G12)/2)))-F$6&gt;0,G12,((F12+G12)/2))</f>
        <v>-23.6463011848875</v>
      </c>
      <c r="H13" s="37" t="n">
        <f aca="false">IF(H$7*LN(H$7)-H$7*((H12+I12)/2)+(1-H$7)*LN(1-H$7)-(1-H$7)*LN(1-EXP(((H12+I12)/2)))-H$6&gt;0,((H12+I12)/2),H12)</f>
        <v>-7.1258460558207</v>
      </c>
      <c r="I13" s="37" t="n">
        <f aca="false">IF(H$7*LN(H$7)-H$7*((H12+I12)/2)+(1-H$7)*LN(1-H$7)-(1-H$7)*LN(1-EXP(((H12+I12)/2)))-H$6&gt;0,I12,((H12+I12)/2))</f>
        <v>-2.99573227355399</v>
      </c>
      <c r="J13" s="37" t="n">
        <f aca="false">IF(J$7*LN(J$7)-J$7*((J12+K12)/2)+(1-J$7)*LN(1-J$7)-(1-J$7)*LN(1-EXP(((J12+K12)/2)))-J$6&gt;0,((J12+K12)/2),J12)</f>
        <v>-7.1258460558207</v>
      </c>
      <c r="K13" s="37" t="n">
        <f aca="false">IF(J$7*LN(J$7)-J$7*((J12+K12)/2)+(1-J$7)*LN(1-J$7)-(1-J$7)*LN(1-EXP(((J12+K12)/2)))-J$6&gt;0,K12,((J12+K12)/2))</f>
        <v>-2.99573227355399</v>
      </c>
      <c r="L13" s="37" t="n">
        <f aca="false">IF(L$7*LN(L$7)-L$7*((L12+M12)/2)+(1-L$7)*LN(1-L$7)-(1-L$7)*LN(1-EXP(((L12+M12)/2)))-L$6&gt;0,((L12+M12)/2),L12)</f>
        <v>-7.1258460558207</v>
      </c>
      <c r="M13" s="37" t="n">
        <f aca="false">IF(L$7*LN(L$7)-L$7*((L12+M12)/2)+(1-L$7)*LN(1-L$7)-(1-L$7)*LN(1-EXP(((L12+M12)/2)))-L$6&gt;0,M12,((L12+M12)/2))</f>
        <v>-2.99573227355399</v>
      </c>
      <c r="N13" s="37" t="n">
        <f aca="false">IF(N$7*LN(N$7)-N$7*((N12+O12)/2)+(1-N$7)*LN(1-N$7)-(1-N$7)*LN(1-EXP(((N12+O12)/2)))-N$6&gt;0,((N12+O12)/2),N12)</f>
        <v>-7.1258460558207</v>
      </c>
      <c r="O13" s="37" t="n">
        <f aca="false">IF(N$7*LN(N$7)-N$7*((N12+O12)/2)+(1-N$7)*LN(1-N$7)-(1-N$7)*LN(1-EXP(((N12+O12)/2)))-N$6&gt;0,O12,((N12+O12)/2))</f>
        <v>-2.99573227355399</v>
      </c>
      <c r="P13" s="37" t="n">
        <f aca="false">IF(P$7*LN(P$7)-P$7*((P12+Q12)/2)+(1-P$7)*LN(1-P$7)-(1-P$7)*LN(1-EXP(((P12+Q12)/2)))-P$6&gt;0,((P12+Q12)/2),P12)</f>
        <v>-7.1258460558207</v>
      </c>
      <c r="Q13" s="37" t="n">
        <f aca="false">IF(P$7*LN(P$7)-P$7*((P12+Q12)/2)+(1-P$7)*LN(1-P$7)-(1-P$7)*LN(1-EXP(((P12+Q12)/2)))-P$6&gt;0,Q12,((P12+Q12)/2))</f>
        <v>-2.99573227355399</v>
      </c>
      <c r="R13" s="37" t="n">
        <f aca="false">IF(R$7*LN(R$7)-R$7*((R12+S12)/2)+(1-R$7)*LN(1-R$7)-(1-R$7)*LN(1-EXP(((R12+S12)/2)))-R$6&gt;0,((R12+S12)/2),R12)</f>
        <v>-7.1258460558207</v>
      </c>
      <c r="S13" s="37" t="n">
        <f aca="false">IF(R$7*LN(R$7)-R$7*((R12+S12)/2)+(1-R$7)*LN(1-R$7)-(1-R$7)*LN(1-EXP(((R12+S12)/2)))-R$6&gt;0,S12,((R12+S12)/2))</f>
        <v>-2.99573227355399</v>
      </c>
      <c r="T13" s="37" t="n">
        <f aca="false">IF(T$7*LN(T$7)-T$7*((T12+U12)/2)+(1-T$7)*LN(1-T$7)-(1-T$7)*LN(1-EXP(((T12+U12)/2)))-T$6&gt;0,((T12+U12)/2),T12)</f>
        <v>-7.1258460558207</v>
      </c>
      <c r="U13" s="37" t="n">
        <f aca="false">IF(T$7*LN(T$7)-T$7*((T12+U12)/2)+(1-T$7)*LN(1-T$7)-(1-T$7)*LN(1-EXP(((T12+U12)/2)))-T$6&gt;0,U12,((T12+U12)/2))</f>
        <v>-2.99573227355399</v>
      </c>
      <c r="V13" s="37" t="n">
        <f aca="false">IF(V$7*LN(V$7)-V$7*((V12+W12)/2)+(1-V$7)*LN(1-V$7)-(1-V$7)*LN(1-EXP(((V12+W12)/2)))-V$6&gt;0,((V12+W12)/2),V12)</f>
        <v>-7.1258460558207</v>
      </c>
      <c r="W13" s="37" t="n">
        <f aca="false">IF(V$7*LN(V$7)-V$7*((V12+W12)/2)+(1-V$7)*LN(1-V$7)-(1-V$7)*LN(1-EXP(((V12+W12)/2)))-V$6&gt;0,W12,((V12+W12)/2))</f>
        <v>-2.99573227355399</v>
      </c>
      <c r="X13" s="37" t="n">
        <f aca="false">IF(X$7*LN(X$7)-X$7*((X12+Y12)/2)+(1-X$7)*LN(1-X$7)-(1-X$7)*LN(1-EXP(((X12+Y12)/2)))-X$6&gt;0,((X12+Y12)/2),X12)</f>
        <v>-7.1258460558207</v>
      </c>
      <c r="Y13" s="37" t="n">
        <f aca="false">IF(X$7*LN(X$7)-X$7*((X12+Y12)/2)+(1-X$7)*LN(1-X$7)-(1-X$7)*LN(1-EXP(((X12+Y12)/2)))-X$6&gt;0,Y12,((X12+Y12)/2))</f>
        <v>-2.99573227355399</v>
      </c>
      <c r="Z13" s="37" t="n">
        <f aca="false">IF(Z$7*LN(Z$7)-Z$7*((Z12+AA12)/2)+(1-Z$7)*LN(1-Z$7)-(1-Z$7)*LN(1-EXP(((Z12+AA12)/2)))-Z$6&gt;0,((Z12+AA12)/2),Z12)</f>
        <v>-7.1258460558207</v>
      </c>
      <c r="AA13" s="37" t="n">
        <f aca="false">IF(Z$7*LN(Z$7)-Z$7*((Z12+AA12)/2)+(1-Z$7)*LN(1-Z$7)-(1-Z$7)*LN(1-EXP(((Z12+AA12)/2)))-Z$6&gt;0,AA12,((Z12+AA12)/2))</f>
        <v>-2.99573227355399</v>
      </c>
      <c r="AB13" s="37" t="n">
        <f aca="false">IF((((AB12+AC12)/2))*LN((((AB12+AC12)/2))/(AB$7))+(1-(((AB12+AC12)/2)))*LN((1-(((AB12+AC12)/2)))/(1-(AB$7)))-AB$6&lt;0,((AB12+AC12)/2),AB12)</f>
        <v>0.05</v>
      </c>
      <c r="AC13" s="37" t="n">
        <f aca="false">IF((((AB12+AC12)/2))*LN((((AB12+AC12)/2))/(AB$7))+(1-(((AB12+AC12)/2)))*LN((1-(((AB12+AC12)/2)))/(1-(AB$7)))-AB$6&lt;0,AC12,((AB12+AC12)/2))</f>
        <v>0.109375</v>
      </c>
      <c r="AD13" s="37" t="n">
        <f aca="false">IF((((AD12+AE12)/2))*LN((((AD12+AE12)/2))/(AD$7))+(1-(((AD12+AE12)/2)))*LN((1-(((AD12+AE12)/2)))/(1-(AD$7)))-AD$6&lt;0,((AD12+AE12)/2),AD12)</f>
        <v>0.05</v>
      </c>
      <c r="AE13" s="37" t="n">
        <f aca="false">IF((((AD12+AE12)/2))*LN((((AD12+AE12)/2))/(AD$7))+(1-(((AD12+AE12)/2)))*LN((1-(((AD12+AE12)/2)))/(1-(AD$7)))-AD$6&lt;0,AE12,((AD12+AE12)/2))</f>
        <v>0.109375</v>
      </c>
      <c r="AF13" s="37" t="n">
        <f aca="false">IF((((AF12+AG12)/2))*LN((((AF12+AG12)/2))/(AF$7))+(1-(((AF12+AG12)/2)))*LN((1-(((AF12+AG12)/2)))/(1-(AF$7)))-AF$6&lt;0,((AF12+AG12)/2),AF12)</f>
        <v>0.05</v>
      </c>
      <c r="AG13" s="37" t="n">
        <f aca="false">IF((((AF12+AG12)/2))*LN((((AF12+AG12)/2))/(AF$7))+(1-(((AF12+AG12)/2)))*LN((1-(((AF12+AG12)/2)))/(1-(AF$7)))-AF$6&lt;0,AG12,((AF12+AG12)/2))</f>
        <v>0.109375</v>
      </c>
      <c r="AH13" s="37" t="n">
        <f aca="false">IF((((AH12+AI12)/2))*LN((((AH12+AI12)/2))/(AH$7))+(1-(((AH12+AI12)/2)))*LN((1-(((AH12+AI12)/2)))/(1-(AH$7)))-AH$6&lt;0,((AH12+AI12)/2),AH12)</f>
        <v>0.109375</v>
      </c>
      <c r="AI13" s="37" t="n">
        <f aca="false">IF((((AH12+AI12)/2))*LN((((AH12+AI12)/2))/(AH$7))+(1-(((AH12+AI12)/2)))*LN((1-(((AH12+AI12)/2)))/(1-(AH$7)))-AH$6&lt;0,AI12,((AH12+AI12)/2))</f>
        <v>0.16875</v>
      </c>
      <c r="AJ13" s="37" t="n">
        <f aca="false">IF((((AJ12+AK12)/2))*LN((((AJ12+AK12)/2))/(AJ$7))+(1-(((AJ12+AK12)/2)))*LN((1-(((AJ12+AK12)/2)))/(1-(AJ$7)))-AJ$6&lt;0,((AJ12+AK12)/2),AJ12)</f>
        <v>0.16875</v>
      </c>
      <c r="AK13" s="37" t="n">
        <f aca="false">IF((((AJ12+AK12)/2))*LN((((AJ12+AK12)/2))/(AJ$7))+(1-(((AJ12+AK12)/2)))*LN((1-(((AJ12+AK12)/2)))/(1-(AJ$7)))-AJ$6&lt;0,AK12,((AJ12+AK12)/2))</f>
        <v>0.228125</v>
      </c>
      <c r="AL13" s="37" t="n">
        <f aca="false">IF((((AL12+AM12)/2))*LN((((AL12+AM12)/2))/(AL$7))+(1-(((AL12+AM12)/2)))*LN((1-(((AL12+AM12)/2)))/(1-(AL$7)))-AL$6&lt;0,((AL12+AM12)/2),AL12)</f>
        <v>0.2875</v>
      </c>
      <c r="AM13" s="37" t="n">
        <f aca="false">IF((((AL12+AM12)/2))*LN((((AL12+AM12)/2))/(AL$7))+(1-(((AL12+AM12)/2)))*LN((1-(((AL12+AM12)/2)))/(1-(AL$7)))-AL$6&lt;0,AM12,((AL12+AM12)/2))</f>
        <v>0.346875</v>
      </c>
      <c r="AN13" s="37" t="n">
        <f aca="false">IF((((AN12+AO12)/2))*LN((((AN12+AO12)/2))/(AN$7))+(1-(((AN12+AO12)/2)))*LN((1-(((AN12+AO12)/2)))/(1-(AN$7)))-AN$6&lt;0,((AN12+AO12)/2),AN12)</f>
        <v>0.525</v>
      </c>
      <c r="AO13" s="37" t="n">
        <f aca="false">IF((((AN12+AO12)/2))*LN((((AN12+AO12)/2))/(AN$7))+(1-(((AN12+AO12)/2)))*LN((1-(((AN12+AO12)/2)))/(1-(AN$7)))-AN$6&lt;0,AO12,((AN12+AO12)/2))</f>
        <v>0.584374999999999</v>
      </c>
      <c r="AP13" s="37" t="n">
        <f aca="false">IF(AP$7*LN(AP$7)-AP$7*((AP12+AQ12)/2)+(1-AP$7)*LN(1-AP$7)-(1-AP$7)*LN(1-EXP(((AP12+AQ12)/2)))-AP$6&gt;0,((AP12+AQ12)/2),AP12)</f>
        <v>-7.1258460558207</v>
      </c>
      <c r="AQ13" s="37" t="n">
        <f aca="false">IF(AP$7*LN(AP$7)-AP$7*((AP12+AQ12)/2)+(1-AP$7)*LN(1-AP$7)-(1-AP$7)*LN(1-EXP(((AP12+AQ12)/2)))-AP$6&gt;0,AQ12,((AP12+AQ12)/2))</f>
        <v>-2.99573227355399</v>
      </c>
      <c r="AR13" s="37" t="n">
        <f aca="false">IF((((AR12+AS12)/2))*LN((((AR12+AS12)/2))/(AR$7))+(1-(((AR12+AS12)/2)))*LN((1-(((AR12+AS12)/2)))/(1-(AR$7)))-AR$6&lt;0,((AR12+AS12)/2),AR12)</f>
        <v>0.05</v>
      </c>
      <c r="AS13" s="37" t="n">
        <f aca="false">IF((((AR12+AS12)/2))*LN((((AR12+AS12)/2))/(AR$7))+(1-(((AR12+AS12)/2)))*LN((1-(((AR12+AS12)/2)))/(1-(AR$7)))-AR$6&lt;0,AS12,((AR12+AS12)/2))</f>
        <v>0.109375</v>
      </c>
    </row>
    <row r="14" customFormat="false" ht="15" hidden="false" customHeight="false" outlineLevel="0" collapsed="false">
      <c r="B14" s="37" t="n">
        <f aca="false">IF(B$7*LN(B$7)-B$7*((B13+C13)/2)+(1-B$7)*LN(1-B$7)-(1-B$7)*LN(1-EXP(((B13+C13)/2)))-B$6&gt;0,((B13+C13)/2),B13)</f>
        <v>-13.3210167292208</v>
      </c>
      <c r="C14" s="37" t="n">
        <f aca="false">IF(B$7*LN(B$7)-B$7*((B13+C13)/2)+(1-B$7)*LN(1-B$7)-(1-B$7)*LN(1-EXP(((B13+C13)/2)))-B$6&gt;0,C13,((B13+C13)/2))</f>
        <v>-11.2559598380874</v>
      </c>
      <c r="D14" s="37" t="n">
        <f aca="false">IF(D$7*LN(D$7)-D$7*((D13+E13)/2)+(1-D$7)*LN(1-D$7)-(1-D$7)*LN(1-EXP(((D13+E13)/2)))-D$6&gt;0,((D13+E13)/2),D13)</f>
        <v>-17.4511305114875</v>
      </c>
      <c r="E14" s="37" t="n">
        <f aca="false">IF(D$7*LN(D$7)-D$7*((D13+E13)/2)+(1-D$7)*LN(1-D$7)-(1-D$7)*LN(1-EXP(((D13+E13)/2)))-D$6&gt;0,E13,((D13+E13)/2))</f>
        <v>-15.3860736203541</v>
      </c>
      <c r="F14" s="37" t="n">
        <f aca="false">IF(F$7*LN(F$7)-F$7*((F13+G13)/2)+(1-F$7)*LN(1-F$7)-(1-F$7)*LN(1-EXP(((F13+G13)/2)))-F$6&gt;0,((F13+G13)/2),F13)</f>
        <v>-25.7113580760209</v>
      </c>
      <c r="G14" s="37" t="n">
        <f aca="false">IF(F$7*LN(F$7)-F$7*((F13+G13)/2)+(1-F$7)*LN(1-F$7)-(1-F$7)*LN(1-EXP(((F13+G13)/2)))-F$6&gt;0,G13,((F13+G13)/2))</f>
        <v>-23.6463011848875</v>
      </c>
      <c r="H14" s="37" t="n">
        <f aca="false">IF(H$7*LN(H$7)-H$7*((H13+I13)/2)+(1-H$7)*LN(1-H$7)-(1-H$7)*LN(1-EXP(((H13+I13)/2)))-H$6&gt;0,((H13+I13)/2),H13)</f>
        <v>-5.06078916468735</v>
      </c>
      <c r="I14" s="37" t="n">
        <f aca="false">IF(H$7*LN(H$7)-H$7*((H13+I13)/2)+(1-H$7)*LN(1-H$7)-(1-H$7)*LN(1-EXP(((H13+I13)/2)))-H$6&gt;0,I13,((H13+I13)/2))</f>
        <v>-2.99573227355399</v>
      </c>
      <c r="J14" s="37" t="n">
        <f aca="false">IF(J$7*LN(J$7)-J$7*((J13+K13)/2)+(1-J$7)*LN(1-J$7)-(1-J$7)*LN(1-EXP(((J13+K13)/2)))-J$6&gt;0,((J13+K13)/2),J13)</f>
        <v>-5.06078916468735</v>
      </c>
      <c r="K14" s="37" t="n">
        <f aca="false">IF(J$7*LN(J$7)-J$7*((J13+K13)/2)+(1-J$7)*LN(1-J$7)-(1-J$7)*LN(1-EXP(((J13+K13)/2)))-J$6&gt;0,K13,((J13+K13)/2))</f>
        <v>-2.99573227355399</v>
      </c>
      <c r="L14" s="37" t="n">
        <f aca="false">IF(L$7*LN(L$7)-L$7*((L13+M13)/2)+(1-L$7)*LN(1-L$7)-(1-L$7)*LN(1-EXP(((L13+M13)/2)))-L$6&gt;0,((L13+M13)/2),L13)</f>
        <v>-5.06078916468735</v>
      </c>
      <c r="M14" s="37" t="n">
        <f aca="false">IF(L$7*LN(L$7)-L$7*((L13+M13)/2)+(1-L$7)*LN(1-L$7)-(1-L$7)*LN(1-EXP(((L13+M13)/2)))-L$6&gt;0,M13,((L13+M13)/2))</f>
        <v>-2.99573227355399</v>
      </c>
      <c r="N14" s="37" t="n">
        <f aca="false">IF(N$7*LN(N$7)-N$7*((N13+O13)/2)+(1-N$7)*LN(1-N$7)-(1-N$7)*LN(1-EXP(((N13+O13)/2)))-N$6&gt;0,((N13+O13)/2),N13)</f>
        <v>-5.06078916468735</v>
      </c>
      <c r="O14" s="37" t="n">
        <f aca="false">IF(N$7*LN(N$7)-N$7*((N13+O13)/2)+(1-N$7)*LN(1-N$7)-(1-N$7)*LN(1-EXP(((N13+O13)/2)))-N$6&gt;0,O13,((N13+O13)/2))</f>
        <v>-2.99573227355399</v>
      </c>
      <c r="P14" s="37" t="n">
        <f aca="false">IF(P$7*LN(P$7)-P$7*((P13+Q13)/2)+(1-P$7)*LN(1-P$7)-(1-P$7)*LN(1-EXP(((P13+Q13)/2)))-P$6&gt;0,((P13+Q13)/2),P13)</f>
        <v>-5.06078916468735</v>
      </c>
      <c r="Q14" s="37" t="n">
        <f aca="false">IF(P$7*LN(P$7)-P$7*((P13+Q13)/2)+(1-P$7)*LN(1-P$7)-(1-P$7)*LN(1-EXP(((P13+Q13)/2)))-P$6&gt;0,Q13,((P13+Q13)/2))</f>
        <v>-2.99573227355399</v>
      </c>
      <c r="R14" s="37" t="n">
        <f aca="false">IF(R$7*LN(R$7)-R$7*((R13+S13)/2)+(1-R$7)*LN(1-R$7)-(1-R$7)*LN(1-EXP(((R13+S13)/2)))-R$6&gt;0,((R13+S13)/2),R13)</f>
        <v>-5.06078916468735</v>
      </c>
      <c r="S14" s="37" t="n">
        <f aca="false">IF(R$7*LN(R$7)-R$7*((R13+S13)/2)+(1-R$7)*LN(1-R$7)-(1-R$7)*LN(1-EXP(((R13+S13)/2)))-R$6&gt;0,S13,((R13+S13)/2))</f>
        <v>-2.99573227355399</v>
      </c>
      <c r="T14" s="37" t="n">
        <f aca="false">IF(T$7*LN(T$7)-T$7*((T13+U13)/2)+(1-T$7)*LN(1-T$7)-(1-T$7)*LN(1-EXP(((T13+U13)/2)))-T$6&gt;0,((T13+U13)/2),T13)</f>
        <v>-5.06078916468735</v>
      </c>
      <c r="U14" s="37" t="n">
        <f aca="false">IF(T$7*LN(T$7)-T$7*((T13+U13)/2)+(1-T$7)*LN(1-T$7)-(1-T$7)*LN(1-EXP(((T13+U13)/2)))-T$6&gt;0,U13,((T13+U13)/2))</f>
        <v>-2.99573227355399</v>
      </c>
      <c r="V14" s="37" t="n">
        <f aca="false">IF(V$7*LN(V$7)-V$7*((V13+W13)/2)+(1-V$7)*LN(1-V$7)-(1-V$7)*LN(1-EXP(((V13+W13)/2)))-V$6&gt;0,((V13+W13)/2),V13)</f>
        <v>-7.1258460558207</v>
      </c>
      <c r="W14" s="37" t="n">
        <f aca="false">IF(V$7*LN(V$7)-V$7*((V13+W13)/2)+(1-V$7)*LN(1-V$7)-(1-V$7)*LN(1-EXP(((V13+W13)/2)))-V$6&gt;0,W13,((V13+W13)/2))</f>
        <v>-5.06078916468735</v>
      </c>
      <c r="X14" s="37" t="n">
        <f aca="false">IF(X$7*LN(X$7)-X$7*((X13+Y13)/2)+(1-X$7)*LN(1-X$7)-(1-X$7)*LN(1-EXP(((X13+Y13)/2)))-X$6&gt;0,((X13+Y13)/2),X13)</f>
        <v>-7.1258460558207</v>
      </c>
      <c r="Y14" s="37" t="n">
        <f aca="false">IF(X$7*LN(X$7)-X$7*((X13+Y13)/2)+(1-X$7)*LN(1-X$7)-(1-X$7)*LN(1-EXP(((X13+Y13)/2)))-X$6&gt;0,Y13,((X13+Y13)/2))</f>
        <v>-5.06078916468735</v>
      </c>
      <c r="Z14" s="37" t="n">
        <f aca="false">IF(Z$7*LN(Z$7)-Z$7*((Z13+AA13)/2)+(1-Z$7)*LN(1-Z$7)-(1-Z$7)*LN(1-EXP(((Z13+AA13)/2)))-Z$6&gt;0,((Z13+AA13)/2),Z13)</f>
        <v>-7.1258460558207</v>
      </c>
      <c r="AA14" s="37" t="n">
        <f aca="false">IF(Z$7*LN(Z$7)-Z$7*((Z13+AA13)/2)+(1-Z$7)*LN(1-Z$7)-(1-Z$7)*LN(1-EXP(((Z13+AA13)/2)))-Z$6&gt;0,AA13,((Z13+AA13)/2))</f>
        <v>-5.06078916468735</v>
      </c>
      <c r="AB14" s="37" t="n">
        <f aca="false">IF((((AB13+AC13)/2))*LN((((AB13+AC13)/2))/(AB$7))+(1-(((AB13+AC13)/2)))*LN((1-(((AB13+AC13)/2)))/(1-(AB$7)))-AB$6&lt;0,((AB13+AC13)/2),AB13)</f>
        <v>0.05</v>
      </c>
      <c r="AC14" s="37" t="n">
        <f aca="false">IF((((AB13+AC13)/2))*LN((((AB13+AC13)/2))/(AB$7))+(1-(((AB13+AC13)/2)))*LN((1-(((AB13+AC13)/2)))/(1-(AB$7)))-AB$6&lt;0,AC13,((AB13+AC13)/2))</f>
        <v>0.0796875</v>
      </c>
      <c r="AD14" s="37" t="n">
        <f aca="false">IF((((AD13+AE13)/2))*LN((((AD13+AE13)/2))/(AD$7))+(1-(((AD13+AE13)/2)))*LN((1-(((AD13+AE13)/2)))/(1-(AD$7)))-AD$6&lt;0,((AD13+AE13)/2),AD13)</f>
        <v>0.05</v>
      </c>
      <c r="AE14" s="37" t="n">
        <f aca="false">IF((((AD13+AE13)/2))*LN((((AD13+AE13)/2))/(AD$7))+(1-(((AD13+AE13)/2)))*LN((1-(((AD13+AE13)/2)))/(1-(AD$7)))-AD$6&lt;0,AE13,((AD13+AE13)/2))</f>
        <v>0.0796875</v>
      </c>
      <c r="AF14" s="37" t="n">
        <f aca="false">IF((((AF13+AG13)/2))*LN((((AF13+AG13)/2))/(AF$7))+(1-(((AF13+AG13)/2)))*LN((1-(((AF13+AG13)/2)))/(1-(AF$7)))-AF$6&lt;0,((AF13+AG13)/2),AF13)</f>
        <v>0.0796875</v>
      </c>
      <c r="AG14" s="37" t="n">
        <f aca="false">IF((((AF13+AG13)/2))*LN((((AF13+AG13)/2))/(AF$7))+(1-(((AF13+AG13)/2)))*LN((1-(((AF13+AG13)/2)))/(1-(AF$7)))-AF$6&lt;0,AG13,((AF13+AG13)/2))</f>
        <v>0.109375</v>
      </c>
      <c r="AH14" s="37" t="n">
        <f aca="false">IF((((AH13+AI13)/2))*LN((((AH13+AI13)/2))/(AH$7))+(1-(((AH13+AI13)/2)))*LN((1-(((AH13+AI13)/2)))/(1-(AH$7)))-AH$6&lt;0,((AH13+AI13)/2),AH13)</f>
        <v>0.109375</v>
      </c>
      <c r="AI14" s="37" t="n">
        <f aca="false">IF((((AH13+AI13)/2))*LN((((AH13+AI13)/2))/(AH$7))+(1-(((AH13+AI13)/2)))*LN((1-(((AH13+AI13)/2)))/(1-(AH$7)))-AH$6&lt;0,AI13,((AH13+AI13)/2))</f>
        <v>0.1390625</v>
      </c>
      <c r="AJ14" s="37" t="n">
        <f aca="false">IF((((AJ13+AK13)/2))*LN((((AJ13+AK13)/2))/(AJ$7))+(1-(((AJ13+AK13)/2)))*LN((1-(((AJ13+AK13)/2)))/(1-(AJ$7)))-AJ$6&lt;0,((AJ13+AK13)/2),AJ13)</f>
        <v>0.16875</v>
      </c>
      <c r="AK14" s="37" t="n">
        <f aca="false">IF((((AJ13+AK13)/2))*LN((((AJ13+AK13)/2))/(AJ$7))+(1-(((AJ13+AK13)/2)))*LN((1-(((AJ13+AK13)/2)))/(1-(AJ$7)))-AJ$6&lt;0,AK13,((AJ13+AK13)/2))</f>
        <v>0.1984375</v>
      </c>
      <c r="AL14" s="37" t="n">
        <f aca="false">IF((((AL13+AM13)/2))*LN((((AL13+AM13)/2))/(AL$7))+(1-(((AL13+AM13)/2)))*LN((1-(((AL13+AM13)/2)))/(1-(AL$7)))-AL$6&lt;0,((AL13+AM13)/2),AL13)</f>
        <v>0.2875</v>
      </c>
      <c r="AM14" s="37" t="n">
        <f aca="false">IF((((AL13+AM13)/2))*LN((((AL13+AM13)/2))/(AL$7))+(1-(((AL13+AM13)/2)))*LN((1-(((AL13+AM13)/2)))/(1-(AL$7)))-AL$6&lt;0,AM13,((AL13+AM13)/2))</f>
        <v>0.3171875</v>
      </c>
      <c r="AN14" s="37" t="n">
        <f aca="false">IF((((AN13+AO13)/2))*LN((((AN13+AO13)/2))/(AN$7))+(1-(((AN13+AO13)/2)))*LN((1-(((AN13+AO13)/2)))/(1-(AN$7)))-AN$6&lt;0,((AN13+AO13)/2),AN13)</f>
        <v>0.554687499999999</v>
      </c>
      <c r="AO14" s="37" t="n">
        <f aca="false">IF((((AN13+AO13)/2))*LN((((AN13+AO13)/2))/(AN$7))+(1-(((AN13+AO13)/2)))*LN((1-(((AN13+AO13)/2)))/(1-(AN$7)))-AN$6&lt;0,AO13,((AN13+AO13)/2))</f>
        <v>0.584374999999999</v>
      </c>
      <c r="AP14" s="37" t="n">
        <f aca="false">IF(AP$7*LN(AP$7)-AP$7*((AP13+AQ13)/2)+(1-AP$7)*LN(1-AP$7)-(1-AP$7)*LN(1-EXP(((AP13+AQ13)/2)))-AP$6&gt;0,((AP13+AQ13)/2),AP13)</f>
        <v>-5.06078916468735</v>
      </c>
      <c r="AQ14" s="37" t="n">
        <f aca="false">IF(AP$7*LN(AP$7)-AP$7*((AP13+AQ13)/2)+(1-AP$7)*LN(1-AP$7)-(1-AP$7)*LN(1-EXP(((AP13+AQ13)/2)))-AP$6&gt;0,AQ13,((AP13+AQ13)/2))</f>
        <v>-2.99573227355399</v>
      </c>
      <c r="AR14" s="37" t="n">
        <f aca="false">IF((((AR13+AS13)/2))*LN((((AR13+AS13)/2))/(AR$7))+(1-(((AR13+AS13)/2)))*LN((1-(((AR13+AS13)/2)))/(1-(AR$7)))-AR$6&lt;0,((AR13+AS13)/2),AR13)</f>
        <v>0.0796875</v>
      </c>
      <c r="AS14" s="37" t="n">
        <f aca="false">IF((((AR13+AS13)/2))*LN((((AR13+AS13)/2))/(AR$7))+(1-(((AR13+AS13)/2)))*LN((1-(((AR13+AS13)/2)))/(1-(AR$7)))-AR$6&lt;0,AS13,((AR13+AS13)/2))</f>
        <v>0.109375</v>
      </c>
    </row>
    <row r="15" customFormat="false" ht="15" hidden="false" customHeight="false" outlineLevel="0" collapsed="false">
      <c r="B15" s="37" t="n">
        <f aca="false">IF(B$7*LN(B$7)-B$7*((B14+C14)/2)+(1-B$7)*LN(1-B$7)-(1-B$7)*LN(1-EXP(((B14+C14)/2)))-B$6&gt;0,((B14+C14)/2),B14)</f>
        <v>-13.3210167292208</v>
      </c>
      <c r="C15" s="37" t="n">
        <f aca="false">IF(B$7*LN(B$7)-B$7*((B14+C14)/2)+(1-B$7)*LN(1-B$7)-(1-B$7)*LN(1-EXP(((B14+C14)/2)))-B$6&gt;0,C14,((B14+C14)/2))</f>
        <v>-12.2884882836541</v>
      </c>
      <c r="D15" s="37" t="n">
        <f aca="false">IF(D$7*LN(D$7)-D$7*((D14+E14)/2)+(1-D$7)*LN(1-D$7)-(1-D$7)*LN(1-EXP(((D14+E14)/2)))-D$6&gt;0,((D14+E14)/2),D14)</f>
        <v>-16.4186020659208</v>
      </c>
      <c r="E15" s="37" t="n">
        <f aca="false">IF(D$7*LN(D$7)-D$7*((D14+E14)/2)+(1-D$7)*LN(1-D$7)-(1-D$7)*LN(1-EXP(((D14+E14)/2)))-D$6&gt;0,E14,((D14+E14)/2))</f>
        <v>-15.3860736203541</v>
      </c>
      <c r="F15" s="37" t="n">
        <f aca="false">IF(F$7*LN(F$7)-F$7*((F14+G14)/2)+(1-F$7)*LN(1-F$7)-(1-F$7)*LN(1-EXP(((F14+G14)/2)))-F$6&gt;0,((F14+G14)/2),F14)</f>
        <v>-25.7113580760209</v>
      </c>
      <c r="G15" s="37" t="n">
        <f aca="false">IF(F$7*LN(F$7)-F$7*((F14+G14)/2)+(1-F$7)*LN(1-F$7)-(1-F$7)*LN(1-EXP(((F14+G14)/2)))-F$6&gt;0,G14,((F14+G14)/2))</f>
        <v>-24.6788296304542</v>
      </c>
      <c r="H15" s="37" t="n">
        <f aca="false">IF(H$7*LN(H$7)-H$7*((H14+I14)/2)+(1-H$7)*LN(1-H$7)-(1-H$7)*LN(1-EXP(((H14+I14)/2)))-H$6&gt;0,((H14+I14)/2),H14)</f>
        <v>-4.02826071912067</v>
      </c>
      <c r="I15" s="37" t="n">
        <f aca="false">IF(H$7*LN(H$7)-H$7*((H14+I14)/2)+(1-H$7)*LN(1-H$7)-(1-H$7)*LN(1-EXP(((H14+I14)/2)))-H$6&gt;0,I14,((H14+I14)/2))</f>
        <v>-2.99573227355399</v>
      </c>
      <c r="J15" s="37" t="n">
        <f aca="false">IF(J$7*LN(J$7)-J$7*((J14+K14)/2)+(1-J$7)*LN(1-J$7)-(1-J$7)*LN(1-EXP(((J14+K14)/2)))-J$6&gt;0,((J14+K14)/2),J14)</f>
        <v>-4.02826071912067</v>
      </c>
      <c r="K15" s="37" t="n">
        <f aca="false">IF(J$7*LN(J$7)-J$7*((J14+K14)/2)+(1-J$7)*LN(1-J$7)-(1-J$7)*LN(1-EXP(((J14+K14)/2)))-J$6&gt;0,K14,((J14+K14)/2))</f>
        <v>-2.99573227355399</v>
      </c>
      <c r="L15" s="37" t="n">
        <f aca="false">IF(L$7*LN(L$7)-L$7*((L14+M14)/2)+(1-L$7)*LN(1-L$7)-(1-L$7)*LN(1-EXP(((L14+M14)/2)))-L$6&gt;0,((L14+M14)/2),L14)</f>
        <v>-4.02826071912067</v>
      </c>
      <c r="M15" s="37" t="n">
        <f aca="false">IF(L$7*LN(L$7)-L$7*((L14+M14)/2)+(1-L$7)*LN(1-L$7)-(1-L$7)*LN(1-EXP(((L14+M14)/2)))-L$6&gt;0,M14,((L14+M14)/2))</f>
        <v>-2.99573227355399</v>
      </c>
      <c r="N15" s="37" t="n">
        <f aca="false">IF(N$7*LN(N$7)-N$7*((N14+O14)/2)+(1-N$7)*LN(1-N$7)-(1-N$7)*LN(1-EXP(((N14+O14)/2)))-N$6&gt;0,((N14+O14)/2),N14)</f>
        <v>-4.02826071912067</v>
      </c>
      <c r="O15" s="37" t="n">
        <f aca="false">IF(N$7*LN(N$7)-N$7*((N14+O14)/2)+(1-N$7)*LN(1-N$7)-(1-N$7)*LN(1-EXP(((N14+O14)/2)))-N$6&gt;0,O14,((N14+O14)/2))</f>
        <v>-2.99573227355399</v>
      </c>
      <c r="P15" s="37" t="n">
        <f aca="false">IF(P$7*LN(P$7)-P$7*((P14+Q14)/2)+(1-P$7)*LN(1-P$7)-(1-P$7)*LN(1-EXP(((P14+Q14)/2)))-P$6&gt;0,((P14+Q14)/2),P14)</f>
        <v>-5.06078916468735</v>
      </c>
      <c r="Q15" s="37" t="n">
        <f aca="false">IF(P$7*LN(P$7)-P$7*((P14+Q14)/2)+(1-P$7)*LN(1-P$7)-(1-P$7)*LN(1-EXP(((P14+Q14)/2)))-P$6&gt;0,Q14,((P14+Q14)/2))</f>
        <v>-4.02826071912067</v>
      </c>
      <c r="R15" s="37" t="n">
        <f aca="false">IF(R$7*LN(R$7)-R$7*((R14+S14)/2)+(1-R$7)*LN(1-R$7)-(1-R$7)*LN(1-EXP(((R14+S14)/2)))-R$6&gt;0,((R14+S14)/2),R14)</f>
        <v>-5.06078916468735</v>
      </c>
      <c r="S15" s="37" t="n">
        <f aca="false">IF(R$7*LN(R$7)-R$7*((R14+S14)/2)+(1-R$7)*LN(1-R$7)-(1-R$7)*LN(1-EXP(((R14+S14)/2)))-R$6&gt;0,S14,((R14+S14)/2))</f>
        <v>-4.02826071912067</v>
      </c>
      <c r="T15" s="37" t="n">
        <f aca="false">IF(T$7*LN(T$7)-T$7*((T14+U14)/2)+(1-T$7)*LN(1-T$7)-(1-T$7)*LN(1-EXP(((T14+U14)/2)))-T$6&gt;0,((T14+U14)/2),T14)</f>
        <v>-5.06078916468735</v>
      </c>
      <c r="U15" s="37" t="n">
        <f aca="false">IF(T$7*LN(T$7)-T$7*((T14+U14)/2)+(1-T$7)*LN(1-T$7)-(1-T$7)*LN(1-EXP(((T14+U14)/2)))-T$6&gt;0,U14,((T14+U14)/2))</f>
        <v>-4.02826071912067</v>
      </c>
      <c r="V15" s="37" t="n">
        <f aca="false">IF(V$7*LN(V$7)-V$7*((V14+W14)/2)+(1-V$7)*LN(1-V$7)-(1-V$7)*LN(1-EXP(((V14+W14)/2)))-V$6&gt;0,((V14+W14)/2),V14)</f>
        <v>-6.09331761025402</v>
      </c>
      <c r="W15" s="37" t="n">
        <f aca="false">IF(V$7*LN(V$7)-V$7*((V14+W14)/2)+(1-V$7)*LN(1-V$7)-(1-V$7)*LN(1-EXP(((V14+W14)/2)))-V$6&gt;0,W14,((V14+W14)/2))</f>
        <v>-5.06078916468735</v>
      </c>
      <c r="X15" s="37" t="n">
        <f aca="false">IF(X$7*LN(X$7)-X$7*((X14+Y14)/2)+(1-X$7)*LN(1-X$7)-(1-X$7)*LN(1-EXP(((X14+Y14)/2)))-X$6&gt;0,((X14+Y14)/2),X14)</f>
        <v>-6.09331761025402</v>
      </c>
      <c r="Y15" s="37" t="n">
        <f aca="false">IF(X$7*LN(X$7)-X$7*((X14+Y14)/2)+(1-X$7)*LN(1-X$7)-(1-X$7)*LN(1-EXP(((X14+Y14)/2)))-X$6&gt;0,Y14,((X14+Y14)/2))</f>
        <v>-5.06078916468735</v>
      </c>
      <c r="Z15" s="37" t="n">
        <f aca="false">IF(Z$7*LN(Z$7)-Z$7*((Z14+AA14)/2)+(1-Z$7)*LN(1-Z$7)-(1-Z$7)*LN(1-EXP(((Z14+AA14)/2)))-Z$6&gt;0,((Z14+AA14)/2),Z14)</f>
        <v>-7.1258460558207</v>
      </c>
      <c r="AA15" s="37" t="n">
        <f aca="false">IF(Z$7*LN(Z$7)-Z$7*((Z14+AA14)/2)+(1-Z$7)*LN(1-Z$7)-(1-Z$7)*LN(1-EXP(((Z14+AA14)/2)))-Z$6&gt;0,AA14,((Z14+AA14)/2))</f>
        <v>-6.09331761025402</v>
      </c>
      <c r="AB15" s="37" t="n">
        <f aca="false">IF((((AB14+AC14)/2))*LN((((AB14+AC14)/2))/(AB$7))+(1-(((AB14+AC14)/2)))*LN((1-(((AB14+AC14)/2)))/(1-(AB$7)))-AB$6&lt;0,((AB14+AC14)/2),AB14)</f>
        <v>0.05</v>
      </c>
      <c r="AC15" s="37" t="n">
        <f aca="false">IF((((AB14+AC14)/2))*LN((((AB14+AC14)/2))/(AB$7))+(1-(((AB14+AC14)/2)))*LN((1-(((AB14+AC14)/2)))/(1-(AB$7)))-AB$6&lt;0,AC14,((AB14+AC14)/2))</f>
        <v>0.06484375</v>
      </c>
      <c r="AD15" s="37" t="n">
        <f aca="false">IF((((AD14+AE14)/2))*LN((((AD14+AE14)/2))/(AD$7))+(1-(((AD14+AE14)/2)))*LN((1-(((AD14+AE14)/2)))/(1-(AD$7)))-AD$6&lt;0,((AD14+AE14)/2),AD14)</f>
        <v>0.06484375</v>
      </c>
      <c r="AE15" s="37" t="n">
        <f aca="false">IF((((AD14+AE14)/2))*LN((((AD14+AE14)/2))/(AD$7))+(1-(((AD14+AE14)/2)))*LN((1-(((AD14+AE14)/2)))/(1-(AD$7)))-AD$6&lt;0,AE14,((AD14+AE14)/2))</f>
        <v>0.0796875</v>
      </c>
      <c r="AF15" s="37" t="n">
        <f aca="false">IF((((AF14+AG14)/2))*LN((((AF14+AG14)/2))/(AF$7))+(1-(((AF14+AG14)/2)))*LN((1-(((AF14+AG14)/2)))/(1-(AF$7)))-AF$6&lt;0,((AF14+AG14)/2),AF14)</f>
        <v>0.0796875</v>
      </c>
      <c r="AG15" s="37" t="n">
        <f aca="false">IF((((AF14+AG14)/2))*LN((((AF14+AG14)/2))/(AF$7))+(1-(((AF14+AG14)/2)))*LN((1-(((AF14+AG14)/2)))/(1-(AF$7)))-AF$6&lt;0,AG14,((AF14+AG14)/2))</f>
        <v>0.09453125</v>
      </c>
      <c r="AH15" s="37" t="n">
        <f aca="false">IF((((AH14+AI14)/2))*LN((((AH14+AI14)/2))/(AH$7))+(1-(((AH14+AI14)/2)))*LN((1-(((AH14+AI14)/2)))/(1-(AH$7)))-AH$6&lt;0,((AH14+AI14)/2),AH14)</f>
        <v>0.109375</v>
      </c>
      <c r="AI15" s="37" t="n">
        <f aca="false">IF((((AH14+AI14)/2))*LN((((AH14+AI14)/2))/(AH$7))+(1-(((AH14+AI14)/2)))*LN((1-(((AH14+AI14)/2)))/(1-(AH$7)))-AH$6&lt;0,AI14,((AH14+AI14)/2))</f>
        <v>0.12421875</v>
      </c>
      <c r="AJ15" s="37" t="n">
        <f aca="false">IF((((AJ14+AK14)/2))*LN((((AJ14+AK14)/2))/(AJ$7))+(1-(((AJ14+AK14)/2)))*LN((1-(((AJ14+AK14)/2)))/(1-(AJ$7)))-AJ$6&lt;0,((AJ14+AK14)/2),AJ14)</f>
        <v>0.16875</v>
      </c>
      <c r="AK15" s="37" t="n">
        <f aca="false">IF((((AJ14+AK14)/2))*LN((((AJ14+AK14)/2))/(AJ$7))+(1-(((AJ14+AK14)/2)))*LN((1-(((AJ14+AK14)/2)))/(1-(AJ$7)))-AJ$6&lt;0,AK14,((AJ14+AK14)/2))</f>
        <v>0.18359375</v>
      </c>
      <c r="AL15" s="37" t="n">
        <f aca="false">IF((((AL14+AM14)/2))*LN((((AL14+AM14)/2))/(AL$7))+(1-(((AL14+AM14)/2)))*LN((1-(((AL14+AM14)/2)))/(1-(AL$7)))-AL$6&lt;0,((AL14+AM14)/2),AL14)</f>
        <v>0.2875</v>
      </c>
      <c r="AM15" s="37" t="n">
        <f aca="false">IF((((AL14+AM14)/2))*LN((((AL14+AM14)/2))/(AL$7))+(1-(((AL14+AM14)/2)))*LN((1-(((AL14+AM14)/2)))/(1-(AL$7)))-AL$6&lt;0,AM14,((AL14+AM14)/2))</f>
        <v>0.30234375</v>
      </c>
      <c r="AN15" s="37" t="n">
        <f aca="false">IF((((AN14+AO14)/2))*LN((((AN14+AO14)/2))/(AN$7))+(1-(((AN14+AO14)/2)))*LN((1-(((AN14+AO14)/2)))/(1-(AN$7)))-AN$6&lt;0,((AN14+AO14)/2),AN14)</f>
        <v>0.554687499999999</v>
      </c>
      <c r="AO15" s="37" t="n">
        <f aca="false">IF((((AN14+AO14)/2))*LN((((AN14+AO14)/2))/(AN$7))+(1-(((AN14+AO14)/2)))*LN((1-(((AN14+AO14)/2)))/(1-(AN$7)))-AN$6&lt;0,AO14,((AN14+AO14)/2))</f>
        <v>0.569531249999999</v>
      </c>
      <c r="AP15" s="37" t="n">
        <f aca="false">IF(AP$7*LN(AP$7)-AP$7*((AP14+AQ14)/2)+(1-AP$7)*LN(1-AP$7)-(1-AP$7)*LN(1-EXP(((AP14+AQ14)/2)))-AP$6&gt;0,((AP14+AQ14)/2),AP14)</f>
        <v>-4.02826071912067</v>
      </c>
      <c r="AQ15" s="37" t="n">
        <f aca="false">IF(AP$7*LN(AP$7)-AP$7*((AP14+AQ14)/2)+(1-AP$7)*LN(1-AP$7)-(1-AP$7)*LN(1-EXP(((AP14+AQ14)/2)))-AP$6&gt;0,AQ14,((AP14+AQ14)/2))</f>
        <v>-2.99573227355399</v>
      </c>
      <c r="AR15" s="37" t="n">
        <f aca="false">IF((((AR14+AS14)/2))*LN((((AR14+AS14)/2))/(AR$7))+(1-(((AR14+AS14)/2)))*LN((1-(((AR14+AS14)/2)))/(1-(AR$7)))-AR$6&lt;0,((AR14+AS14)/2),AR14)</f>
        <v>0.0796875</v>
      </c>
      <c r="AS15" s="37" t="n">
        <f aca="false">IF((((AR14+AS14)/2))*LN((((AR14+AS14)/2))/(AR$7))+(1-(((AR14+AS14)/2)))*LN((1-(((AR14+AS14)/2)))/(1-(AR$7)))-AR$6&lt;0,AS14,((AR14+AS14)/2))</f>
        <v>0.09453125</v>
      </c>
    </row>
    <row r="16" customFormat="false" ht="15" hidden="false" customHeight="false" outlineLevel="0" collapsed="false">
      <c r="B16" s="37" t="n">
        <f aca="false">IF(B$7*LN(B$7)-B$7*((B15+C15)/2)+(1-B$7)*LN(1-B$7)-(1-B$7)*LN(1-EXP(((B15+C15)/2)))-B$6&gt;0,((B15+C15)/2),B15)</f>
        <v>-12.8047525064374</v>
      </c>
      <c r="C16" s="37" t="n">
        <f aca="false">IF(B$7*LN(B$7)-B$7*((B15+C15)/2)+(1-B$7)*LN(1-B$7)-(1-B$7)*LN(1-EXP(((B15+C15)/2)))-B$6&gt;0,C15,((B15+C15)/2))</f>
        <v>-12.2884882836541</v>
      </c>
      <c r="D16" s="37" t="n">
        <f aca="false">IF(D$7*LN(D$7)-D$7*((D15+E15)/2)+(1-D$7)*LN(1-D$7)-(1-D$7)*LN(1-EXP(((D15+E15)/2)))-D$6&gt;0,((D15+E15)/2),D15)</f>
        <v>-16.4186020659208</v>
      </c>
      <c r="E16" s="37" t="n">
        <f aca="false">IF(D$7*LN(D$7)-D$7*((D15+E15)/2)+(1-D$7)*LN(1-D$7)-(1-D$7)*LN(1-EXP(((D15+E15)/2)))-D$6&gt;0,E15,((D15+E15)/2))</f>
        <v>-15.9023378431375</v>
      </c>
      <c r="F16" s="37" t="n">
        <f aca="false">IF(F$7*LN(F$7)-F$7*((F15+G15)/2)+(1-F$7)*LN(1-F$7)-(1-F$7)*LN(1-EXP(((F15+G15)/2)))-F$6&gt;0,((F15+G15)/2),F15)</f>
        <v>-25.1950938532376</v>
      </c>
      <c r="G16" s="37" t="n">
        <f aca="false">IF(F$7*LN(F$7)-F$7*((F15+G15)/2)+(1-F$7)*LN(1-F$7)-(1-F$7)*LN(1-EXP(((F15+G15)/2)))-F$6&gt;0,G15,((F15+G15)/2))</f>
        <v>-24.6788296304542</v>
      </c>
      <c r="H16" s="37" t="n">
        <f aca="false">IF(H$7*LN(H$7)-H$7*((H15+I15)/2)+(1-H$7)*LN(1-H$7)-(1-H$7)*LN(1-EXP(((H15+I15)/2)))-H$6&gt;0,((H15+I15)/2),H15)</f>
        <v>-3.51199649633733</v>
      </c>
      <c r="I16" s="37" t="n">
        <f aca="false">IF(H$7*LN(H$7)-H$7*((H15+I15)/2)+(1-H$7)*LN(1-H$7)-(1-H$7)*LN(1-EXP(((H15+I15)/2)))-H$6&gt;0,I15,((H15+I15)/2))</f>
        <v>-2.99573227355399</v>
      </c>
      <c r="J16" s="37" t="n">
        <f aca="false">IF(J$7*LN(J$7)-J$7*((J15+K15)/2)+(1-J$7)*LN(1-J$7)-(1-J$7)*LN(1-EXP(((J15+K15)/2)))-J$6&gt;0,((J15+K15)/2),J15)</f>
        <v>-3.51199649633733</v>
      </c>
      <c r="K16" s="37" t="n">
        <f aca="false">IF(J$7*LN(J$7)-J$7*((J15+K15)/2)+(1-J$7)*LN(1-J$7)-(1-J$7)*LN(1-EXP(((J15+K15)/2)))-J$6&gt;0,K15,((J15+K15)/2))</f>
        <v>-2.99573227355399</v>
      </c>
      <c r="L16" s="37" t="n">
        <f aca="false">IF(L$7*LN(L$7)-L$7*((L15+M15)/2)+(1-L$7)*LN(1-L$7)-(1-L$7)*LN(1-EXP(((L15+M15)/2)))-L$6&gt;0,((L15+M15)/2),L15)</f>
        <v>-3.51199649633733</v>
      </c>
      <c r="M16" s="37" t="n">
        <f aca="false">IF(L$7*LN(L$7)-L$7*((L15+M15)/2)+(1-L$7)*LN(1-L$7)-(1-L$7)*LN(1-EXP(((L15+M15)/2)))-L$6&gt;0,M15,((L15+M15)/2))</f>
        <v>-2.99573227355399</v>
      </c>
      <c r="N16" s="37" t="n">
        <f aca="false">IF(N$7*LN(N$7)-N$7*((N15+O15)/2)+(1-N$7)*LN(1-N$7)-(1-N$7)*LN(1-EXP(((N15+O15)/2)))-N$6&gt;0,((N15+O15)/2),N15)</f>
        <v>-4.02826071912067</v>
      </c>
      <c r="O16" s="37" t="n">
        <f aca="false">IF(N$7*LN(N$7)-N$7*((N15+O15)/2)+(1-N$7)*LN(1-N$7)-(1-N$7)*LN(1-EXP(((N15+O15)/2)))-N$6&gt;0,O15,((N15+O15)/2))</f>
        <v>-3.51199649633733</v>
      </c>
      <c r="P16" s="37" t="n">
        <f aca="false">IF(P$7*LN(P$7)-P$7*((P15+Q15)/2)+(1-P$7)*LN(1-P$7)-(1-P$7)*LN(1-EXP(((P15+Q15)/2)))-P$6&gt;0,((P15+Q15)/2),P15)</f>
        <v>-4.54452494190401</v>
      </c>
      <c r="Q16" s="37" t="n">
        <f aca="false">IF(P$7*LN(P$7)-P$7*((P15+Q15)/2)+(1-P$7)*LN(1-P$7)-(1-P$7)*LN(1-EXP(((P15+Q15)/2)))-P$6&gt;0,Q15,((P15+Q15)/2))</f>
        <v>-4.02826071912067</v>
      </c>
      <c r="R16" s="37" t="n">
        <f aca="false">IF(R$7*LN(R$7)-R$7*((R15+S15)/2)+(1-R$7)*LN(1-R$7)-(1-R$7)*LN(1-EXP(((R15+S15)/2)))-R$6&gt;0,((R15+S15)/2),R15)</f>
        <v>-4.54452494190401</v>
      </c>
      <c r="S16" s="37" t="n">
        <f aca="false">IF(R$7*LN(R$7)-R$7*((R15+S15)/2)+(1-R$7)*LN(1-R$7)-(1-R$7)*LN(1-EXP(((R15+S15)/2)))-R$6&gt;0,S15,((R15+S15)/2))</f>
        <v>-4.02826071912067</v>
      </c>
      <c r="T16" s="37" t="n">
        <f aca="false">IF(T$7*LN(T$7)-T$7*((T15+U15)/2)+(1-T$7)*LN(1-T$7)-(1-T$7)*LN(1-EXP(((T15+U15)/2)))-T$6&gt;0,((T15+U15)/2),T15)</f>
        <v>-5.06078916468735</v>
      </c>
      <c r="U16" s="37" t="n">
        <f aca="false">IF(T$7*LN(T$7)-T$7*((T15+U15)/2)+(1-T$7)*LN(1-T$7)-(1-T$7)*LN(1-EXP(((T15+U15)/2)))-T$6&gt;0,U15,((T15+U15)/2))</f>
        <v>-4.54452494190401</v>
      </c>
      <c r="V16" s="37" t="n">
        <f aca="false">IF(V$7*LN(V$7)-V$7*((V15+W15)/2)+(1-V$7)*LN(1-V$7)-(1-V$7)*LN(1-EXP(((V15+W15)/2)))-V$6&gt;0,((V15+W15)/2),V15)</f>
        <v>-5.57705338747069</v>
      </c>
      <c r="W16" s="37" t="n">
        <f aca="false">IF(V$7*LN(V$7)-V$7*((V15+W15)/2)+(1-V$7)*LN(1-V$7)-(1-V$7)*LN(1-EXP(((V15+W15)/2)))-V$6&gt;0,W15,((V15+W15)/2))</f>
        <v>-5.06078916468735</v>
      </c>
      <c r="X16" s="37" t="n">
        <f aca="false">IF(X$7*LN(X$7)-X$7*((X15+Y15)/2)+(1-X$7)*LN(1-X$7)-(1-X$7)*LN(1-EXP(((X15+Y15)/2)))-X$6&gt;0,((X15+Y15)/2),X15)</f>
        <v>-6.09331761025402</v>
      </c>
      <c r="Y16" s="37" t="n">
        <f aca="false">IF(X$7*LN(X$7)-X$7*((X15+Y15)/2)+(1-X$7)*LN(1-X$7)-(1-X$7)*LN(1-EXP(((X15+Y15)/2)))-X$6&gt;0,Y15,((X15+Y15)/2))</f>
        <v>-5.57705338747069</v>
      </c>
      <c r="Z16" s="37" t="n">
        <f aca="false">IF(Z$7*LN(Z$7)-Z$7*((Z15+AA15)/2)+(1-Z$7)*LN(1-Z$7)-(1-Z$7)*LN(1-EXP(((Z15+AA15)/2)))-Z$6&gt;0,((Z15+AA15)/2),Z15)</f>
        <v>-7.1258460558207</v>
      </c>
      <c r="AA16" s="37" t="n">
        <f aca="false">IF(Z$7*LN(Z$7)-Z$7*((Z15+AA15)/2)+(1-Z$7)*LN(1-Z$7)-(1-Z$7)*LN(1-EXP(((Z15+AA15)/2)))-Z$6&gt;0,AA15,((Z15+AA15)/2))</f>
        <v>-6.60958183303736</v>
      </c>
      <c r="AB16" s="37" t="n">
        <f aca="false">IF((((AB15+AC15)/2))*LN((((AB15+AC15)/2))/(AB$7))+(1-(((AB15+AC15)/2)))*LN((1-(((AB15+AC15)/2)))/(1-(AB$7)))-AB$6&lt;0,((AB15+AC15)/2),AB15)</f>
        <v>0.057421875</v>
      </c>
      <c r="AC16" s="37" t="n">
        <f aca="false">IF((((AB15+AC15)/2))*LN((((AB15+AC15)/2))/(AB$7))+(1-(((AB15+AC15)/2)))*LN((1-(((AB15+AC15)/2)))/(1-(AB$7)))-AB$6&lt;0,AC15,((AB15+AC15)/2))</f>
        <v>0.06484375</v>
      </c>
      <c r="AD16" s="37" t="n">
        <f aca="false">IF((((AD15+AE15)/2))*LN((((AD15+AE15)/2))/(AD$7))+(1-(((AD15+AE15)/2)))*LN((1-(((AD15+AE15)/2)))/(1-(AD$7)))-AD$6&lt;0,((AD15+AE15)/2),AD15)</f>
        <v>0.06484375</v>
      </c>
      <c r="AE16" s="37" t="n">
        <f aca="false">IF((((AD15+AE15)/2))*LN((((AD15+AE15)/2))/(AD$7))+(1-(((AD15+AE15)/2)))*LN((1-(((AD15+AE15)/2)))/(1-(AD$7)))-AD$6&lt;0,AE15,((AD15+AE15)/2))</f>
        <v>0.072265625</v>
      </c>
      <c r="AF16" s="37" t="n">
        <f aca="false">IF((((AF15+AG15)/2))*LN((((AF15+AG15)/2))/(AF$7))+(1-(((AF15+AG15)/2)))*LN((1-(((AF15+AG15)/2)))/(1-(AF$7)))-AF$6&lt;0,((AF15+AG15)/2),AF15)</f>
        <v>0.0796875</v>
      </c>
      <c r="AG16" s="37" t="n">
        <f aca="false">IF((((AF15+AG15)/2))*LN((((AF15+AG15)/2))/(AF$7))+(1-(((AF15+AG15)/2)))*LN((1-(((AF15+AG15)/2)))/(1-(AF$7)))-AF$6&lt;0,AG15,((AF15+AG15)/2))</f>
        <v>0.087109375</v>
      </c>
      <c r="AH16" s="37" t="n">
        <f aca="false">IF((((AH15+AI15)/2))*LN((((AH15+AI15)/2))/(AH$7))+(1-(((AH15+AI15)/2)))*LN((1-(((AH15+AI15)/2)))/(1-(AH$7)))-AH$6&lt;0,((AH15+AI15)/2),AH15)</f>
        <v>0.109375</v>
      </c>
      <c r="AI16" s="37" t="n">
        <f aca="false">IF((((AH15+AI15)/2))*LN((((AH15+AI15)/2))/(AH$7))+(1-(((AH15+AI15)/2)))*LN((1-(((AH15+AI15)/2)))/(1-(AH$7)))-AH$6&lt;0,AI15,((AH15+AI15)/2))</f>
        <v>0.116796875</v>
      </c>
      <c r="AJ16" s="37" t="n">
        <f aca="false">IF((((AJ15+AK15)/2))*LN((((AJ15+AK15)/2))/(AJ$7))+(1-(((AJ15+AK15)/2)))*LN((1-(((AJ15+AK15)/2)))/(1-(AJ$7)))-AJ$6&lt;0,((AJ15+AK15)/2),AJ15)</f>
        <v>0.16875</v>
      </c>
      <c r="AK16" s="37" t="n">
        <f aca="false">IF((((AJ15+AK15)/2))*LN((((AJ15+AK15)/2))/(AJ$7))+(1-(((AJ15+AK15)/2)))*LN((1-(((AJ15+AK15)/2)))/(1-(AJ$7)))-AJ$6&lt;0,AK15,((AJ15+AK15)/2))</f>
        <v>0.176171875</v>
      </c>
      <c r="AL16" s="37" t="n">
        <f aca="false">IF((((AL15+AM15)/2))*LN((((AL15+AM15)/2))/(AL$7))+(1-(((AL15+AM15)/2)))*LN((1-(((AL15+AM15)/2)))/(1-(AL$7)))-AL$6&lt;0,((AL15+AM15)/2),AL15)</f>
        <v>0.2875</v>
      </c>
      <c r="AM16" s="37" t="n">
        <f aca="false">IF((((AL15+AM15)/2))*LN((((AL15+AM15)/2))/(AL$7))+(1-(((AL15+AM15)/2)))*LN((1-(((AL15+AM15)/2)))/(1-(AL$7)))-AL$6&lt;0,AM15,((AL15+AM15)/2))</f>
        <v>0.294921875</v>
      </c>
      <c r="AN16" s="37" t="n">
        <f aca="false">IF((((AN15+AO15)/2))*LN((((AN15+AO15)/2))/(AN$7))+(1-(((AN15+AO15)/2)))*LN((1-(((AN15+AO15)/2)))/(1-(AN$7)))-AN$6&lt;0,((AN15+AO15)/2),AN15)</f>
        <v>0.554687499999999</v>
      </c>
      <c r="AO16" s="37" t="n">
        <f aca="false">IF((((AN15+AO15)/2))*LN((((AN15+AO15)/2))/(AN$7))+(1-(((AN15+AO15)/2)))*LN((1-(((AN15+AO15)/2)))/(1-(AN$7)))-AN$6&lt;0,AO15,((AN15+AO15)/2))</f>
        <v>0.562109375</v>
      </c>
      <c r="AP16" s="37" t="n">
        <f aca="false">IF(AP$7*LN(AP$7)-AP$7*((AP15+AQ15)/2)+(1-AP$7)*LN(1-AP$7)-(1-AP$7)*LN(1-EXP(((AP15+AQ15)/2)))-AP$6&gt;0,((AP15+AQ15)/2),AP15)</f>
        <v>-4.02826071912067</v>
      </c>
      <c r="AQ16" s="37" t="n">
        <f aca="false">IF(AP$7*LN(AP$7)-AP$7*((AP15+AQ15)/2)+(1-AP$7)*LN(1-AP$7)-(1-AP$7)*LN(1-EXP(((AP15+AQ15)/2)))-AP$6&gt;0,AQ15,((AP15+AQ15)/2))</f>
        <v>-3.51199649633733</v>
      </c>
      <c r="AR16" s="37" t="n">
        <f aca="false">IF((((AR15+AS15)/2))*LN((((AR15+AS15)/2))/(AR$7))+(1-(((AR15+AS15)/2)))*LN((1-(((AR15+AS15)/2)))/(1-(AR$7)))-AR$6&lt;0,((AR15+AS15)/2),AR15)</f>
        <v>0.0796875</v>
      </c>
      <c r="AS16" s="37" t="n">
        <f aca="false">IF((((AR15+AS15)/2))*LN((((AR15+AS15)/2))/(AR$7))+(1-(((AR15+AS15)/2)))*LN((1-(((AR15+AS15)/2)))/(1-(AR$7)))-AR$6&lt;0,AS15,((AR15+AS15)/2))</f>
        <v>0.087109375</v>
      </c>
    </row>
    <row r="17" customFormat="false" ht="15" hidden="false" customHeight="false" outlineLevel="0" collapsed="false">
      <c r="B17" s="37" t="n">
        <f aca="false">IF(B$7*LN(B$7)-B$7*((B16+C16)/2)+(1-B$7)*LN(1-B$7)-(1-B$7)*LN(1-EXP(((B16+C16)/2)))-B$6&gt;0,((B16+C16)/2),B16)</f>
        <v>-12.8047525064374</v>
      </c>
      <c r="C17" s="37" t="n">
        <f aca="false">IF(B$7*LN(B$7)-B$7*((B16+C16)/2)+(1-B$7)*LN(1-B$7)-(1-B$7)*LN(1-EXP(((B16+C16)/2)))-B$6&gt;0,C16,((B16+C16)/2))</f>
        <v>-12.5466203950458</v>
      </c>
      <c r="D17" s="37" t="n">
        <f aca="false">IF(D$7*LN(D$7)-D$7*((D16+E16)/2)+(1-D$7)*LN(1-D$7)-(1-D$7)*LN(1-EXP(((D16+E16)/2)))-D$6&gt;0,((D16+E16)/2),D16)</f>
        <v>-16.1604699545291</v>
      </c>
      <c r="E17" s="37" t="n">
        <f aca="false">IF(D$7*LN(D$7)-D$7*((D16+E16)/2)+(1-D$7)*LN(1-D$7)-(1-D$7)*LN(1-EXP(((D16+E16)/2)))-D$6&gt;0,E16,((D16+E16)/2))</f>
        <v>-15.9023378431375</v>
      </c>
      <c r="F17" s="37" t="n">
        <f aca="false">IF(F$7*LN(F$7)-F$7*((F16+G16)/2)+(1-F$7)*LN(1-F$7)-(1-F$7)*LN(1-EXP(((F16+G16)/2)))-F$6&gt;0,((F16+G16)/2),F16)</f>
        <v>-24.9369617418459</v>
      </c>
      <c r="G17" s="37" t="n">
        <f aca="false">IF(F$7*LN(F$7)-F$7*((F16+G16)/2)+(1-F$7)*LN(1-F$7)-(1-F$7)*LN(1-EXP(((F16+G16)/2)))-F$6&gt;0,G16,((F16+G16)/2))</f>
        <v>-24.6788296304542</v>
      </c>
      <c r="H17" s="37" t="n">
        <f aca="false">IF(H$7*LN(H$7)-H$7*((H16+I16)/2)+(1-H$7)*LN(1-H$7)-(1-H$7)*LN(1-EXP(((H16+I16)/2)))-H$6&gt;0,((H16+I16)/2),H16)</f>
        <v>-3.25386438494566</v>
      </c>
      <c r="I17" s="37" t="n">
        <f aca="false">IF(H$7*LN(H$7)-H$7*((H16+I16)/2)+(1-H$7)*LN(1-H$7)-(1-H$7)*LN(1-EXP(((H16+I16)/2)))-H$6&gt;0,I16,((H16+I16)/2))</f>
        <v>-2.99573227355399</v>
      </c>
      <c r="J17" s="37" t="n">
        <f aca="false">IF(J$7*LN(J$7)-J$7*((J16+K16)/2)+(1-J$7)*LN(1-J$7)-(1-J$7)*LN(1-EXP(((J16+K16)/2)))-J$6&gt;0,((J16+K16)/2),J16)</f>
        <v>-3.51199649633733</v>
      </c>
      <c r="K17" s="37" t="n">
        <f aca="false">IF(J$7*LN(J$7)-J$7*((J16+K16)/2)+(1-J$7)*LN(1-J$7)-(1-J$7)*LN(1-EXP(((J16+K16)/2)))-J$6&gt;0,K16,((J16+K16)/2))</f>
        <v>-3.25386438494566</v>
      </c>
      <c r="L17" s="37" t="n">
        <f aca="false">IF(L$7*LN(L$7)-L$7*((L16+M16)/2)+(1-L$7)*LN(1-L$7)-(1-L$7)*LN(1-EXP(((L16+M16)/2)))-L$6&gt;0,((L16+M16)/2),L16)</f>
        <v>-3.51199649633733</v>
      </c>
      <c r="M17" s="37" t="n">
        <f aca="false">IF(L$7*LN(L$7)-L$7*((L16+M16)/2)+(1-L$7)*LN(1-L$7)-(1-L$7)*LN(1-EXP(((L16+M16)/2)))-L$6&gt;0,M16,((L16+M16)/2))</f>
        <v>-3.25386438494566</v>
      </c>
      <c r="N17" s="37" t="n">
        <f aca="false">IF(N$7*LN(N$7)-N$7*((N16+O16)/2)+(1-N$7)*LN(1-N$7)-(1-N$7)*LN(1-EXP(((N16+O16)/2)))-N$6&gt;0,((N16+O16)/2),N16)</f>
        <v>-3.770128607729</v>
      </c>
      <c r="O17" s="37" t="n">
        <f aca="false">IF(N$7*LN(N$7)-N$7*((N16+O16)/2)+(1-N$7)*LN(1-N$7)-(1-N$7)*LN(1-EXP(((N16+O16)/2)))-N$6&gt;0,O16,((N16+O16)/2))</f>
        <v>-3.51199649633733</v>
      </c>
      <c r="P17" s="37" t="n">
        <f aca="false">IF(P$7*LN(P$7)-P$7*((P16+Q16)/2)+(1-P$7)*LN(1-P$7)-(1-P$7)*LN(1-EXP(((P16+Q16)/2)))-P$6&gt;0,((P16+Q16)/2),P16)</f>
        <v>-4.28639283051234</v>
      </c>
      <c r="Q17" s="37" t="n">
        <f aca="false">IF(P$7*LN(P$7)-P$7*((P16+Q16)/2)+(1-P$7)*LN(1-P$7)-(1-P$7)*LN(1-EXP(((P16+Q16)/2)))-P$6&gt;0,Q16,((P16+Q16)/2))</f>
        <v>-4.02826071912067</v>
      </c>
      <c r="R17" s="37" t="n">
        <f aca="false">IF(R$7*LN(R$7)-R$7*((R16+S16)/2)+(1-R$7)*LN(1-R$7)-(1-R$7)*LN(1-EXP(((R16+S16)/2)))-R$6&gt;0,((R16+S16)/2),R16)</f>
        <v>-4.54452494190401</v>
      </c>
      <c r="S17" s="37" t="n">
        <f aca="false">IF(R$7*LN(R$7)-R$7*((R16+S16)/2)+(1-R$7)*LN(1-R$7)-(1-R$7)*LN(1-EXP(((R16+S16)/2)))-R$6&gt;0,S16,((R16+S16)/2))</f>
        <v>-4.28639283051234</v>
      </c>
      <c r="T17" s="37" t="n">
        <f aca="false">IF(T$7*LN(T$7)-T$7*((T16+U16)/2)+(1-T$7)*LN(1-T$7)-(1-T$7)*LN(1-EXP(((T16+U16)/2)))-T$6&gt;0,((T16+U16)/2),T16)</f>
        <v>-5.06078916468735</v>
      </c>
      <c r="U17" s="37" t="n">
        <f aca="false">IF(T$7*LN(T$7)-T$7*((T16+U16)/2)+(1-T$7)*LN(1-T$7)-(1-T$7)*LN(1-EXP(((T16+U16)/2)))-T$6&gt;0,U16,((T16+U16)/2))</f>
        <v>-4.80265705329568</v>
      </c>
      <c r="V17" s="37" t="n">
        <f aca="false">IF(V$7*LN(V$7)-V$7*((V16+W16)/2)+(1-V$7)*LN(1-V$7)-(1-V$7)*LN(1-EXP(((V16+W16)/2)))-V$6&gt;0,((V16+W16)/2),V16)</f>
        <v>-5.57705338747069</v>
      </c>
      <c r="W17" s="37" t="n">
        <f aca="false">IF(V$7*LN(V$7)-V$7*((V16+W16)/2)+(1-V$7)*LN(1-V$7)-(1-V$7)*LN(1-EXP(((V16+W16)/2)))-V$6&gt;0,W16,((V16+W16)/2))</f>
        <v>-5.31892127607902</v>
      </c>
      <c r="X17" s="37" t="n">
        <f aca="false">IF(X$7*LN(X$7)-X$7*((X16+Y16)/2)+(1-X$7)*LN(1-X$7)-(1-X$7)*LN(1-EXP(((X16+Y16)/2)))-X$6&gt;0,((X16+Y16)/2),X16)</f>
        <v>-6.09331761025402</v>
      </c>
      <c r="Y17" s="37" t="n">
        <f aca="false">IF(X$7*LN(X$7)-X$7*((X16+Y16)/2)+(1-X$7)*LN(1-X$7)-(1-X$7)*LN(1-EXP(((X16+Y16)/2)))-X$6&gt;0,Y16,((X16+Y16)/2))</f>
        <v>-5.83518549886236</v>
      </c>
      <c r="Z17" s="37" t="n">
        <f aca="false">IF(Z$7*LN(Z$7)-Z$7*((Z16+AA16)/2)+(1-Z$7)*LN(1-Z$7)-(1-Z$7)*LN(1-EXP(((Z16+AA16)/2)))-Z$6&gt;0,((Z16+AA16)/2),Z16)</f>
        <v>-7.1258460558207</v>
      </c>
      <c r="AA17" s="37" t="n">
        <f aca="false">IF(Z$7*LN(Z$7)-Z$7*((Z16+AA16)/2)+(1-Z$7)*LN(1-Z$7)-(1-Z$7)*LN(1-EXP(((Z16+AA16)/2)))-Z$6&gt;0,AA16,((Z16+AA16)/2))</f>
        <v>-6.86771394442903</v>
      </c>
      <c r="AB17" s="37" t="n">
        <f aca="false">IF((((AB16+AC16)/2))*LN((((AB16+AC16)/2))/(AB$7))+(1-(((AB16+AC16)/2)))*LN((1-(((AB16+AC16)/2)))/(1-(AB$7)))-AB$6&lt;0,((AB16+AC16)/2),AB16)</f>
        <v>0.057421875</v>
      </c>
      <c r="AC17" s="37" t="n">
        <f aca="false">IF((((AB16+AC16)/2))*LN((((AB16+AC16)/2))/(AB$7))+(1-(((AB16+AC16)/2)))*LN((1-(((AB16+AC16)/2)))/(1-(AB$7)))-AB$6&lt;0,AC16,((AB16+AC16)/2))</f>
        <v>0.0611328125</v>
      </c>
      <c r="AD17" s="37" t="n">
        <f aca="false">IF((((AD16+AE16)/2))*LN((((AD16+AE16)/2))/(AD$7))+(1-(((AD16+AE16)/2)))*LN((1-(((AD16+AE16)/2)))/(1-(AD$7)))-AD$6&lt;0,((AD16+AE16)/2),AD16)</f>
        <v>0.06484375</v>
      </c>
      <c r="AE17" s="37" t="n">
        <f aca="false">IF((((AD16+AE16)/2))*LN((((AD16+AE16)/2))/(AD$7))+(1-(((AD16+AE16)/2)))*LN((1-(((AD16+AE16)/2)))/(1-(AD$7)))-AD$6&lt;0,AE16,((AD16+AE16)/2))</f>
        <v>0.0685546875</v>
      </c>
      <c r="AF17" s="37" t="n">
        <f aca="false">IF((((AF16+AG16)/2))*LN((((AF16+AG16)/2))/(AF$7))+(1-(((AF16+AG16)/2)))*LN((1-(((AF16+AG16)/2)))/(1-(AF$7)))-AF$6&lt;0,((AF16+AG16)/2),AF16)</f>
        <v>0.0833984375</v>
      </c>
      <c r="AG17" s="37" t="n">
        <f aca="false">IF((((AF16+AG16)/2))*LN((((AF16+AG16)/2))/(AF$7))+(1-(((AF16+AG16)/2)))*LN((1-(((AF16+AG16)/2)))/(1-(AF$7)))-AF$6&lt;0,AG16,((AF16+AG16)/2))</f>
        <v>0.087109375</v>
      </c>
      <c r="AH17" s="37" t="n">
        <f aca="false">IF((((AH16+AI16)/2))*LN((((AH16+AI16)/2))/(AH$7))+(1-(((AH16+AI16)/2)))*LN((1-(((AH16+AI16)/2)))/(1-(AH$7)))-AH$6&lt;0,((AH16+AI16)/2),AH16)</f>
        <v>0.109375</v>
      </c>
      <c r="AI17" s="37" t="n">
        <f aca="false">IF((((AH16+AI16)/2))*LN((((AH16+AI16)/2))/(AH$7))+(1-(((AH16+AI16)/2)))*LN((1-(((AH16+AI16)/2)))/(1-(AH$7)))-AH$6&lt;0,AI16,((AH16+AI16)/2))</f>
        <v>0.1130859375</v>
      </c>
      <c r="AJ17" s="37" t="n">
        <f aca="false">IF((((AJ16+AK16)/2))*LN((((AJ16+AK16)/2))/(AJ$7))+(1-(((AJ16+AK16)/2)))*LN((1-(((AJ16+AK16)/2)))/(1-(AJ$7)))-AJ$6&lt;0,((AJ16+AK16)/2),AJ16)</f>
        <v>0.1724609375</v>
      </c>
      <c r="AK17" s="37" t="n">
        <f aca="false">IF((((AJ16+AK16)/2))*LN((((AJ16+AK16)/2))/(AJ$7))+(1-(((AJ16+AK16)/2)))*LN((1-(((AJ16+AK16)/2)))/(1-(AJ$7)))-AJ$6&lt;0,AK16,((AJ16+AK16)/2))</f>
        <v>0.176171875</v>
      </c>
      <c r="AL17" s="37" t="n">
        <f aca="false">IF((((AL16+AM16)/2))*LN((((AL16+AM16)/2))/(AL$7))+(1-(((AL16+AM16)/2)))*LN((1-(((AL16+AM16)/2)))/(1-(AL$7)))-AL$6&lt;0,((AL16+AM16)/2),AL16)</f>
        <v>0.2875</v>
      </c>
      <c r="AM17" s="37" t="n">
        <f aca="false">IF((((AL16+AM16)/2))*LN((((AL16+AM16)/2))/(AL$7))+(1-(((AL16+AM16)/2)))*LN((1-(((AL16+AM16)/2)))/(1-(AL$7)))-AL$6&lt;0,AM16,((AL16+AM16)/2))</f>
        <v>0.2912109375</v>
      </c>
      <c r="AN17" s="37" t="n">
        <f aca="false">IF((((AN16+AO16)/2))*LN((((AN16+AO16)/2))/(AN$7))+(1-(((AN16+AO16)/2)))*LN((1-(((AN16+AO16)/2)))/(1-(AN$7)))-AN$6&lt;0,((AN16+AO16)/2),AN16)</f>
        <v>0.554687499999999</v>
      </c>
      <c r="AO17" s="37" t="n">
        <f aca="false">IF((((AN16+AO16)/2))*LN((((AN16+AO16)/2))/(AN$7))+(1-(((AN16+AO16)/2)))*LN((1-(((AN16+AO16)/2)))/(1-(AN$7)))-AN$6&lt;0,AO16,((AN16+AO16)/2))</f>
        <v>0.5583984375</v>
      </c>
      <c r="AP17" s="37" t="n">
        <f aca="false">IF(AP$7*LN(AP$7)-AP$7*((AP16+AQ16)/2)+(1-AP$7)*LN(1-AP$7)-(1-AP$7)*LN(1-EXP(((AP16+AQ16)/2)))-AP$6&gt;0,((AP16+AQ16)/2),AP16)</f>
        <v>-3.770128607729</v>
      </c>
      <c r="AQ17" s="37" t="n">
        <f aca="false">IF(AP$7*LN(AP$7)-AP$7*((AP16+AQ16)/2)+(1-AP$7)*LN(1-AP$7)-(1-AP$7)*LN(1-EXP(((AP16+AQ16)/2)))-AP$6&gt;0,AQ16,((AP16+AQ16)/2))</f>
        <v>-3.51199649633733</v>
      </c>
      <c r="AR17" s="37" t="n">
        <f aca="false">IF((((AR16+AS16)/2))*LN((((AR16+AS16)/2))/(AR$7))+(1-(((AR16+AS16)/2)))*LN((1-(((AR16+AS16)/2)))/(1-(AR$7)))-AR$6&lt;0,((AR16+AS16)/2),AR16)</f>
        <v>0.0833984375</v>
      </c>
      <c r="AS17" s="37" t="n">
        <f aca="false">IF((((AR16+AS16)/2))*LN((((AR16+AS16)/2))/(AR$7))+(1-(((AR16+AS16)/2)))*LN((1-(((AR16+AS16)/2)))/(1-(AR$7)))-AR$6&lt;0,AS16,((AR16+AS16)/2))</f>
        <v>0.087109375</v>
      </c>
    </row>
    <row r="18" customFormat="false" ht="15" hidden="false" customHeight="false" outlineLevel="0" collapsed="false">
      <c r="B18" s="37" t="n">
        <f aca="false">IF(B$7*LN(B$7)-B$7*((B17+C17)/2)+(1-B$7)*LN(1-B$7)-(1-B$7)*LN(1-EXP(((B17+C17)/2)))-B$6&gt;0,((B17+C17)/2),B17)</f>
        <v>-12.8047525064374</v>
      </c>
      <c r="C18" s="37" t="n">
        <f aca="false">IF(B$7*LN(B$7)-B$7*((B17+C17)/2)+(1-B$7)*LN(1-B$7)-(1-B$7)*LN(1-EXP(((B17+C17)/2)))-B$6&gt;0,C17,((B17+C17)/2))</f>
        <v>-12.6756864507416</v>
      </c>
      <c r="D18" s="37" t="n">
        <f aca="false">IF(D$7*LN(D$7)-D$7*((D17+E17)/2)+(1-D$7)*LN(1-D$7)-(1-D$7)*LN(1-EXP(((D17+E17)/2)))-D$6&gt;0,((D17+E17)/2),D17)</f>
        <v>-16.1604699545291</v>
      </c>
      <c r="E18" s="37" t="n">
        <f aca="false">IF(D$7*LN(D$7)-D$7*((D17+E17)/2)+(1-D$7)*LN(1-D$7)-(1-D$7)*LN(1-EXP(((D17+E17)/2)))-D$6&gt;0,E17,((D17+E17)/2))</f>
        <v>-16.0314038988333</v>
      </c>
      <c r="F18" s="37" t="n">
        <f aca="false">IF(F$7*LN(F$7)-F$7*((F17+G17)/2)+(1-F$7)*LN(1-F$7)-(1-F$7)*LN(1-EXP(((F17+G17)/2)))-F$6&gt;0,((F17+G17)/2),F17)</f>
        <v>-24.8078956861501</v>
      </c>
      <c r="G18" s="37" t="n">
        <f aca="false">IF(F$7*LN(F$7)-F$7*((F17+G17)/2)+(1-F$7)*LN(1-F$7)-(1-F$7)*LN(1-EXP(((F17+G17)/2)))-F$6&gt;0,G17,((F17+G17)/2))</f>
        <v>-24.6788296304542</v>
      </c>
      <c r="H18" s="37" t="n">
        <f aca="false">IF(H$7*LN(H$7)-H$7*((H17+I17)/2)+(1-H$7)*LN(1-H$7)-(1-H$7)*LN(1-EXP(((H17+I17)/2)))-H$6&gt;0,((H17+I17)/2),H17)</f>
        <v>-3.25386438494566</v>
      </c>
      <c r="I18" s="37" t="n">
        <f aca="false">IF(H$7*LN(H$7)-H$7*((H17+I17)/2)+(1-H$7)*LN(1-H$7)-(1-H$7)*LN(1-EXP(((H17+I17)/2)))-H$6&gt;0,I17,((H17+I17)/2))</f>
        <v>-3.12479832924983</v>
      </c>
      <c r="J18" s="37" t="n">
        <f aca="false">IF(J$7*LN(J$7)-J$7*((J17+K17)/2)+(1-J$7)*LN(1-J$7)-(1-J$7)*LN(1-EXP(((J17+K17)/2)))-J$6&gt;0,((J17+K17)/2),J17)</f>
        <v>-3.3829304406415</v>
      </c>
      <c r="K18" s="37" t="n">
        <f aca="false">IF(J$7*LN(J$7)-J$7*((J17+K17)/2)+(1-J$7)*LN(1-J$7)-(1-J$7)*LN(1-EXP(((J17+K17)/2)))-J$6&gt;0,K17,((J17+K17)/2))</f>
        <v>-3.25386438494566</v>
      </c>
      <c r="L18" s="37" t="n">
        <f aca="false">IF(L$7*LN(L$7)-L$7*((L17+M17)/2)+(1-L$7)*LN(1-L$7)-(1-L$7)*LN(1-EXP(((L17+M17)/2)))-L$6&gt;0,((L17+M17)/2),L17)</f>
        <v>-3.51199649633733</v>
      </c>
      <c r="M18" s="37" t="n">
        <f aca="false">IF(L$7*LN(L$7)-L$7*((L17+M17)/2)+(1-L$7)*LN(1-L$7)-(1-L$7)*LN(1-EXP(((L17+M17)/2)))-L$6&gt;0,M17,((L17+M17)/2))</f>
        <v>-3.3829304406415</v>
      </c>
      <c r="N18" s="37" t="n">
        <f aca="false">IF(N$7*LN(N$7)-N$7*((N17+O17)/2)+(1-N$7)*LN(1-N$7)-(1-N$7)*LN(1-EXP(((N17+O17)/2)))-N$6&gt;0,((N17+O17)/2),N17)</f>
        <v>-3.770128607729</v>
      </c>
      <c r="O18" s="37" t="n">
        <f aca="false">IF(N$7*LN(N$7)-N$7*((N17+O17)/2)+(1-N$7)*LN(1-N$7)-(1-N$7)*LN(1-EXP(((N17+O17)/2)))-N$6&gt;0,O17,((N17+O17)/2))</f>
        <v>-3.64106255203316</v>
      </c>
      <c r="P18" s="37" t="n">
        <f aca="false">IF(P$7*LN(P$7)-P$7*((P17+Q17)/2)+(1-P$7)*LN(1-P$7)-(1-P$7)*LN(1-EXP(((P17+Q17)/2)))-P$6&gt;0,((P17+Q17)/2),P17)</f>
        <v>-4.1573267748165</v>
      </c>
      <c r="Q18" s="37" t="n">
        <f aca="false">IF(P$7*LN(P$7)-P$7*((P17+Q17)/2)+(1-P$7)*LN(1-P$7)-(1-P$7)*LN(1-EXP(((P17+Q17)/2)))-P$6&gt;0,Q17,((P17+Q17)/2))</f>
        <v>-4.02826071912067</v>
      </c>
      <c r="R18" s="37" t="n">
        <f aca="false">IF(R$7*LN(R$7)-R$7*((R17+S17)/2)+(1-R$7)*LN(1-R$7)-(1-R$7)*LN(1-EXP(((R17+S17)/2)))-R$6&gt;0,((R17+S17)/2),R17)</f>
        <v>-4.41545888620817</v>
      </c>
      <c r="S18" s="37" t="n">
        <f aca="false">IF(R$7*LN(R$7)-R$7*((R17+S17)/2)+(1-R$7)*LN(1-R$7)-(1-R$7)*LN(1-EXP(((R17+S17)/2)))-R$6&gt;0,S17,((R17+S17)/2))</f>
        <v>-4.28639283051234</v>
      </c>
      <c r="T18" s="37" t="n">
        <f aca="false">IF(T$7*LN(T$7)-T$7*((T17+U17)/2)+(1-T$7)*LN(1-T$7)-(1-T$7)*LN(1-EXP(((T17+U17)/2)))-T$6&gt;0,((T17+U17)/2),T17)</f>
        <v>-4.93172310899151</v>
      </c>
      <c r="U18" s="37" t="n">
        <f aca="false">IF(T$7*LN(T$7)-T$7*((T17+U17)/2)+(1-T$7)*LN(1-T$7)-(1-T$7)*LN(1-EXP(((T17+U17)/2)))-T$6&gt;0,U17,((T17+U17)/2))</f>
        <v>-4.80265705329568</v>
      </c>
      <c r="V18" s="37" t="n">
        <f aca="false">IF(V$7*LN(V$7)-V$7*((V17+W17)/2)+(1-V$7)*LN(1-V$7)-(1-V$7)*LN(1-EXP(((V17+W17)/2)))-V$6&gt;0,((V17+W17)/2),V17)</f>
        <v>-5.44798733177485</v>
      </c>
      <c r="W18" s="37" t="n">
        <f aca="false">IF(V$7*LN(V$7)-V$7*((V17+W17)/2)+(1-V$7)*LN(1-V$7)-(1-V$7)*LN(1-EXP(((V17+W17)/2)))-V$6&gt;0,W17,((V17+W17)/2))</f>
        <v>-5.31892127607902</v>
      </c>
      <c r="X18" s="37" t="n">
        <f aca="false">IF(X$7*LN(X$7)-X$7*((X17+Y17)/2)+(1-X$7)*LN(1-X$7)-(1-X$7)*LN(1-EXP(((X17+Y17)/2)))-X$6&gt;0,((X17+Y17)/2),X17)</f>
        <v>-5.96425155455819</v>
      </c>
      <c r="Y18" s="37" t="n">
        <f aca="false">IF(X$7*LN(X$7)-X$7*((X17+Y17)/2)+(1-X$7)*LN(1-X$7)-(1-X$7)*LN(1-EXP(((X17+Y17)/2)))-X$6&gt;0,Y17,((X17+Y17)/2))</f>
        <v>-5.83518549886236</v>
      </c>
      <c r="Z18" s="37" t="n">
        <f aca="false">IF(Z$7*LN(Z$7)-Z$7*((Z17+AA17)/2)+(1-Z$7)*LN(1-Z$7)-(1-Z$7)*LN(1-EXP(((Z17+AA17)/2)))-Z$6&gt;0,((Z17+AA17)/2),Z17)</f>
        <v>-6.99678000012487</v>
      </c>
      <c r="AA18" s="37" t="n">
        <f aca="false">IF(Z$7*LN(Z$7)-Z$7*((Z17+AA17)/2)+(1-Z$7)*LN(1-Z$7)-(1-Z$7)*LN(1-EXP(((Z17+AA17)/2)))-Z$6&gt;0,AA17,((Z17+AA17)/2))</f>
        <v>-6.86771394442903</v>
      </c>
      <c r="AB18" s="37" t="n">
        <f aca="false">IF((((AB17+AC17)/2))*LN((((AB17+AC17)/2))/(AB$7))+(1-(((AB17+AC17)/2)))*LN((1-(((AB17+AC17)/2)))/(1-(AB$7)))-AB$6&lt;0,((AB17+AC17)/2),AB17)</f>
        <v>0.05927734375</v>
      </c>
      <c r="AC18" s="37" t="n">
        <f aca="false">IF((((AB17+AC17)/2))*LN((((AB17+AC17)/2))/(AB$7))+(1-(((AB17+AC17)/2)))*LN((1-(((AB17+AC17)/2)))/(1-(AB$7)))-AB$6&lt;0,AC17,((AB17+AC17)/2))</f>
        <v>0.0611328125</v>
      </c>
      <c r="AD18" s="37" t="n">
        <f aca="false">IF((((AD17+AE17)/2))*LN((((AD17+AE17)/2))/(AD$7))+(1-(((AD17+AE17)/2)))*LN((1-(((AD17+AE17)/2)))/(1-(AD$7)))-AD$6&lt;0,((AD17+AE17)/2),AD17)</f>
        <v>0.06669921875</v>
      </c>
      <c r="AE18" s="37" t="n">
        <f aca="false">IF((((AD17+AE17)/2))*LN((((AD17+AE17)/2))/(AD$7))+(1-(((AD17+AE17)/2)))*LN((1-(((AD17+AE17)/2)))/(1-(AD$7)))-AD$6&lt;0,AE17,((AD17+AE17)/2))</f>
        <v>0.0685546875</v>
      </c>
      <c r="AF18" s="37" t="n">
        <f aca="false">IF((((AF17+AG17)/2))*LN((((AF17+AG17)/2))/(AF$7))+(1-(((AF17+AG17)/2)))*LN((1-(((AF17+AG17)/2)))/(1-(AF$7)))-AF$6&lt;0,((AF17+AG17)/2),AF17)</f>
        <v>0.0833984375</v>
      </c>
      <c r="AG18" s="37" t="n">
        <f aca="false">IF((((AF17+AG17)/2))*LN((((AF17+AG17)/2))/(AF$7))+(1-(((AF17+AG17)/2)))*LN((1-(((AF17+AG17)/2)))/(1-(AF$7)))-AF$6&lt;0,AG17,((AF17+AG17)/2))</f>
        <v>0.08525390625</v>
      </c>
      <c r="AH18" s="37" t="n">
        <f aca="false">IF((((AH17+AI17)/2))*LN((((AH17+AI17)/2))/(AH$7))+(1-(((AH17+AI17)/2)))*LN((1-(((AH17+AI17)/2)))/(1-(AH$7)))-AH$6&lt;0,((AH17+AI17)/2),AH17)</f>
        <v>0.11123046875</v>
      </c>
      <c r="AI18" s="37" t="n">
        <f aca="false">IF((((AH17+AI17)/2))*LN((((AH17+AI17)/2))/(AH$7))+(1-(((AH17+AI17)/2)))*LN((1-(((AH17+AI17)/2)))/(1-(AH$7)))-AH$6&lt;0,AI17,((AH17+AI17)/2))</f>
        <v>0.1130859375</v>
      </c>
      <c r="AJ18" s="37" t="n">
        <f aca="false">IF((((AJ17+AK17)/2))*LN((((AJ17+AK17)/2))/(AJ$7))+(1-(((AJ17+AK17)/2)))*LN((1-(((AJ17+AK17)/2)))/(1-(AJ$7)))-AJ$6&lt;0,((AJ17+AK17)/2),AJ17)</f>
        <v>0.1724609375</v>
      </c>
      <c r="AK18" s="37" t="n">
        <f aca="false">IF((((AJ17+AK17)/2))*LN((((AJ17+AK17)/2))/(AJ$7))+(1-(((AJ17+AK17)/2)))*LN((1-(((AJ17+AK17)/2)))/(1-(AJ$7)))-AJ$6&lt;0,AK17,((AJ17+AK17)/2))</f>
        <v>0.17431640625</v>
      </c>
      <c r="AL18" s="37" t="n">
        <f aca="false">IF((((AL17+AM17)/2))*LN((((AL17+AM17)/2))/(AL$7))+(1-(((AL17+AM17)/2)))*LN((1-(((AL17+AM17)/2)))/(1-(AL$7)))-AL$6&lt;0,((AL17+AM17)/2),AL17)</f>
        <v>0.2875</v>
      </c>
      <c r="AM18" s="37" t="n">
        <f aca="false">IF((((AL17+AM17)/2))*LN((((AL17+AM17)/2))/(AL$7))+(1-(((AL17+AM17)/2)))*LN((1-(((AL17+AM17)/2)))/(1-(AL$7)))-AL$6&lt;0,AM17,((AL17+AM17)/2))</f>
        <v>0.28935546875</v>
      </c>
      <c r="AN18" s="37" t="n">
        <f aca="false">IF((((AN17+AO17)/2))*LN((((AN17+AO17)/2))/(AN$7))+(1-(((AN17+AO17)/2)))*LN((1-(((AN17+AO17)/2)))/(1-(AN$7)))-AN$6&lt;0,((AN17+AO17)/2),AN17)</f>
        <v>0.554687499999999</v>
      </c>
      <c r="AO18" s="37" t="n">
        <f aca="false">IF((((AN17+AO17)/2))*LN((((AN17+AO17)/2))/(AN$7))+(1-(((AN17+AO17)/2)))*LN((1-(((AN17+AO17)/2)))/(1-(AN$7)))-AN$6&lt;0,AO17,((AN17+AO17)/2))</f>
        <v>0.556542968749999</v>
      </c>
      <c r="AP18" s="37" t="n">
        <f aca="false">IF(AP$7*LN(AP$7)-AP$7*((AP17+AQ17)/2)+(1-AP$7)*LN(1-AP$7)-(1-AP$7)*LN(1-EXP(((AP17+AQ17)/2)))-AP$6&gt;0,((AP17+AQ17)/2),AP17)</f>
        <v>-3.770128607729</v>
      </c>
      <c r="AQ18" s="37" t="n">
        <f aca="false">IF(AP$7*LN(AP$7)-AP$7*((AP17+AQ17)/2)+(1-AP$7)*LN(1-AP$7)-(1-AP$7)*LN(1-EXP(((AP17+AQ17)/2)))-AP$6&gt;0,AQ17,((AP17+AQ17)/2))</f>
        <v>-3.64106255203316</v>
      </c>
      <c r="AR18" s="37" t="n">
        <f aca="false">IF((((AR17+AS17)/2))*LN((((AR17+AS17)/2))/(AR$7))+(1-(((AR17+AS17)/2)))*LN((1-(((AR17+AS17)/2)))/(1-(AR$7)))-AR$6&lt;0,((AR17+AS17)/2),AR17)</f>
        <v>0.0833984375</v>
      </c>
      <c r="AS18" s="37" t="n">
        <f aca="false">IF((((AR17+AS17)/2))*LN((((AR17+AS17)/2))/(AR$7))+(1-(((AR17+AS17)/2)))*LN((1-(((AR17+AS17)/2)))/(1-(AR$7)))-AR$6&lt;0,AS17,((AR17+AS17)/2))</f>
        <v>0.08525390625</v>
      </c>
    </row>
    <row r="19" customFormat="false" ht="15" hidden="false" customHeight="false" outlineLevel="0" collapsed="false">
      <c r="B19" s="37" t="n">
        <f aca="false">IF(B$7*LN(B$7)-B$7*((B18+C18)/2)+(1-B$7)*LN(1-B$7)-(1-B$7)*LN(1-EXP(((B18+C18)/2)))-B$6&gt;0,((B18+C18)/2),B18)</f>
        <v>-12.8047525064374</v>
      </c>
      <c r="C19" s="37" t="n">
        <f aca="false">IF(B$7*LN(B$7)-B$7*((B18+C18)/2)+(1-B$7)*LN(1-B$7)-(1-B$7)*LN(1-EXP(((B18+C18)/2)))-B$6&gt;0,C18,((B18+C18)/2))</f>
        <v>-12.7402194785895</v>
      </c>
      <c r="D19" s="37" t="n">
        <f aca="false">IF(D$7*LN(D$7)-D$7*((D18+E18)/2)+(1-D$7)*LN(1-D$7)-(1-D$7)*LN(1-EXP(((D18+E18)/2)))-D$6&gt;0,((D18+E18)/2),D18)</f>
        <v>-16.0959369266812</v>
      </c>
      <c r="E19" s="37" t="n">
        <f aca="false">IF(D$7*LN(D$7)-D$7*((D18+E18)/2)+(1-D$7)*LN(1-D$7)-(1-D$7)*LN(1-EXP(((D18+E18)/2)))-D$6&gt;0,E18,((D18+E18)/2))</f>
        <v>-16.0314038988333</v>
      </c>
      <c r="F19" s="37" t="n">
        <f aca="false">IF(F$7*LN(F$7)-F$7*((F18+G18)/2)+(1-F$7)*LN(1-F$7)-(1-F$7)*LN(1-EXP(((F18+G18)/2)))-F$6&gt;0,((F18+G18)/2),F18)</f>
        <v>-24.8078956861501</v>
      </c>
      <c r="G19" s="37" t="n">
        <f aca="false">IF(F$7*LN(F$7)-F$7*((F18+G18)/2)+(1-F$7)*LN(1-F$7)-(1-F$7)*LN(1-EXP(((F18+G18)/2)))-F$6&gt;0,G18,((F18+G18)/2))</f>
        <v>-24.7433626583021</v>
      </c>
      <c r="H19" s="37" t="n">
        <f aca="false">IF(H$7*LN(H$7)-H$7*((H18+I18)/2)+(1-H$7)*LN(1-H$7)-(1-H$7)*LN(1-EXP(((H18+I18)/2)))-H$6&gt;0,((H18+I18)/2),H18)</f>
        <v>-3.25386438494566</v>
      </c>
      <c r="I19" s="37" t="n">
        <f aca="false">IF(H$7*LN(H$7)-H$7*((H18+I18)/2)+(1-H$7)*LN(1-H$7)-(1-H$7)*LN(1-EXP(((H18+I18)/2)))-H$6&gt;0,I18,((H18+I18)/2))</f>
        <v>-3.18933135709774</v>
      </c>
      <c r="J19" s="37" t="n">
        <f aca="false">IF(J$7*LN(J$7)-J$7*((J18+K18)/2)+(1-J$7)*LN(1-J$7)-(1-J$7)*LN(1-EXP(((J18+K18)/2)))-J$6&gt;0,((J18+K18)/2),J18)</f>
        <v>-3.31839741279358</v>
      </c>
      <c r="K19" s="37" t="n">
        <f aca="false">IF(J$7*LN(J$7)-J$7*((J18+K18)/2)+(1-J$7)*LN(1-J$7)-(1-J$7)*LN(1-EXP(((J18+K18)/2)))-J$6&gt;0,K18,((J18+K18)/2))</f>
        <v>-3.25386438494566</v>
      </c>
      <c r="L19" s="37" t="n">
        <f aca="false">IF(L$7*LN(L$7)-L$7*((L18+M18)/2)+(1-L$7)*LN(1-L$7)-(1-L$7)*LN(1-EXP(((L18+M18)/2)))-L$6&gt;0,((L18+M18)/2),L18)</f>
        <v>-3.51199649633733</v>
      </c>
      <c r="M19" s="37" t="n">
        <f aca="false">IF(L$7*LN(L$7)-L$7*((L18+M18)/2)+(1-L$7)*LN(1-L$7)-(1-L$7)*LN(1-EXP(((L18+M18)/2)))-L$6&gt;0,M18,((L18+M18)/2))</f>
        <v>-3.44746346848941</v>
      </c>
      <c r="N19" s="37" t="n">
        <f aca="false">IF(N$7*LN(N$7)-N$7*((N18+O18)/2)+(1-N$7)*LN(1-N$7)-(1-N$7)*LN(1-EXP(((N18+O18)/2)))-N$6&gt;0,((N18+O18)/2),N18)</f>
        <v>-3.70559557988108</v>
      </c>
      <c r="O19" s="37" t="n">
        <f aca="false">IF(N$7*LN(N$7)-N$7*((N18+O18)/2)+(1-N$7)*LN(1-N$7)-(1-N$7)*LN(1-EXP(((N18+O18)/2)))-N$6&gt;0,O18,((N18+O18)/2))</f>
        <v>-3.64106255203316</v>
      </c>
      <c r="P19" s="37" t="n">
        <f aca="false">IF(P$7*LN(P$7)-P$7*((P18+Q18)/2)+(1-P$7)*LN(1-P$7)-(1-P$7)*LN(1-EXP(((P18+Q18)/2)))-P$6&gt;0,((P18+Q18)/2),P18)</f>
        <v>-4.09279374696859</v>
      </c>
      <c r="Q19" s="37" t="n">
        <f aca="false">IF(P$7*LN(P$7)-P$7*((P18+Q18)/2)+(1-P$7)*LN(1-P$7)-(1-P$7)*LN(1-EXP(((P18+Q18)/2)))-P$6&gt;0,Q18,((P18+Q18)/2))</f>
        <v>-4.02826071912067</v>
      </c>
      <c r="R19" s="37" t="n">
        <f aca="false">IF(R$7*LN(R$7)-R$7*((R18+S18)/2)+(1-R$7)*LN(1-R$7)-(1-R$7)*LN(1-EXP(((R18+S18)/2)))-R$6&gt;0,((R18+S18)/2),R18)</f>
        <v>-4.35092585836026</v>
      </c>
      <c r="S19" s="37" t="n">
        <f aca="false">IF(R$7*LN(R$7)-R$7*((R18+S18)/2)+(1-R$7)*LN(1-R$7)-(1-R$7)*LN(1-EXP(((R18+S18)/2)))-R$6&gt;0,S18,((R18+S18)/2))</f>
        <v>-4.28639283051234</v>
      </c>
      <c r="T19" s="37" t="n">
        <f aca="false">IF(T$7*LN(T$7)-T$7*((T18+U18)/2)+(1-T$7)*LN(1-T$7)-(1-T$7)*LN(1-EXP(((T18+U18)/2)))-T$6&gt;0,((T18+U18)/2),T18)</f>
        <v>-4.86719008114359</v>
      </c>
      <c r="U19" s="37" t="n">
        <f aca="false">IF(T$7*LN(T$7)-T$7*((T18+U18)/2)+(1-T$7)*LN(1-T$7)-(1-T$7)*LN(1-EXP(((T18+U18)/2)))-T$6&gt;0,U18,((T18+U18)/2))</f>
        <v>-4.80265705329568</v>
      </c>
      <c r="V19" s="37" t="n">
        <f aca="false">IF(V$7*LN(V$7)-V$7*((V18+W18)/2)+(1-V$7)*LN(1-V$7)-(1-V$7)*LN(1-EXP(((V18+W18)/2)))-V$6&gt;0,((V18+W18)/2),V18)</f>
        <v>-5.38345430392693</v>
      </c>
      <c r="W19" s="37" t="n">
        <f aca="false">IF(V$7*LN(V$7)-V$7*((V18+W18)/2)+(1-V$7)*LN(1-V$7)-(1-V$7)*LN(1-EXP(((V18+W18)/2)))-V$6&gt;0,W18,((V18+W18)/2))</f>
        <v>-5.31892127607902</v>
      </c>
      <c r="X19" s="37" t="n">
        <f aca="false">IF(X$7*LN(X$7)-X$7*((X18+Y18)/2)+(1-X$7)*LN(1-X$7)-(1-X$7)*LN(1-EXP(((X18+Y18)/2)))-X$6&gt;0,((X18+Y18)/2),X18)</f>
        <v>-5.96425155455819</v>
      </c>
      <c r="Y19" s="37" t="n">
        <f aca="false">IF(X$7*LN(X$7)-X$7*((X18+Y18)/2)+(1-X$7)*LN(1-X$7)-(1-X$7)*LN(1-EXP(((X18+Y18)/2)))-X$6&gt;0,Y18,((X18+Y18)/2))</f>
        <v>-5.89971852671027</v>
      </c>
      <c r="Z19" s="37" t="n">
        <f aca="false">IF(Z$7*LN(Z$7)-Z$7*((Z18+AA18)/2)+(1-Z$7)*LN(1-Z$7)-(1-Z$7)*LN(1-EXP(((Z18+AA18)/2)))-Z$6&gt;0,((Z18+AA18)/2),Z18)</f>
        <v>-6.99678000012487</v>
      </c>
      <c r="AA19" s="37" t="n">
        <f aca="false">IF(Z$7*LN(Z$7)-Z$7*((Z18+AA18)/2)+(1-Z$7)*LN(1-Z$7)-(1-Z$7)*LN(1-EXP(((Z18+AA18)/2)))-Z$6&gt;0,AA18,((Z18+AA18)/2))</f>
        <v>-6.93224697227695</v>
      </c>
      <c r="AB19" s="37" t="n">
        <f aca="false">IF((((AB18+AC18)/2))*LN((((AB18+AC18)/2))/(AB$7))+(1-(((AB18+AC18)/2)))*LN((1-(((AB18+AC18)/2)))/(1-(AB$7)))-AB$6&lt;0,((AB18+AC18)/2),AB18)</f>
        <v>0.05927734375</v>
      </c>
      <c r="AC19" s="37" t="n">
        <f aca="false">IF((((AB18+AC18)/2))*LN((((AB18+AC18)/2))/(AB$7))+(1-(((AB18+AC18)/2)))*LN((1-(((AB18+AC18)/2)))/(1-(AB$7)))-AB$6&lt;0,AC18,((AB18+AC18)/2))</f>
        <v>0.060205078125</v>
      </c>
      <c r="AD19" s="37" t="n">
        <f aca="false">IF((((AD18+AE18)/2))*LN((((AD18+AE18)/2))/(AD$7))+(1-(((AD18+AE18)/2)))*LN((1-(((AD18+AE18)/2)))/(1-(AD$7)))-AD$6&lt;0,((AD18+AE18)/2),AD18)</f>
        <v>0.067626953125</v>
      </c>
      <c r="AE19" s="37" t="n">
        <f aca="false">IF((((AD18+AE18)/2))*LN((((AD18+AE18)/2))/(AD$7))+(1-(((AD18+AE18)/2)))*LN((1-(((AD18+AE18)/2)))/(1-(AD$7)))-AD$6&lt;0,AE18,((AD18+AE18)/2))</f>
        <v>0.0685546875</v>
      </c>
      <c r="AF19" s="37" t="n">
        <f aca="false">IF((((AF18+AG18)/2))*LN((((AF18+AG18)/2))/(AF$7))+(1-(((AF18+AG18)/2)))*LN((1-(((AF18+AG18)/2)))/(1-(AF$7)))-AF$6&lt;0,((AF18+AG18)/2),AF18)</f>
        <v>0.0833984375</v>
      </c>
      <c r="AG19" s="37" t="n">
        <f aca="false">IF((((AF18+AG18)/2))*LN((((AF18+AG18)/2))/(AF$7))+(1-(((AF18+AG18)/2)))*LN((1-(((AF18+AG18)/2)))/(1-(AF$7)))-AF$6&lt;0,AG18,((AF18+AG18)/2))</f>
        <v>0.084326171875</v>
      </c>
      <c r="AH19" s="37" t="n">
        <f aca="false">IF((((AH18+AI18)/2))*LN((((AH18+AI18)/2))/(AH$7))+(1-(((AH18+AI18)/2)))*LN((1-(((AH18+AI18)/2)))/(1-(AH$7)))-AH$6&lt;0,((AH18+AI18)/2),AH18)</f>
        <v>0.11123046875</v>
      </c>
      <c r="AI19" s="37" t="n">
        <f aca="false">IF((((AH18+AI18)/2))*LN((((AH18+AI18)/2))/(AH$7))+(1-(((AH18+AI18)/2)))*LN((1-(((AH18+AI18)/2)))/(1-(AH$7)))-AH$6&lt;0,AI18,((AH18+AI18)/2))</f>
        <v>0.112158203125</v>
      </c>
      <c r="AJ19" s="37" t="n">
        <f aca="false">IF((((AJ18+AK18)/2))*LN((((AJ18+AK18)/2))/(AJ$7))+(1-(((AJ18+AK18)/2)))*LN((1-(((AJ18+AK18)/2)))/(1-(AJ$7)))-AJ$6&lt;0,((AJ18+AK18)/2),AJ18)</f>
        <v>0.1724609375</v>
      </c>
      <c r="AK19" s="37" t="n">
        <f aca="false">IF((((AJ18+AK18)/2))*LN((((AJ18+AK18)/2))/(AJ$7))+(1-(((AJ18+AK18)/2)))*LN((1-(((AJ18+AK18)/2)))/(1-(AJ$7)))-AJ$6&lt;0,AK18,((AJ18+AK18)/2))</f>
        <v>0.173388671875</v>
      </c>
      <c r="AL19" s="37" t="n">
        <f aca="false">IF((((AL18+AM18)/2))*LN((((AL18+AM18)/2))/(AL$7))+(1-(((AL18+AM18)/2)))*LN((1-(((AL18+AM18)/2)))/(1-(AL$7)))-AL$6&lt;0,((AL18+AM18)/2),AL18)</f>
        <v>0.288427734375</v>
      </c>
      <c r="AM19" s="37" t="n">
        <f aca="false">IF((((AL18+AM18)/2))*LN((((AL18+AM18)/2))/(AL$7))+(1-(((AL18+AM18)/2)))*LN((1-(((AL18+AM18)/2)))/(1-(AL$7)))-AL$6&lt;0,AM18,((AL18+AM18)/2))</f>
        <v>0.28935546875</v>
      </c>
      <c r="AN19" s="37" t="n">
        <f aca="false">IF((((AN18+AO18)/2))*LN((((AN18+AO18)/2))/(AN$7))+(1-(((AN18+AO18)/2)))*LN((1-(((AN18+AO18)/2)))/(1-(AN$7)))-AN$6&lt;0,((AN18+AO18)/2),AN18)</f>
        <v>0.554687499999999</v>
      </c>
      <c r="AO19" s="37" t="n">
        <f aca="false">IF((((AN18+AO18)/2))*LN((((AN18+AO18)/2))/(AN$7))+(1-(((AN18+AO18)/2)))*LN((1-(((AN18+AO18)/2)))/(1-(AN$7)))-AN$6&lt;0,AO18,((AN18+AO18)/2))</f>
        <v>0.555615234374999</v>
      </c>
      <c r="AP19" s="37" t="n">
        <f aca="false">IF(AP$7*LN(AP$7)-AP$7*((AP18+AQ18)/2)+(1-AP$7)*LN(1-AP$7)-(1-AP$7)*LN(1-EXP(((AP18+AQ18)/2)))-AP$6&gt;0,((AP18+AQ18)/2),AP18)</f>
        <v>-3.70559557988108</v>
      </c>
      <c r="AQ19" s="37" t="n">
        <f aca="false">IF(AP$7*LN(AP$7)-AP$7*((AP18+AQ18)/2)+(1-AP$7)*LN(1-AP$7)-(1-AP$7)*LN(1-EXP(((AP18+AQ18)/2)))-AP$6&gt;0,AQ18,((AP18+AQ18)/2))</f>
        <v>-3.64106255203316</v>
      </c>
      <c r="AR19" s="37" t="n">
        <f aca="false">IF((((AR18+AS18)/2))*LN((((AR18+AS18)/2))/(AR$7))+(1-(((AR18+AS18)/2)))*LN((1-(((AR18+AS18)/2)))/(1-(AR$7)))-AR$6&lt;0,((AR18+AS18)/2),AR18)</f>
        <v>0.0833984375</v>
      </c>
      <c r="AS19" s="37" t="n">
        <f aca="false">IF((((AR18+AS18)/2))*LN((((AR18+AS18)/2))/(AR$7))+(1-(((AR18+AS18)/2)))*LN((1-(((AR18+AS18)/2)))/(1-(AR$7)))-AR$6&lt;0,AS18,((AR18+AS18)/2))</f>
        <v>0.084326171875</v>
      </c>
    </row>
    <row r="20" customFormat="false" ht="15" hidden="false" customHeight="false" outlineLevel="0" collapsed="false">
      <c r="B20" s="37" t="n">
        <f aca="false">IF(B$7*LN(B$7)-B$7*((B19+C19)/2)+(1-B$7)*LN(1-B$7)-(1-B$7)*LN(1-EXP(((B19+C19)/2)))-B$6&gt;0,((B19+C19)/2),B19)</f>
        <v>-12.7724859925135</v>
      </c>
      <c r="C20" s="37" t="n">
        <f aca="false">IF(B$7*LN(B$7)-B$7*((B19+C19)/2)+(1-B$7)*LN(1-B$7)-(1-B$7)*LN(1-EXP(((B19+C19)/2)))-B$6&gt;0,C19,((B19+C19)/2))</f>
        <v>-12.7402194785895</v>
      </c>
      <c r="D20" s="37" t="n">
        <f aca="false">IF(D$7*LN(D$7)-D$7*((D19+E19)/2)+(1-D$7)*LN(1-D$7)-(1-D$7)*LN(1-EXP(((D19+E19)/2)))-D$6&gt;0,((D19+E19)/2),D19)</f>
        <v>-16.0636704127573</v>
      </c>
      <c r="E20" s="37" t="n">
        <f aca="false">IF(D$7*LN(D$7)-D$7*((D19+E19)/2)+(1-D$7)*LN(1-D$7)-(1-D$7)*LN(1-EXP(((D19+E19)/2)))-D$6&gt;0,E19,((D19+E19)/2))</f>
        <v>-16.0314038988333</v>
      </c>
      <c r="F20" s="37" t="n">
        <f aca="false">IF(F$7*LN(F$7)-F$7*((F19+G19)/2)+(1-F$7)*LN(1-F$7)-(1-F$7)*LN(1-EXP(((F19+G19)/2)))-F$6&gt;0,((F19+G19)/2),F19)</f>
        <v>-24.8078956861501</v>
      </c>
      <c r="G20" s="37" t="n">
        <f aca="false">IF(F$7*LN(F$7)-F$7*((F19+G19)/2)+(1-F$7)*LN(1-F$7)-(1-F$7)*LN(1-EXP(((F19+G19)/2)))-F$6&gt;0,G19,((F19+G19)/2))</f>
        <v>-24.7756291722261</v>
      </c>
      <c r="H20" s="37" t="n">
        <f aca="false">IF(H$7*LN(H$7)-H$7*((H19+I19)/2)+(1-H$7)*LN(1-H$7)-(1-H$7)*LN(1-EXP(((H19+I19)/2)))-H$6&gt;0,((H19+I19)/2),H19)</f>
        <v>-3.2215978710217</v>
      </c>
      <c r="I20" s="37" t="n">
        <f aca="false">IF(H$7*LN(H$7)-H$7*((H19+I19)/2)+(1-H$7)*LN(1-H$7)-(1-H$7)*LN(1-EXP(((H19+I19)/2)))-H$6&gt;0,I19,((H19+I19)/2))</f>
        <v>-3.18933135709774</v>
      </c>
      <c r="J20" s="37" t="n">
        <f aca="false">IF(J$7*LN(J$7)-J$7*((J19+K19)/2)+(1-J$7)*LN(1-J$7)-(1-J$7)*LN(1-EXP(((J19+K19)/2)))-J$6&gt;0,((J19+K19)/2),J19)</f>
        <v>-3.28613089886962</v>
      </c>
      <c r="K20" s="37" t="n">
        <f aca="false">IF(J$7*LN(J$7)-J$7*((J19+K19)/2)+(1-J$7)*LN(1-J$7)-(1-J$7)*LN(1-EXP(((J19+K19)/2)))-J$6&gt;0,K19,((J19+K19)/2))</f>
        <v>-3.25386438494566</v>
      </c>
      <c r="L20" s="37" t="n">
        <f aca="false">IF(L$7*LN(L$7)-L$7*((L19+M19)/2)+(1-L$7)*LN(1-L$7)-(1-L$7)*LN(1-EXP(((L19+M19)/2)))-L$6&gt;0,((L19+M19)/2),L19)</f>
        <v>-3.47972998241337</v>
      </c>
      <c r="M20" s="37" t="n">
        <f aca="false">IF(L$7*LN(L$7)-L$7*((L19+M19)/2)+(1-L$7)*LN(1-L$7)-(1-L$7)*LN(1-EXP(((L19+M19)/2)))-L$6&gt;0,M19,((L19+M19)/2))</f>
        <v>-3.44746346848941</v>
      </c>
      <c r="N20" s="37" t="n">
        <f aca="false">IF(N$7*LN(N$7)-N$7*((N19+O19)/2)+(1-N$7)*LN(1-N$7)-(1-N$7)*LN(1-EXP(((N19+O19)/2)))-N$6&gt;0,((N19+O19)/2),N19)</f>
        <v>-3.70559557988108</v>
      </c>
      <c r="O20" s="37" t="n">
        <f aca="false">IF(N$7*LN(N$7)-N$7*((N19+O19)/2)+(1-N$7)*LN(1-N$7)-(1-N$7)*LN(1-EXP(((N19+O19)/2)))-N$6&gt;0,O19,((N19+O19)/2))</f>
        <v>-3.67332906595712</v>
      </c>
      <c r="P20" s="37" t="n">
        <f aca="false">IF(P$7*LN(P$7)-P$7*((P19+Q19)/2)+(1-P$7)*LN(1-P$7)-(1-P$7)*LN(1-EXP(((P19+Q19)/2)))-P$6&gt;0,((P19+Q19)/2),P19)</f>
        <v>-4.06052723304463</v>
      </c>
      <c r="Q20" s="37" t="n">
        <f aca="false">IF(P$7*LN(P$7)-P$7*((P19+Q19)/2)+(1-P$7)*LN(1-P$7)-(1-P$7)*LN(1-EXP(((P19+Q19)/2)))-P$6&gt;0,Q19,((P19+Q19)/2))</f>
        <v>-4.02826071912067</v>
      </c>
      <c r="R20" s="37" t="n">
        <f aca="false">IF(R$7*LN(R$7)-R$7*((R19+S19)/2)+(1-R$7)*LN(1-R$7)-(1-R$7)*LN(1-EXP(((R19+S19)/2)))-R$6&gt;0,((R19+S19)/2),R19)</f>
        <v>-4.3186593444363</v>
      </c>
      <c r="S20" s="37" t="n">
        <f aca="false">IF(R$7*LN(R$7)-R$7*((R19+S19)/2)+(1-R$7)*LN(1-R$7)-(1-R$7)*LN(1-EXP(((R19+S19)/2)))-R$6&gt;0,S19,((R19+S19)/2))</f>
        <v>-4.28639283051234</v>
      </c>
      <c r="T20" s="37" t="n">
        <f aca="false">IF(T$7*LN(T$7)-T$7*((T19+U19)/2)+(1-T$7)*LN(1-T$7)-(1-T$7)*LN(1-EXP(((T19+U19)/2)))-T$6&gt;0,((T19+U19)/2),T19)</f>
        <v>-4.83492356721964</v>
      </c>
      <c r="U20" s="37" t="n">
        <f aca="false">IF(T$7*LN(T$7)-T$7*((T19+U19)/2)+(1-T$7)*LN(1-T$7)-(1-T$7)*LN(1-EXP(((T19+U19)/2)))-T$6&gt;0,U19,((T19+U19)/2))</f>
        <v>-4.80265705329568</v>
      </c>
      <c r="V20" s="37" t="n">
        <f aca="false">IF(V$7*LN(V$7)-V$7*((V19+W19)/2)+(1-V$7)*LN(1-V$7)-(1-V$7)*LN(1-EXP(((V19+W19)/2)))-V$6&gt;0,((V19+W19)/2),V19)</f>
        <v>-5.38345430392693</v>
      </c>
      <c r="W20" s="37" t="n">
        <f aca="false">IF(V$7*LN(V$7)-V$7*((V19+W19)/2)+(1-V$7)*LN(1-V$7)-(1-V$7)*LN(1-EXP(((V19+W19)/2)))-V$6&gt;0,W19,((V19+W19)/2))</f>
        <v>-5.35118779000297</v>
      </c>
      <c r="X20" s="37" t="n">
        <f aca="false">IF(X$7*LN(X$7)-X$7*((X19+Y19)/2)+(1-X$7)*LN(1-X$7)-(1-X$7)*LN(1-EXP(((X19+Y19)/2)))-X$6&gt;0,((X19+Y19)/2),X19)</f>
        <v>-5.93198504063423</v>
      </c>
      <c r="Y20" s="37" t="n">
        <f aca="false">IF(X$7*LN(X$7)-X$7*((X19+Y19)/2)+(1-X$7)*LN(1-X$7)-(1-X$7)*LN(1-EXP(((X19+Y19)/2)))-X$6&gt;0,Y19,((X19+Y19)/2))</f>
        <v>-5.89971852671027</v>
      </c>
      <c r="Z20" s="37" t="n">
        <f aca="false">IF(Z$7*LN(Z$7)-Z$7*((Z19+AA19)/2)+(1-Z$7)*LN(1-Z$7)-(1-Z$7)*LN(1-EXP(((Z19+AA19)/2)))-Z$6&gt;0,((Z19+AA19)/2),Z19)</f>
        <v>-6.96451348620091</v>
      </c>
      <c r="AA20" s="37" t="n">
        <f aca="false">IF(Z$7*LN(Z$7)-Z$7*((Z19+AA19)/2)+(1-Z$7)*LN(1-Z$7)-(1-Z$7)*LN(1-EXP(((Z19+AA19)/2)))-Z$6&gt;0,AA19,((Z19+AA19)/2))</f>
        <v>-6.93224697227695</v>
      </c>
      <c r="AB20" s="37" t="n">
        <f aca="false">IF((((AB19+AC19)/2))*LN((((AB19+AC19)/2))/(AB$7))+(1-(((AB19+AC19)/2)))*LN((1-(((AB19+AC19)/2)))/(1-(AB$7)))-AB$6&lt;0,((AB19+AC19)/2),AB19)</f>
        <v>0.0597412109375</v>
      </c>
      <c r="AC20" s="37" t="n">
        <f aca="false">IF((((AB19+AC19)/2))*LN((((AB19+AC19)/2))/(AB$7))+(1-(((AB19+AC19)/2)))*LN((1-(((AB19+AC19)/2)))/(1-(AB$7)))-AB$6&lt;0,AC19,((AB19+AC19)/2))</f>
        <v>0.060205078125</v>
      </c>
      <c r="AD20" s="37" t="n">
        <f aca="false">IF((((AD19+AE19)/2))*LN((((AD19+AE19)/2))/(AD$7))+(1-(((AD19+AE19)/2)))*LN((1-(((AD19+AE19)/2)))/(1-(AD$7)))-AD$6&lt;0,((AD19+AE19)/2),AD19)</f>
        <v>0.067626953125</v>
      </c>
      <c r="AE20" s="37" t="n">
        <f aca="false">IF((((AD19+AE19)/2))*LN((((AD19+AE19)/2))/(AD$7))+(1-(((AD19+AE19)/2)))*LN((1-(((AD19+AE19)/2)))/(1-(AD$7)))-AD$6&lt;0,AE19,((AD19+AE19)/2))</f>
        <v>0.0680908203125</v>
      </c>
      <c r="AF20" s="37" t="n">
        <f aca="false">IF((((AF19+AG19)/2))*LN((((AF19+AG19)/2))/(AF$7))+(1-(((AF19+AG19)/2)))*LN((1-(((AF19+AG19)/2)))/(1-(AF$7)))-AF$6&lt;0,((AF19+AG19)/2),AF19)</f>
        <v>0.0833984375</v>
      </c>
      <c r="AG20" s="37" t="n">
        <f aca="false">IF((((AF19+AG19)/2))*LN((((AF19+AG19)/2))/(AF$7))+(1-(((AF19+AG19)/2)))*LN((1-(((AF19+AG19)/2)))/(1-(AF$7)))-AF$6&lt;0,AG19,((AF19+AG19)/2))</f>
        <v>0.0838623046875</v>
      </c>
      <c r="AH20" s="37" t="n">
        <f aca="false">IF((((AH19+AI19)/2))*LN((((AH19+AI19)/2))/(AH$7))+(1-(((AH19+AI19)/2)))*LN((1-(((AH19+AI19)/2)))/(1-(AH$7)))-AH$6&lt;0,((AH19+AI19)/2),AH19)</f>
        <v>0.11123046875</v>
      </c>
      <c r="AI20" s="37" t="n">
        <f aca="false">IF((((AH19+AI19)/2))*LN((((AH19+AI19)/2))/(AH$7))+(1-(((AH19+AI19)/2)))*LN((1-(((AH19+AI19)/2)))/(1-(AH$7)))-AH$6&lt;0,AI19,((AH19+AI19)/2))</f>
        <v>0.1116943359375</v>
      </c>
      <c r="AJ20" s="37" t="n">
        <f aca="false">IF((((AJ19+AK19)/2))*LN((((AJ19+AK19)/2))/(AJ$7))+(1-(((AJ19+AK19)/2)))*LN((1-(((AJ19+AK19)/2)))/(1-(AJ$7)))-AJ$6&lt;0,((AJ19+AK19)/2),AJ19)</f>
        <v>0.1729248046875</v>
      </c>
      <c r="AK20" s="37" t="n">
        <f aca="false">IF((((AJ19+AK19)/2))*LN((((AJ19+AK19)/2))/(AJ$7))+(1-(((AJ19+AK19)/2)))*LN((1-(((AJ19+AK19)/2)))/(1-(AJ$7)))-AJ$6&lt;0,AK19,((AJ19+AK19)/2))</f>
        <v>0.173388671875</v>
      </c>
      <c r="AL20" s="37" t="n">
        <f aca="false">IF((((AL19+AM19)/2))*LN((((AL19+AM19)/2))/(AL$7))+(1-(((AL19+AM19)/2)))*LN((1-(((AL19+AM19)/2)))/(1-(AL$7)))-AL$6&lt;0,((AL19+AM19)/2),AL19)</f>
        <v>0.288427734375</v>
      </c>
      <c r="AM20" s="37" t="n">
        <f aca="false">IF((((AL19+AM19)/2))*LN((((AL19+AM19)/2))/(AL$7))+(1-(((AL19+AM19)/2)))*LN((1-(((AL19+AM19)/2)))/(1-(AL$7)))-AL$6&lt;0,AM19,((AL19+AM19)/2))</f>
        <v>0.2888916015625</v>
      </c>
      <c r="AN20" s="37" t="n">
        <f aca="false">IF((((AN19+AO19)/2))*LN((((AN19+AO19)/2))/(AN$7))+(1-(((AN19+AO19)/2)))*LN((1-(((AN19+AO19)/2)))/(1-(AN$7)))-AN$6&lt;0,((AN19+AO19)/2),AN19)</f>
        <v>0.5551513671875</v>
      </c>
      <c r="AO20" s="37" t="n">
        <f aca="false">IF((((AN19+AO19)/2))*LN((((AN19+AO19)/2))/(AN$7))+(1-(((AN19+AO19)/2)))*LN((1-(((AN19+AO19)/2)))/(1-(AN$7)))-AN$6&lt;0,AO19,((AN19+AO19)/2))</f>
        <v>0.555615234374999</v>
      </c>
      <c r="AP20" s="37" t="n">
        <f aca="false">IF(AP$7*LN(AP$7)-AP$7*((AP19+AQ19)/2)+(1-AP$7)*LN(1-AP$7)-(1-AP$7)*LN(1-EXP(((AP19+AQ19)/2)))-AP$6&gt;0,((AP19+AQ19)/2),AP19)</f>
        <v>-3.70559557988108</v>
      </c>
      <c r="AQ20" s="37" t="n">
        <f aca="false">IF(AP$7*LN(AP$7)-AP$7*((AP19+AQ19)/2)+(1-AP$7)*LN(1-AP$7)-(1-AP$7)*LN(1-EXP(((AP19+AQ19)/2)))-AP$6&gt;0,AQ19,((AP19+AQ19)/2))</f>
        <v>-3.67332906595712</v>
      </c>
      <c r="AR20" s="37" t="n">
        <f aca="false">IF((((AR19+AS19)/2))*LN((((AR19+AS19)/2))/(AR$7))+(1-(((AR19+AS19)/2)))*LN((1-(((AR19+AS19)/2)))/(1-(AR$7)))-AR$6&lt;0,((AR19+AS19)/2),AR19)</f>
        <v>0.0833984375</v>
      </c>
      <c r="AS20" s="37" t="n">
        <f aca="false">IF((((AR19+AS19)/2))*LN((((AR19+AS19)/2))/(AR$7))+(1-(((AR19+AS19)/2)))*LN((1-(((AR19+AS19)/2)))/(1-(AR$7)))-AR$6&lt;0,AS19,((AR19+AS19)/2))</f>
        <v>0.0838623046875</v>
      </c>
    </row>
    <row r="21" customFormat="false" ht="15" hidden="false" customHeight="false" outlineLevel="0" collapsed="false">
      <c r="B21" s="37" t="n">
        <f aca="false">IF(B$7*LN(B$7)-B$7*((B20+C20)/2)+(1-B$7)*LN(1-B$7)-(1-B$7)*LN(1-EXP(((B20+C20)/2)))-B$6&gt;0,((B20+C20)/2),B20)</f>
        <v>-12.7563527355515</v>
      </c>
      <c r="C21" s="37" t="n">
        <f aca="false">IF(B$7*LN(B$7)-B$7*((B20+C20)/2)+(1-B$7)*LN(1-B$7)-(1-B$7)*LN(1-EXP(((B20+C20)/2)))-B$6&gt;0,C20,((B20+C20)/2))</f>
        <v>-12.7402194785895</v>
      </c>
      <c r="D21" s="37" t="n">
        <f aca="false">IF(D$7*LN(D$7)-D$7*((D20+E20)/2)+(1-D$7)*LN(1-D$7)-(1-D$7)*LN(1-EXP(((D20+E20)/2)))-D$6&gt;0,((D20+E20)/2),D20)</f>
        <v>-16.0475371557953</v>
      </c>
      <c r="E21" s="37" t="n">
        <f aca="false">IF(D$7*LN(D$7)-D$7*((D20+E20)/2)+(1-D$7)*LN(1-D$7)-(1-D$7)*LN(1-EXP(((D20+E20)/2)))-D$6&gt;0,E20,((D20+E20)/2))</f>
        <v>-16.0314038988333</v>
      </c>
      <c r="F21" s="37" t="n">
        <f aca="false">IF(F$7*LN(F$7)-F$7*((F20+G20)/2)+(1-F$7)*LN(1-F$7)-(1-F$7)*LN(1-EXP(((F20+G20)/2)))-F$6&gt;0,((F20+G20)/2),F20)</f>
        <v>-24.8078956861501</v>
      </c>
      <c r="G21" s="37" t="n">
        <f aca="false">IF(F$7*LN(F$7)-F$7*((F20+G20)/2)+(1-F$7)*LN(1-F$7)-(1-F$7)*LN(1-EXP(((F20+G20)/2)))-F$6&gt;0,G20,((F20+G20)/2))</f>
        <v>-24.7917624291881</v>
      </c>
      <c r="H21" s="37" t="n">
        <f aca="false">IF(H$7*LN(H$7)-H$7*((H20+I20)/2)+(1-H$7)*LN(1-H$7)-(1-H$7)*LN(1-EXP(((H20+I20)/2)))-H$6&gt;0,((H20+I20)/2),H20)</f>
        <v>-3.20546461405972</v>
      </c>
      <c r="I21" s="37" t="n">
        <f aca="false">IF(H$7*LN(H$7)-H$7*((H20+I20)/2)+(1-H$7)*LN(1-H$7)-(1-H$7)*LN(1-EXP(((H20+I20)/2)))-H$6&gt;0,I20,((H20+I20)/2))</f>
        <v>-3.18933135709774</v>
      </c>
      <c r="J21" s="37" t="n">
        <f aca="false">IF(J$7*LN(J$7)-J$7*((J20+K20)/2)+(1-J$7)*LN(1-J$7)-(1-J$7)*LN(1-EXP(((J20+K20)/2)))-J$6&gt;0,((J20+K20)/2),J20)</f>
        <v>-3.28613089886962</v>
      </c>
      <c r="K21" s="37" t="n">
        <f aca="false">IF(J$7*LN(J$7)-J$7*((J20+K20)/2)+(1-J$7)*LN(1-J$7)-(1-J$7)*LN(1-EXP(((J20+K20)/2)))-J$6&gt;0,K20,((J20+K20)/2))</f>
        <v>-3.26999764190764</v>
      </c>
      <c r="L21" s="37" t="n">
        <f aca="false">IF(L$7*LN(L$7)-L$7*((L20+M20)/2)+(1-L$7)*LN(1-L$7)-(1-L$7)*LN(1-EXP(((L20+M20)/2)))-L$6&gt;0,((L20+M20)/2),L20)</f>
        <v>-3.47972998241337</v>
      </c>
      <c r="M21" s="37" t="n">
        <f aca="false">IF(L$7*LN(L$7)-L$7*((L20+M20)/2)+(1-L$7)*LN(1-L$7)-(1-L$7)*LN(1-EXP(((L20+M20)/2)))-L$6&gt;0,M20,((L20+M20)/2))</f>
        <v>-3.46359672545139</v>
      </c>
      <c r="N21" s="37" t="n">
        <f aca="false">IF(N$7*LN(N$7)-N$7*((N20+O20)/2)+(1-N$7)*LN(1-N$7)-(1-N$7)*LN(1-EXP(((N20+O20)/2)))-N$6&gt;0,((N20+O20)/2),N20)</f>
        <v>-3.70559557988108</v>
      </c>
      <c r="O21" s="37" t="n">
        <f aca="false">IF(N$7*LN(N$7)-N$7*((N20+O20)/2)+(1-N$7)*LN(1-N$7)-(1-N$7)*LN(1-EXP(((N20+O20)/2)))-N$6&gt;0,O20,((N20+O20)/2))</f>
        <v>-3.6894623229191</v>
      </c>
      <c r="P21" s="37" t="n">
        <f aca="false">IF(P$7*LN(P$7)-P$7*((P20+Q20)/2)+(1-P$7)*LN(1-P$7)-(1-P$7)*LN(1-EXP(((P20+Q20)/2)))-P$6&gt;0,((P20+Q20)/2),P20)</f>
        <v>-4.04439397608265</v>
      </c>
      <c r="Q21" s="37" t="n">
        <f aca="false">IF(P$7*LN(P$7)-P$7*((P20+Q20)/2)+(1-P$7)*LN(1-P$7)-(1-P$7)*LN(1-EXP(((P20+Q20)/2)))-P$6&gt;0,Q20,((P20+Q20)/2))</f>
        <v>-4.02826071912067</v>
      </c>
      <c r="R21" s="37" t="n">
        <f aca="false">IF(R$7*LN(R$7)-R$7*((R20+S20)/2)+(1-R$7)*LN(1-R$7)-(1-R$7)*LN(1-EXP(((R20+S20)/2)))-R$6&gt;0,((R20+S20)/2),R20)</f>
        <v>-4.3186593444363</v>
      </c>
      <c r="S21" s="37" t="n">
        <f aca="false">IF(R$7*LN(R$7)-R$7*((R20+S20)/2)+(1-R$7)*LN(1-R$7)-(1-R$7)*LN(1-EXP(((R20+S20)/2)))-R$6&gt;0,S20,((R20+S20)/2))</f>
        <v>-4.30252608747432</v>
      </c>
      <c r="T21" s="37" t="n">
        <f aca="false">IF(T$7*LN(T$7)-T$7*((T20+U20)/2)+(1-T$7)*LN(1-T$7)-(1-T$7)*LN(1-EXP(((T20+U20)/2)))-T$6&gt;0,((T20+U20)/2),T20)</f>
        <v>-4.81879031025766</v>
      </c>
      <c r="U21" s="37" t="n">
        <f aca="false">IF(T$7*LN(T$7)-T$7*((T20+U20)/2)+(1-T$7)*LN(1-T$7)-(1-T$7)*LN(1-EXP(((T20+U20)/2)))-T$6&gt;0,U20,((T20+U20)/2))</f>
        <v>-4.80265705329568</v>
      </c>
      <c r="V21" s="37" t="n">
        <f aca="false">IF(V$7*LN(V$7)-V$7*((V20+W20)/2)+(1-V$7)*LN(1-V$7)-(1-V$7)*LN(1-EXP(((V20+W20)/2)))-V$6&gt;0,((V20+W20)/2),V20)</f>
        <v>-5.38345430392693</v>
      </c>
      <c r="W21" s="37" t="n">
        <f aca="false">IF(V$7*LN(V$7)-V$7*((V20+W20)/2)+(1-V$7)*LN(1-V$7)-(1-V$7)*LN(1-EXP(((V20+W20)/2)))-V$6&gt;0,W20,((V20+W20)/2))</f>
        <v>-5.36732104696495</v>
      </c>
      <c r="X21" s="37" t="n">
        <f aca="false">IF(X$7*LN(X$7)-X$7*((X20+Y20)/2)+(1-X$7)*LN(1-X$7)-(1-X$7)*LN(1-EXP(((X20+Y20)/2)))-X$6&gt;0,((X20+Y20)/2),X20)</f>
        <v>-5.93198504063423</v>
      </c>
      <c r="Y21" s="37" t="n">
        <f aca="false">IF(X$7*LN(X$7)-X$7*((X20+Y20)/2)+(1-X$7)*LN(1-X$7)-(1-X$7)*LN(1-EXP(((X20+Y20)/2)))-X$6&gt;0,Y20,((X20+Y20)/2))</f>
        <v>-5.91585178367225</v>
      </c>
      <c r="Z21" s="37" t="n">
        <f aca="false">IF(Z$7*LN(Z$7)-Z$7*((Z20+AA20)/2)+(1-Z$7)*LN(1-Z$7)-(1-Z$7)*LN(1-EXP(((Z20+AA20)/2)))-Z$6&gt;0,((Z20+AA20)/2),Z20)</f>
        <v>-6.96451348620091</v>
      </c>
      <c r="AA21" s="37" t="n">
        <f aca="false">IF(Z$7*LN(Z$7)-Z$7*((Z20+AA20)/2)+(1-Z$7)*LN(1-Z$7)-(1-Z$7)*LN(1-EXP(((Z20+AA20)/2)))-Z$6&gt;0,AA20,((Z20+AA20)/2))</f>
        <v>-6.94838022923893</v>
      </c>
      <c r="AB21" s="37" t="n">
        <f aca="false">IF((((AB20+AC20)/2))*LN((((AB20+AC20)/2))/(AB$7))+(1-(((AB20+AC20)/2)))*LN((1-(((AB20+AC20)/2)))/(1-(AB$7)))-AB$6&lt;0,((AB20+AC20)/2),AB20)</f>
        <v>0.05997314453125</v>
      </c>
      <c r="AC21" s="37" t="n">
        <f aca="false">IF((((AB20+AC20)/2))*LN((((AB20+AC20)/2))/(AB$7))+(1-(((AB20+AC20)/2)))*LN((1-(((AB20+AC20)/2)))/(1-(AB$7)))-AB$6&lt;0,AC20,((AB20+AC20)/2))</f>
        <v>0.060205078125</v>
      </c>
      <c r="AD21" s="37" t="n">
        <f aca="false">IF((((AD20+AE20)/2))*LN((((AD20+AE20)/2))/(AD$7))+(1-(((AD20+AE20)/2)))*LN((1-(((AD20+AE20)/2)))/(1-(AD$7)))-AD$6&lt;0,((AD20+AE20)/2),AD20)</f>
        <v>0.067626953125</v>
      </c>
      <c r="AE21" s="37" t="n">
        <f aca="false">IF((((AD20+AE20)/2))*LN((((AD20+AE20)/2))/(AD$7))+(1-(((AD20+AE20)/2)))*LN((1-(((AD20+AE20)/2)))/(1-(AD$7)))-AD$6&lt;0,AE20,((AD20+AE20)/2))</f>
        <v>0.06785888671875</v>
      </c>
      <c r="AF21" s="37" t="n">
        <f aca="false">IF((((AF20+AG20)/2))*LN((((AF20+AG20)/2))/(AF$7))+(1-(((AF20+AG20)/2)))*LN((1-(((AF20+AG20)/2)))/(1-(AF$7)))-AF$6&lt;0,((AF20+AG20)/2),AF20)</f>
        <v>0.08363037109375</v>
      </c>
      <c r="AG21" s="37" t="n">
        <f aca="false">IF((((AF20+AG20)/2))*LN((((AF20+AG20)/2))/(AF$7))+(1-(((AF20+AG20)/2)))*LN((1-(((AF20+AG20)/2)))/(1-(AF$7)))-AF$6&lt;0,AG20,((AF20+AG20)/2))</f>
        <v>0.0838623046875</v>
      </c>
      <c r="AH21" s="37" t="n">
        <f aca="false">IF((((AH20+AI20)/2))*LN((((AH20+AI20)/2))/(AH$7))+(1-(((AH20+AI20)/2)))*LN((1-(((AH20+AI20)/2)))/(1-(AH$7)))-AH$6&lt;0,((AH20+AI20)/2),AH20)</f>
        <v>0.11146240234375</v>
      </c>
      <c r="AI21" s="37" t="n">
        <f aca="false">IF((((AH20+AI20)/2))*LN((((AH20+AI20)/2))/(AH$7))+(1-(((AH20+AI20)/2)))*LN((1-(((AH20+AI20)/2)))/(1-(AH$7)))-AH$6&lt;0,AI20,((AH20+AI20)/2))</f>
        <v>0.1116943359375</v>
      </c>
      <c r="AJ21" s="37" t="n">
        <f aca="false">IF((((AJ20+AK20)/2))*LN((((AJ20+AK20)/2))/(AJ$7))+(1-(((AJ20+AK20)/2)))*LN((1-(((AJ20+AK20)/2)))/(1-(AJ$7)))-AJ$6&lt;0,((AJ20+AK20)/2),AJ20)</f>
        <v>0.1729248046875</v>
      </c>
      <c r="AK21" s="37" t="n">
        <f aca="false">IF((((AJ20+AK20)/2))*LN((((AJ20+AK20)/2))/(AJ$7))+(1-(((AJ20+AK20)/2)))*LN((1-(((AJ20+AK20)/2)))/(1-(AJ$7)))-AJ$6&lt;0,AK20,((AJ20+AK20)/2))</f>
        <v>0.17315673828125</v>
      </c>
      <c r="AL21" s="37" t="n">
        <f aca="false">IF((((AL20+AM20)/2))*LN((((AL20+AM20)/2))/(AL$7))+(1-(((AL20+AM20)/2)))*LN((1-(((AL20+AM20)/2)))/(1-(AL$7)))-AL$6&lt;0,((AL20+AM20)/2),AL20)</f>
        <v>0.288427734375</v>
      </c>
      <c r="AM21" s="37" t="n">
        <f aca="false">IF((((AL20+AM20)/2))*LN((((AL20+AM20)/2))/(AL$7))+(1-(((AL20+AM20)/2)))*LN((1-(((AL20+AM20)/2)))/(1-(AL$7)))-AL$6&lt;0,AM20,((AL20+AM20)/2))</f>
        <v>0.28865966796875</v>
      </c>
      <c r="AN21" s="37" t="n">
        <f aca="false">IF((((AN20+AO20)/2))*LN((((AN20+AO20)/2))/(AN$7))+(1-(((AN20+AO20)/2)))*LN((1-(((AN20+AO20)/2)))/(1-(AN$7)))-AN$6&lt;0,((AN20+AO20)/2),AN20)</f>
        <v>0.555383300781249</v>
      </c>
      <c r="AO21" s="37" t="n">
        <f aca="false">IF((((AN20+AO20)/2))*LN((((AN20+AO20)/2))/(AN$7))+(1-(((AN20+AO20)/2)))*LN((1-(((AN20+AO20)/2)))/(1-(AN$7)))-AN$6&lt;0,AO20,((AN20+AO20)/2))</f>
        <v>0.555615234374999</v>
      </c>
      <c r="AP21" s="37" t="n">
        <f aca="false">IF(AP$7*LN(AP$7)-AP$7*((AP20+AQ20)/2)+(1-AP$7)*LN(1-AP$7)-(1-AP$7)*LN(1-EXP(((AP20+AQ20)/2)))-AP$6&gt;0,((AP20+AQ20)/2),AP20)</f>
        <v>-3.70559557988108</v>
      </c>
      <c r="AQ21" s="37" t="n">
        <f aca="false">IF(AP$7*LN(AP$7)-AP$7*((AP20+AQ20)/2)+(1-AP$7)*LN(1-AP$7)-(1-AP$7)*LN(1-EXP(((AP20+AQ20)/2)))-AP$6&gt;0,AQ20,((AP20+AQ20)/2))</f>
        <v>-3.6894623229191</v>
      </c>
      <c r="AR21" s="37" t="n">
        <f aca="false">IF((((AR20+AS20)/2))*LN((((AR20+AS20)/2))/(AR$7))+(1-(((AR20+AS20)/2)))*LN((1-(((AR20+AS20)/2)))/(1-(AR$7)))-AR$6&lt;0,((AR20+AS20)/2),AR20)</f>
        <v>0.08363037109375</v>
      </c>
      <c r="AS21" s="37" t="n">
        <f aca="false">IF((((AR20+AS20)/2))*LN((((AR20+AS20)/2))/(AR$7))+(1-(((AR20+AS20)/2)))*LN((1-(((AR20+AS20)/2)))/(1-(AR$7)))-AR$6&lt;0,AS20,((AR20+AS20)/2))</f>
        <v>0.0838623046875</v>
      </c>
    </row>
    <row r="22" customFormat="false" ht="15" hidden="false" customHeight="false" outlineLevel="0" collapsed="false">
      <c r="B22" s="37" t="n">
        <f aca="false">IF(B$7*LN(B$7)-B$7*((B21+C21)/2)+(1-B$7)*LN(1-B$7)-(1-B$7)*LN(1-EXP(((B21+C21)/2)))-B$6&gt;0,((B21+C21)/2),B21)</f>
        <v>-12.7482861070705</v>
      </c>
      <c r="C22" s="37" t="n">
        <f aca="false">IF(B$7*LN(B$7)-B$7*((B21+C21)/2)+(1-B$7)*LN(1-B$7)-(1-B$7)*LN(1-EXP(((B21+C21)/2)))-B$6&gt;0,C21,((B21+C21)/2))</f>
        <v>-12.7402194785895</v>
      </c>
      <c r="D22" s="37" t="n">
        <f aca="false">IF(D$7*LN(D$7)-D$7*((D21+E21)/2)+(1-D$7)*LN(1-D$7)-(1-D$7)*LN(1-EXP(((D21+E21)/2)))-D$6&gt;0,((D21+E21)/2),D21)</f>
        <v>-16.0394705273143</v>
      </c>
      <c r="E22" s="37" t="n">
        <f aca="false">IF(D$7*LN(D$7)-D$7*((D21+E21)/2)+(1-D$7)*LN(1-D$7)-(1-D$7)*LN(1-EXP(((D21+E21)/2)))-D$6&gt;0,E21,((D21+E21)/2))</f>
        <v>-16.0314038988333</v>
      </c>
      <c r="F22" s="37" t="n">
        <f aca="false">IF(F$7*LN(F$7)-F$7*((F21+G21)/2)+(1-F$7)*LN(1-F$7)-(1-F$7)*LN(1-EXP(((F21+G21)/2)))-F$6&gt;0,((F21+G21)/2),F21)</f>
        <v>-24.8078956861501</v>
      </c>
      <c r="G22" s="37" t="n">
        <f aca="false">IF(F$7*LN(F$7)-F$7*((F21+G21)/2)+(1-F$7)*LN(1-F$7)-(1-F$7)*LN(1-EXP(((F21+G21)/2)))-F$6&gt;0,G21,((F21+G21)/2))</f>
        <v>-24.7998290576691</v>
      </c>
      <c r="H22" s="37" t="n">
        <f aca="false">IF(H$7*LN(H$7)-H$7*((H21+I21)/2)+(1-H$7)*LN(1-H$7)-(1-H$7)*LN(1-EXP(((H21+I21)/2)))-H$6&gt;0,((H21+I21)/2),H21)</f>
        <v>-3.20546461405972</v>
      </c>
      <c r="I22" s="37" t="n">
        <f aca="false">IF(H$7*LN(H$7)-H$7*((H21+I21)/2)+(1-H$7)*LN(1-H$7)-(1-H$7)*LN(1-EXP(((H21+I21)/2)))-H$6&gt;0,I21,((H21+I21)/2))</f>
        <v>-3.19739798557873</v>
      </c>
      <c r="J22" s="37" t="n">
        <f aca="false">IF(J$7*LN(J$7)-J$7*((J21+K21)/2)+(1-J$7)*LN(1-J$7)-(1-J$7)*LN(1-EXP(((J21+K21)/2)))-J$6&gt;0,((J21+K21)/2),J21)</f>
        <v>-3.28613089886962</v>
      </c>
      <c r="K22" s="37" t="n">
        <f aca="false">IF(J$7*LN(J$7)-J$7*((J21+K21)/2)+(1-J$7)*LN(1-J$7)-(1-J$7)*LN(1-EXP(((J21+K21)/2)))-J$6&gt;0,K21,((J21+K21)/2))</f>
        <v>-3.27806427038863</v>
      </c>
      <c r="L22" s="37" t="n">
        <f aca="false">IF(L$7*LN(L$7)-L$7*((L21+M21)/2)+(1-L$7)*LN(1-L$7)-(1-L$7)*LN(1-EXP(((L21+M21)/2)))-L$6&gt;0,((L21+M21)/2),L21)</f>
        <v>-3.47166335393238</v>
      </c>
      <c r="M22" s="37" t="n">
        <f aca="false">IF(L$7*LN(L$7)-L$7*((L21+M21)/2)+(1-L$7)*LN(1-L$7)-(1-L$7)*LN(1-EXP(((L21+M21)/2)))-L$6&gt;0,M21,((L21+M21)/2))</f>
        <v>-3.46359672545139</v>
      </c>
      <c r="N22" s="37" t="n">
        <f aca="false">IF(N$7*LN(N$7)-N$7*((N21+O21)/2)+(1-N$7)*LN(1-N$7)-(1-N$7)*LN(1-EXP(((N21+O21)/2)))-N$6&gt;0,((N21+O21)/2),N21)</f>
        <v>-3.69752895140009</v>
      </c>
      <c r="O22" s="37" t="n">
        <f aca="false">IF(N$7*LN(N$7)-N$7*((N21+O21)/2)+(1-N$7)*LN(1-N$7)-(1-N$7)*LN(1-EXP(((N21+O21)/2)))-N$6&gt;0,O21,((N21+O21)/2))</f>
        <v>-3.6894623229191</v>
      </c>
      <c r="P22" s="37" t="n">
        <f aca="false">IF(P$7*LN(P$7)-P$7*((P21+Q21)/2)+(1-P$7)*LN(1-P$7)-(1-P$7)*LN(1-EXP(((P21+Q21)/2)))-P$6&gt;0,((P21+Q21)/2),P21)</f>
        <v>-4.03632734760166</v>
      </c>
      <c r="Q22" s="37" t="n">
        <f aca="false">IF(P$7*LN(P$7)-P$7*((P21+Q21)/2)+(1-P$7)*LN(1-P$7)-(1-P$7)*LN(1-EXP(((P21+Q21)/2)))-P$6&gt;0,Q21,((P21+Q21)/2))</f>
        <v>-4.02826071912067</v>
      </c>
      <c r="R22" s="37" t="n">
        <f aca="false">IF(R$7*LN(R$7)-R$7*((R21+S21)/2)+(1-R$7)*LN(1-R$7)-(1-R$7)*LN(1-EXP(((R21+S21)/2)))-R$6&gt;0,((R21+S21)/2),R21)</f>
        <v>-4.3186593444363</v>
      </c>
      <c r="S22" s="37" t="n">
        <f aca="false">IF(R$7*LN(R$7)-R$7*((R21+S21)/2)+(1-R$7)*LN(1-R$7)-(1-R$7)*LN(1-EXP(((R21+S21)/2)))-R$6&gt;0,S21,((R21+S21)/2))</f>
        <v>-4.31059271595531</v>
      </c>
      <c r="T22" s="37" t="n">
        <f aca="false">IF(T$7*LN(T$7)-T$7*((T21+U21)/2)+(1-T$7)*LN(1-T$7)-(1-T$7)*LN(1-EXP(((T21+U21)/2)))-T$6&gt;0,((T21+U21)/2),T21)</f>
        <v>-4.81879031025766</v>
      </c>
      <c r="U22" s="37" t="n">
        <f aca="false">IF(T$7*LN(T$7)-T$7*((T21+U21)/2)+(1-T$7)*LN(1-T$7)-(1-T$7)*LN(1-EXP(((T21+U21)/2)))-T$6&gt;0,U21,((T21+U21)/2))</f>
        <v>-4.81072368177667</v>
      </c>
      <c r="V22" s="37" t="n">
        <f aca="false">IF(V$7*LN(V$7)-V$7*((V21+W21)/2)+(1-V$7)*LN(1-V$7)-(1-V$7)*LN(1-EXP(((V21+W21)/2)))-V$6&gt;0,((V21+W21)/2),V21)</f>
        <v>-5.38345430392693</v>
      </c>
      <c r="W22" s="37" t="n">
        <f aca="false">IF(V$7*LN(V$7)-V$7*((V21+W21)/2)+(1-V$7)*LN(1-V$7)-(1-V$7)*LN(1-EXP(((V21+W21)/2)))-V$6&gt;0,W21,((V21+W21)/2))</f>
        <v>-5.37538767544594</v>
      </c>
      <c r="X22" s="37" t="n">
        <f aca="false">IF(X$7*LN(X$7)-X$7*((X21+Y21)/2)+(1-X$7)*LN(1-X$7)-(1-X$7)*LN(1-EXP(((X21+Y21)/2)))-X$6&gt;0,((X21+Y21)/2),X21)</f>
        <v>-5.92391841215324</v>
      </c>
      <c r="Y22" s="37" t="n">
        <f aca="false">IF(X$7*LN(X$7)-X$7*((X21+Y21)/2)+(1-X$7)*LN(1-X$7)-(1-X$7)*LN(1-EXP(((X21+Y21)/2)))-X$6&gt;0,Y21,((X21+Y21)/2))</f>
        <v>-5.91585178367225</v>
      </c>
      <c r="Z22" s="37" t="n">
        <f aca="false">IF(Z$7*LN(Z$7)-Z$7*((Z21+AA21)/2)+(1-Z$7)*LN(1-Z$7)-(1-Z$7)*LN(1-EXP(((Z21+AA21)/2)))-Z$6&gt;0,((Z21+AA21)/2),Z21)</f>
        <v>-6.95644685771992</v>
      </c>
      <c r="AA22" s="37" t="n">
        <f aca="false">IF(Z$7*LN(Z$7)-Z$7*((Z21+AA21)/2)+(1-Z$7)*LN(1-Z$7)-(1-Z$7)*LN(1-EXP(((Z21+AA21)/2)))-Z$6&gt;0,AA21,((Z21+AA21)/2))</f>
        <v>-6.94838022923893</v>
      </c>
      <c r="AB22" s="37" t="n">
        <f aca="false">IF((((AB21+AC21)/2))*LN((((AB21+AC21)/2))/(AB$7))+(1-(((AB21+AC21)/2)))*LN((1-(((AB21+AC21)/2)))/(1-(AB$7)))-AB$6&lt;0,((AB21+AC21)/2),AB21)</f>
        <v>0.05997314453125</v>
      </c>
      <c r="AC22" s="37" t="n">
        <f aca="false">IF((((AB21+AC21)/2))*LN((((AB21+AC21)/2))/(AB$7))+(1-(((AB21+AC21)/2)))*LN((1-(((AB21+AC21)/2)))/(1-(AB$7)))-AB$6&lt;0,AC21,((AB21+AC21)/2))</f>
        <v>0.060089111328125</v>
      </c>
      <c r="AD22" s="37" t="n">
        <f aca="false">IF((((AD21+AE21)/2))*LN((((AD21+AE21)/2))/(AD$7))+(1-(((AD21+AE21)/2)))*LN((1-(((AD21+AE21)/2)))/(1-(AD$7)))-AD$6&lt;0,((AD21+AE21)/2),AD21)</f>
        <v>0.067742919921875</v>
      </c>
      <c r="AE22" s="37" t="n">
        <f aca="false">IF((((AD21+AE21)/2))*LN((((AD21+AE21)/2))/(AD$7))+(1-(((AD21+AE21)/2)))*LN((1-(((AD21+AE21)/2)))/(1-(AD$7)))-AD$6&lt;0,AE21,((AD21+AE21)/2))</f>
        <v>0.06785888671875</v>
      </c>
      <c r="AF22" s="37" t="n">
        <f aca="false">IF((((AF21+AG21)/2))*LN((((AF21+AG21)/2))/(AF$7))+(1-(((AF21+AG21)/2)))*LN((1-(((AF21+AG21)/2)))/(1-(AF$7)))-AF$6&lt;0,((AF21+AG21)/2),AF21)</f>
        <v>0.08363037109375</v>
      </c>
      <c r="AG22" s="37" t="n">
        <f aca="false">IF((((AF21+AG21)/2))*LN((((AF21+AG21)/2))/(AF$7))+(1-(((AF21+AG21)/2)))*LN((1-(((AF21+AG21)/2)))/(1-(AF$7)))-AF$6&lt;0,AG21,((AF21+AG21)/2))</f>
        <v>0.083746337890625</v>
      </c>
      <c r="AH22" s="37" t="n">
        <f aca="false">IF((((AH21+AI21)/2))*LN((((AH21+AI21)/2))/(AH$7))+(1-(((AH21+AI21)/2)))*LN((1-(((AH21+AI21)/2)))/(1-(AH$7)))-AH$6&lt;0,((AH21+AI21)/2),AH21)</f>
        <v>0.11146240234375</v>
      </c>
      <c r="AI22" s="37" t="n">
        <f aca="false">IF((((AH21+AI21)/2))*LN((((AH21+AI21)/2))/(AH$7))+(1-(((AH21+AI21)/2)))*LN((1-(((AH21+AI21)/2)))/(1-(AH$7)))-AH$6&lt;0,AI21,((AH21+AI21)/2))</f>
        <v>0.111578369140625</v>
      </c>
      <c r="AJ22" s="37" t="n">
        <f aca="false">IF((((AJ21+AK21)/2))*LN((((AJ21+AK21)/2))/(AJ$7))+(1-(((AJ21+AK21)/2)))*LN((1-(((AJ21+AK21)/2)))/(1-(AJ$7)))-AJ$6&lt;0,((AJ21+AK21)/2),AJ21)</f>
        <v>0.1729248046875</v>
      </c>
      <c r="AK22" s="37" t="n">
        <f aca="false">IF((((AJ21+AK21)/2))*LN((((AJ21+AK21)/2))/(AJ$7))+(1-(((AJ21+AK21)/2)))*LN((1-(((AJ21+AK21)/2)))/(1-(AJ$7)))-AJ$6&lt;0,AK21,((AJ21+AK21)/2))</f>
        <v>0.173040771484375</v>
      </c>
      <c r="AL22" s="37" t="n">
        <f aca="false">IF((((AL21+AM21)/2))*LN((((AL21+AM21)/2))/(AL$7))+(1-(((AL21+AM21)/2)))*LN((1-(((AL21+AM21)/2)))/(1-(AL$7)))-AL$6&lt;0,((AL21+AM21)/2),AL21)</f>
        <v>0.288427734375</v>
      </c>
      <c r="AM22" s="37" t="n">
        <f aca="false">IF((((AL21+AM21)/2))*LN((((AL21+AM21)/2))/(AL$7))+(1-(((AL21+AM21)/2)))*LN((1-(((AL21+AM21)/2)))/(1-(AL$7)))-AL$6&lt;0,AM21,((AL21+AM21)/2))</f>
        <v>0.288543701171875</v>
      </c>
      <c r="AN22" s="37" t="n">
        <f aca="false">IF((((AN21+AO21)/2))*LN((((AN21+AO21)/2))/(AN$7))+(1-(((AN21+AO21)/2)))*LN((1-(((AN21+AO21)/2)))/(1-(AN$7)))-AN$6&lt;0,((AN21+AO21)/2),AN21)</f>
        <v>0.555499267578124</v>
      </c>
      <c r="AO22" s="37" t="n">
        <f aca="false">IF((((AN21+AO21)/2))*LN((((AN21+AO21)/2))/(AN$7))+(1-(((AN21+AO21)/2)))*LN((1-(((AN21+AO21)/2)))/(1-(AN$7)))-AN$6&lt;0,AO21,((AN21+AO21)/2))</f>
        <v>0.555615234374999</v>
      </c>
      <c r="AP22" s="37" t="n">
        <f aca="false">IF(AP$7*LN(AP$7)-AP$7*((AP21+AQ21)/2)+(1-AP$7)*LN(1-AP$7)-(1-AP$7)*LN(1-EXP(((AP21+AQ21)/2)))-AP$6&gt;0,((AP21+AQ21)/2),AP21)</f>
        <v>-3.69752895140009</v>
      </c>
      <c r="AQ22" s="37" t="n">
        <f aca="false">IF(AP$7*LN(AP$7)-AP$7*((AP21+AQ21)/2)+(1-AP$7)*LN(1-AP$7)-(1-AP$7)*LN(1-EXP(((AP21+AQ21)/2)))-AP$6&gt;0,AQ21,((AP21+AQ21)/2))</f>
        <v>-3.6894623229191</v>
      </c>
      <c r="AR22" s="37" t="n">
        <f aca="false">IF((((AR21+AS21)/2))*LN((((AR21+AS21)/2))/(AR$7))+(1-(((AR21+AS21)/2)))*LN((1-(((AR21+AS21)/2)))/(1-(AR$7)))-AR$6&lt;0,((AR21+AS21)/2),AR21)</f>
        <v>0.08363037109375</v>
      </c>
      <c r="AS22" s="37" t="n">
        <f aca="false">IF((((AR21+AS21)/2))*LN((((AR21+AS21)/2))/(AR$7))+(1-(((AR21+AS21)/2)))*LN((1-(((AR21+AS21)/2)))/(1-(AR$7)))-AR$6&lt;0,AS21,((AR21+AS21)/2))</f>
        <v>0.083746337890625</v>
      </c>
    </row>
    <row r="23" customFormat="false" ht="15" hidden="false" customHeight="false" outlineLevel="0" collapsed="false">
      <c r="B23" s="37" t="n">
        <f aca="false">IF(B$7*LN(B$7)-B$7*((B22+C22)/2)+(1-B$7)*LN(1-B$7)-(1-B$7)*LN(1-EXP(((B22+C22)/2)))-B$6&gt;0,((B22+C22)/2),B22)</f>
        <v>-12.74425279283</v>
      </c>
      <c r="C23" s="37" t="n">
        <f aca="false">IF(B$7*LN(B$7)-B$7*((B22+C22)/2)+(1-B$7)*LN(1-B$7)-(1-B$7)*LN(1-EXP(((B22+C22)/2)))-B$6&gt;0,C22,((B22+C22)/2))</f>
        <v>-12.7402194785895</v>
      </c>
      <c r="D23" s="37" t="n">
        <f aca="false">IF(D$7*LN(D$7)-D$7*((D22+E22)/2)+(1-D$7)*LN(1-D$7)-(1-D$7)*LN(1-EXP(((D22+E22)/2)))-D$6&gt;0,((D22+E22)/2),D22)</f>
        <v>-16.0354372130738</v>
      </c>
      <c r="E23" s="37" t="n">
        <f aca="false">IF(D$7*LN(D$7)-D$7*((D22+E22)/2)+(1-D$7)*LN(1-D$7)-(1-D$7)*LN(1-EXP(((D22+E22)/2)))-D$6&gt;0,E22,((D22+E22)/2))</f>
        <v>-16.0314038988333</v>
      </c>
      <c r="F23" s="37" t="n">
        <f aca="false">IF(F$7*LN(F$7)-F$7*((F22+G22)/2)+(1-F$7)*LN(1-F$7)-(1-F$7)*LN(1-EXP(((F22+G22)/2)))-F$6&gt;0,((F22+G22)/2),F22)</f>
        <v>-24.8078956861501</v>
      </c>
      <c r="G23" s="37" t="n">
        <f aca="false">IF(F$7*LN(F$7)-F$7*((F22+G22)/2)+(1-F$7)*LN(1-F$7)-(1-F$7)*LN(1-EXP(((F22+G22)/2)))-F$6&gt;0,G22,((F22+G22)/2))</f>
        <v>-24.8038623719096</v>
      </c>
      <c r="H23" s="37" t="n">
        <f aca="false">IF(H$7*LN(H$7)-H$7*((H22+I22)/2)+(1-H$7)*LN(1-H$7)-(1-H$7)*LN(1-EXP(((H22+I22)/2)))-H$6&gt;0,((H22+I22)/2),H22)</f>
        <v>-3.20143129981923</v>
      </c>
      <c r="I23" s="37" t="n">
        <f aca="false">IF(H$7*LN(H$7)-H$7*((H22+I22)/2)+(1-H$7)*LN(1-H$7)-(1-H$7)*LN(1-EXP(((H22+I22)/2)))-H$6&gt;0,I22,((H22+I22)/2))</f>
        <v>-3.19739798557873</v>
      </c>
      <c r="J23" s="37" t="n">
        <f aca="false">IF(J$7*LN(J$7)-J$7*((J22+K22)/2)+(1-J$7)*LN(1-J$7)-(1-J$7)*LN(1-EXP(((J22+K22)/2)))-J$6&gt;0,((J22+K22)/2),J22)</f>
        <v>-3.28613089886962</v>
      </c>
      <c r="K23" s="37" t="n">
        <f aca="false">IF(J$7*LN(J$7)-J$7*((J22+K22)/2)+(1-J$7)*LN(1-J$7)-(1-J$7)*LN(1-EXP(((J22+K22)/2)))-J$6&gt;0,K22,((J22+K22)/2))</f>
        <v>-3.28209758462912</v>
      </c>
      <c r="L23" s="37" t="n">
        <f aca="false">IF(L$7*LN(L$7)-L$7*((L22+M22)/2)+(1-L$7)*LN(1-L$7)-(1-L$7)*LN(1-EXP(((L22+M22)/2)))-L$6&gt;0,((L22+M22)/2),L22)</f>
        <v>-3.47166335393238</v>
      </c>
      <c r="M23" s="37" t="n">
        <f aca="false">IF(L$7*LN(L$7)-L$7*((L22+M22)/2)+(1-L$7)*LN(1-L$7)-(1-L$7)*LN(1-EXP(((L22+M22)/2)))-L$6&gt;0,M22,((L22+M22)/2))</f>
        <v>-3.46763003969189</v>
      </c>
      <c r="N23" s="37" t="n">
        <f aca="false">IF(N$7*LN(N$7)-N$7*((N22+O22)/2)+(1-N$7)*LN(1-N$7)-(1-N$7)*LN(1-EXP(((N22+O22)/2)))-N$6&gt;0,((N22+O22)/2),N22)</f>
        <v>-3.6934956371596</v>
      </c>
      <c r="O23" s="37" t="n">
        <f aca="false">IF(N$7*LN(N$7)-N$7*((N22+O22)/2)+(1-N$7)*LN(1-N$7)-(1-N$7)*LN(1-EXP(((N22+O22)/2)))-N$6&gt;0,O22,((N22+O22)/2))</f>
        <v>-3.6894623229191</v>
      </c>
      <c r="P23" s="37" t="n">
        <f aca="false">IF(P$7*LN(P$7)-P$7*((P22+Q22)/2)+(1-P$7)*LN(1-P$7)-(1-P$7)*LN(1-EXP(((P22+Q22)/2)))-P$6&gt;0,((P22+Q22)/2),P22)</f>
        <v>-4.03229403336116</v>
      </c>
      <c r="Q23" s="37" t="n">
        <f aca="false">IF(P$7*LN(P$7)-P$7*((P22+Q22)/2)+(1-P$7)*LN(1-P$7)-(1-P$7)*LN(1-EXP(((P22+Q22)/2)))-P$6&gt;0,Q22,((P22+Q22)/2))</f>
        <v>-4.02826071912067</v>
      </c>
      <c r="R23" s="37" t="n">
        <f aca="false">IF(R$7*LN(R$7)-R$7*((R22+S22)/2)+(1-R$7)*LN(1-R$7)-(1-R$7)*LN(1-EXP(((R22+S22)/2)))-R$6&gt;0,((R22+S22)/2),R22)</f>
        <v>-4.3146260301958</v>
      </c>
      <c r="S23" s="37" t="n">
        <f aca="false">IF(R$7*LN(R$7)-R$7*((R22+S22)/2)+(1-R$7)*LN(1-R$7)-(1-R$7)*LN(1-EXP(((R22+S22)/2)))-R$6&gt;0,S22,((R22+S22)/2))</f>
        <v>-4.31059271595531</v>
      </c>
      <c r="T23" s="37" t="n">
        <f aca="false">IF(T$7*LN(T$7)-T$7*((T22+U22)/2)+(1-T$7)*LN(1-T$7)-(1-T$7)*LN(1-EXP(((T22+U22)/2)))-T$6&gt;0,((T22+U22)/2),T22)</f>
        <v>-4.81879031025766</v>
      </c>
      <c r="U23" s="37" t="n">
        <f aca="false">IF(T$7*LN(T$7)-T$7*((T22+U22)/2)+(1-T$7)*LN(1-T$7)-(1-T$7)*LN(1-EXP(((T22+U22)/2)))-T$6&gt;0,U22,((T22+U22)/2))</f>
        <v>-4.81475699601716</v>
      </c>
      <c r="V23" s="37" t="n">
        <f aca="false">IF(V$7*LN(V$7)-V$7*((V22+W22)/2)+(1-V$7)*LN(1-V$7)-(1-V$7)*LN(1-EXP(((V22+W22)/2)))-V$6&gt;0,((V22+W22)/2),V22)</f>
        <v>-5.38345430392693</v>
      </c>
      <c r="W23" s="37" t="n">
        <f aca="false">IF(V$7*LN(V$7)-V$7*((V22+W22)/2)+(1-V$7)*LN(1-V$7)-(1-V$7)*LN(1-EXP(((V22+W22)/2)))-V$6&gt;0,W22,((V22+W22)/2))</f>
        <v>-5.37942098968644</v>
      </c>
      <c r="X23" s="37" t="n">
        <f aca="false">IF(X$7*LN(X$7)-X$7*((X22+Y22)/2)+(1-X$7)*LN(1-X$7)-(1-X$7)*LN(1-EXP(((X22+Y22)/2)))-X$6&gt;0,((X22+Y22)/2),X22)</f>
        <v>-5.91988509791275</v>
      </c>
      <c r="Y23" s="37" t="n">
        <f aca="false">IF(X$7*LN(X$7)-X$7*((X22+Y22)/2)+(1-X$7)*LN(1-X$7)-(1-X$7)*LN(1-EXP(((X22+Y22)/2)))-X$6&gt;0,Y22,((X22+Y22)/2))</f>
        <v>-5.91585178367225</v>
      </c>
      <c r="Z23" s="37" t="n">
        <f aca="false">IF(Z$7*LN(Z$7)-Z$7*((Z22+AA22)/2)+(1-Z$7)*LN(1-Z$7)-(1-Z$7)*LN(1-EXP(((Z22+AA22)/2)))-Z$6&gt;0,((Z22+AA22)/2),Z22)</f>
        <v>-6.95241354347943</v>
      </c>
      <c r="AA23" s="37" t="n">
        <f aca="false">IF(Z$7*LN(Z$7)-Z$7*((Z22+AA22)/2)+(1-Z$7)*LN(1-Z$7)-(1-Z$7)*LN(1-EXP(((Z22+AA22)/2)))-Z$6&gt;0,AA22,((Z22+AA22)/2))</f>
        <v>-6.94838022923893</v>
      </c>
      <c r="AB23" s="37" t="n">
        <f aca="false">IF((((AB22+AC22)/2))*LN((((AB22+AC22)/2))/(AB$7))+(1-(((AB22+AC22)/2)))*LN((1-(((AB22+AC22)/2)))/(1-(AB$7)))-AB$6&lt;0,((AB22+AC22)/2),AB22)</f>
        <v>0.0600311279296875</v>
      </c>
      <c r="AC23" s="37" t="n">
        <f aca="false">IF((((AB22+AC22)/2))*LN((((AB22+AC22)/2))/(AB$7))+(1-(((AB22+AC22)/2)))*LN((1-(((AB22+AC22)/2)))/(1-(AB$7)))-AB$6&lt;0,AC22,((AB22+AC22)/2))</f>
        <v>0.060089111328125</v>
      </c>
      <c r="AD23" s="37" t="n">
        <f aca="false">IF((((AD22+AE22)/2))*LN((((AD22+AE22)/2))/(AD$7))+(1-(((AD22+AE22)/2)))*LN((1-(((AD22+AE22)/2)))/(1-(AD$7)))-AD$6&lt;0,((AD22+AE22)/2),AD22)</f>
        <v>0.067742919921875</v>
      </c>
      <c r="AE23" s="37" t="n">
        <f aca="false">IF((((AD22+AE22)/2))*LN((((AD22+AE22)/2))/(AD$7))+(1-(((AD22+AE22)/2)))*LN((1-(((AD22+AE22)/2)))/(1-(AD$7)))-AD$6&lt;0,AE22,((AD22+AE22)/2))</f>
        <v>0.0678009033203125</v>
      </c>
      <c r="AF23" s="37" t="n">
        <f aca="false">IF((((AF22+AG22)/2))*LN((((AF22+AG22)/2))/(AF$7))+(1-(((AF22+AG22)/2)))*LN((1-(((AF22+AG22)/2)))/(1-(AF$7)))-AF$6&lt;0,((AF22+AG22)/2),AF22)</f>
        <v>0.08363037109375</v>
      </c>
      <c r="AG23" s="37" t="n">
        <f aca="false">IF((((AF22+AG22)/2))*LN((((AF22+AG22)/2))/(AF$7))+(1-(((AF22+AG22)/2)))*LN((1-(((AF22+AG22)/2)))/(1-(AF$7)))-AF$6&lt;0,AG22,((AF22+AG22)/2))</f>
        <v>0.0836883544921875</v>
      </c>
      <c r="AH23" s="37" t="n">
        <f aca="false">IF((((AH22+AI22)/2))*LN((((AH22+AI22)/2))/(AH$7))+(1-(((AH22+AI22)/2)))*LN((1-(((AH22+AI22)/2)))/(1-(AH$7)))-AH$6&lt;0,((AH22+AI22)/2),AH22)</f>
        <v>0.111520385742187</v>
      </c>
      <c r="AI23" s="37" t="n">
        <f aca="false">IF((((AH22+AI22)/2))*LN((((AH22+AI22)/2))/(AH$7))+(1-(((AH22+AI22)/2)))*LN((1-(((AH22+AI22)/2)))/(1-(AH$7)))-AH$6&lt;0,AI22,((AH22+AI22)/2))</f>
        <v>0.111578369140625</v>
      </c>
      <c r="AJ23" s="37" t="n">
        <f aca="false">IF((((AJ22+AK22)/2))*LN((((AJ22+AK22)/2))/(AJ$7))+(1-(((AJ22+AK22)/2)))*LN((1-(((AJ22+AK22)/2)))/(1-(AJ$7)))-AJ$6&lt;0,((AJ22+AK22)/2),AJ22)</f>
        <v>0.1729248046875</v>
      </c>
      <c r="AK23" s="37" t="n">
        <f aca="false">IF((((AJ22+AK22)/2))*LN((((AJ22+AK22)/2))/(AJ$7))+(1-(((AJ22+AK22)/2)))*LN((1-(((AJ22+AK22)/2)))/(1-(AJ$7)))-AJ$6&lt;0,AK22,((AJ22+AK22)/2))</f>
        <v>0.172982788085937</v>
      </c>
      <c r="AL23" s="37" t="n">
        <f aca="false">IF((((AL22+AM22)/2))*LN((((AL22+AM22)/2))/(AL$7))+(1-(((AL22+AM22)/2)))*LN((1-(((AL22+AM22)/2)))/(1-(AL$7)))-AL$6&lt;0,((AL22+AM22)/2),AL22)</f>
        <v>0.288485717773437</v>
      </c>
      <c r="AM23" s="37" t="n">
        <f aca="false">IF((((AL22+AM22)/2))*LN((((AL22+AM22)/2))/(AL$7))+(1-(((AL22+AM22)/2)))*LN((1-(((AL22+AM22)/2)))/(1-(AL$7)))-AL$6&lt;0,AM22,((AL22+AM22)/2))</f>
        <v>0.288543701171875</v>
      </c>
      <c r="AN23" s="37" t="n">
        <f aca="false">IF((((AN22+AO22)/2))*LN((((AN22+AO22)/2))/(AN$7))+(1-(((AN22+AO22)/2)))*LN((1-(((AN22+AO22)/2)))/(1-(AN$7)))-AN$6&lt;0,((AN22+AO22)/2),AN22)</f>
        <v>0.555499267578124</v>
      </c>
      <c r="AO23" s="37" t="n">
        <f aca="false">IF((((AN22+AO22)/2))*LN((((AN22+AO22)/2))/(AN$7))+(1-(((AN22+AO22)/2)))*LN((1-(((AN22+AO22)/2)))/(1-(AN$7)))-AN$6&lt;0,AO22,((AN22+AO22)/2))</f>
        <v>0.555557250976562</v>
      </c>
      <c r="AP23" s="37" t="n">
        <f aca="false">IF(AP$7*LN(AP$7)-AP$7*((AP22+AQ22)/2)+(1-AP$7)*LN(1-AP$7)-(1-AP$7)*LN(1-EXP(((AP22+AQ22)/2)))-AP$6&gt;0,((AP22+AQ22)/2),AP22)</f>
        <v>-3.6934956371596</v>
      </c>
      <c r="AQ23" s="37" t="n">
        <f aca="false">IF(AP$7*LN(AP$7)-AP$7*((AP22+AQ22)/2)+(1-AP$7)*LN(1-AP$7)-(1-AP$7)*LN(1-EXP(((AP22+AQ22)/2)))-AP$6&gt;0,AQ22,((AP22+AQ22)/2))</f>
        <v>-3.6894623229191</v>
      </c>
      <c r="AR23" s="37" t="n">
        <f aca="false">IF((((AR22+AS22)/2))*LN((((AR22+AS22)/2))/(AR$7))+(1-(((AR22+AS22)/2)))*LN((1-(((AR22+AS22)/2)))/(1-(AR$7)))-AR$6&lt;0,((AR22+AS22)/2),AR22)</f>
        <v>0.08363037109375</v>
      </c>
      <c r="AS23" s="37" t="n">
        <f aca="false">IF((((AR22+AS22)/2))*LN((((AR22+AS22)/2))/(AR$7))+(1-(((AR22+AS22)/2)))*LN((1-(((AR22+AS22)/2)))/(1-(AR$7)))-AR$6&lt;0,AS22,((AR22+AS22)/2))</f>
        <v>0.0836883544921875</v>
      </c>
    </row>
    <row r="24" customFormat="false" ht="15" hidden="false" customHeight="false" outlineLevel="0" collapsed="false">
      <c r="B24" s="37" t="n">
        <f aca="false">IF(B$7*LN(B$7)-B$7*((B23+C23)/2)+(1-B$7)*LN(1-B$7)-(1-B$7)*LN(1-EXP(((B23+C23)/2)))-B$6&gt;0,((B23+C23)/2),B23)</f>
        <v>-12.7422361357098</v>
      </c>
      <c r="C24" s="37" t="n">
        <f aca="false">IF(B$7*LN(B$7)-B$7*((B23+C23)/2)+(1-B$7)*LN(1-B$7)-(1-B$7)*LN(1-EXP(((B23+C23)/2)))-B$6&gt;0,C23,((B23+C23)/2))</f>
        <v>-12.7402194785895</v>
      </c>
      <c r="D24" s="37" t="n">
        <f aca="false">IF(D$7*LN(D$7)-D$7*((D23+E23)/2)+(1-D$7)*LN(1-D$7)-(1-D$7)*LN(1-EXP(((D23+E23)/2)))-D$6&gt;0,((D23+E23)/2),D23)</f>
        <v>-16.0354372130738</v>
      </c>
      <c r="E24" s="37" t="n">
        <f aca="false">IF(D$7*LN(D$7)-D$7*((D23+E23)/2)+(1-D$7)*LN(1-D$7)-(1-D$7)*LN(1-EXP(((D23+E23)/2)))-D$6&gt;0,E23,((D23+E23)/2))</f>
        <v>-16.0334205559535</v>
      </c>
      <c r="F24" s="37" t="n">
        <f aca="false">IF(F$7*LN(F$7)-F$7*((F23+G23)/2)+(1-F$7)*LN(1-F$7)-(1-F$7)*LN(1-EXP(((F23+G23)/2)))-F$6&gt;0,((F23+G23)/2),F23)</f>
        <v>-24.8058790290298</v>
      </c>
      <c r="G24" s="37" t="n">
        <f aca="false">IF(F$7*LN(F$7)-F$7*((F23+G23)/2)+(1-F$7)*LN(1-F$7)-(1-F$7)*LN(1-EXP(((F23+G23)/2)))-F$6&gt;0,G23,((F23+G23)/2))</f>
        <v>-24.8038623719096</v>
      </c>
      <c r="H24" s="37" t="n">
        <f aca="false">IF(H$7*LN(H$7)-H$7*((H23+I23)/2)+(1-H$7)*LN(1-H$7)-(1-H$7)*LN(1-EXP(((H23+I23)/2)))-H$6&gt;0,((H23+I23)/2),H23)</f>
        <v>-3.19941464269898</v>
      </c>
      <c r="I24" s="37" t="n">
        <f aca="false">IF(H$7*LN(H$7)-H$7*((H23+I23)/2)+(1-H$7)*LN(1-H$7)-(1-H$7)*LN(1-EXP(((H23+I23)/2)))-H$6&gt;0,I23,((H23+I23)/2))</f>
        <v>-3.19739798557873</v>
      </c>
      <c r="J24" s="37" t="n">
        <f aca="false">IF(J$7*LN(J$7)-J$7*((J23+K23)/2)+(1-J$7)*LN(1-J$7)-(1-J$7)*LN(1-EXP(((J23+K23)/2)))-J$6&gt;0,((J23+K23)/2),J23)</f>
        <v>-3.28613089886962</v>
      </c>
      <c r="K24" s="37" t="n">
        <f aca="false">IF(J$7*LN(J$7)-J$7*((J23+K23)/2)+(1-J$7)*LN(1-J$7)-(1-J$7)*LN(1-EXP(((J23+K23)/2)))-J$6&gt;0,K23,((J23+K23)/2))</f>
        <v>-3.28411424174937</v>
      </c>
      <c r="L24" s="37" t="n">
        <f aca="false">IF(L$7*LN(L$7)-L$7*((L23+M23)/2)+(1-L$7)*LN(1-L$7)-(1-L$7)*LN(1-EXP(((L23+M23)/2)))-L$6&gt;0,((L23+M23)/2),L23)</f>
        <v>-3.46964669681213</v>
      </c>
      <c r="M24" s="37" t="n">
        <f aca="false">IF(L$7*LN(L$7)-L$7*((L23+M23)/2)+(1-L$7)*LN(1-L$7)-(1-L$7)*LN(1-EXP(((L23+M23)/2)))-L$6&gt;0,M23,((L23+M23)/2))</f>
        <v>-3.46763003969189</v>
      </c>
      <c r="N24" s="37" t="n">
        <f aca="false">IF(N$7*LN(N$7)-N$7*((N23+O23)/2)+(1-N$7)*LN(1-N$7)-(1-N$7)*LN(1-EXP(((N23+O23)/2)))-N$6&gt;0,((N23+O23)/2),N23)</f>
        <v>-3.69147898003935</v>
      </c>
      <c r="O24" s="37" t="n">
        <f aca="false">IF(N$7*LN(N$7)-N$7*((N23+O23)/2)+(1-N$7)*LN(1-N$7)-(1-N$7)*LN(1-EXP(((N23+O23)/2)))-N$6&gt;0,O23,((N23+O23)/2))</f>
        <v>-3.6894623229191</v>
      </c>
      <c r="P24" s="37" t="n">
        <f aca="false">IF(P$7*LN(P$7)-P$7*((P23+Q23)/2)+(1-P$7)*LN(1-P$7)-(1-P$7)*LN(1-EXP(((P23+Q23)/2)))-P$6&gt;0,((P23+Q23)/2),P23)</f>
        <v>-4.03027737624092</v>
      </c>
      <c r="Q24" s="37" t="n">
        <f aca="false">IF(P$7*LN(P$7)-P$7*((P23+Q23)/2)+(1-P$7)*LN(1-P$7)-(1-P$7)*LN(1-EXP(((P23+Q23)/2)))-P$6&gt;0,Q23,((P23+Q23)/2))</f>
        <v>-4.02826071912067</v>
      </c>
      <c r="R24" s="37" t="n">
        <f aca="false">IF(R$7*LN(R$7)-R$7*((R23+S23)/2)+(1-R$7)*LN(1-R$7)-(1-R$7)*LN(1-EXP(((R23+S23)/2)))-R$6&gt;0,((R23+S23)/2),R23)</f>
        <v>-4.3146260301958</v>
      </c>
      <c r="S24" s="37" t="n">
        <f aca="false">IF(R$7*LN(R$7)-R$7*((R23+S23)/2)+(1-R$7)*LN(1-R$7)-(1-R$7)*LN(1-EXP(((R23+S23)/2)))-R$6&gt;0,S23,((R23+S23)/2))</f>
        <v>-4.31260937307556</v>
      </c>
      <c r="T24" s="37" t="n">
        <f aca="false">IF(T$7*LN(T$7)-T$7*((T23+U23)/2)+(1-T$7)*LN(1-T$7)-(1-T$7)*LN(1-EXP(((T23+U23)/2)))-T$6&gt;0,((T23+U23)/2),T23)</f>
        <v>-4.81677365313741</v>
      </c>
      <c r="U24" s="37" t="n">
        <f aca="false">IF(T$7*LN(T$7)-T$7*((T23+U23)/2)+(1-T$7)*LN(1-T$7)-(1-T$7)*LN(1-EXP(((T23+U23)/2)))-T$6&gt;0,U23,((T23+U23)/2))</f>
        <v>-4.81475699601716</v>
      </c>
      <c r="V24" s="37" t="n">
        <f aca="false">IF(V$7*LN(V$7)-V$7*((V23+W23)/2)+(1-V$7)*LN(1-V$7)-(1-V$7)*LN(1-EXP(((V23+W23)/2)))-V$6&gt;0,((V23+W23)/2),V23)</f>
        <v>-5.38345430392693</v>
      </c>
      <c r="W24" s="37" t="n">
        <f aca="false">IF(V$7*LN(V$7)-V$7*((V23+W23)/2)+(1-V$7)*LN(1-V$7)-(1-V$7)*LN(1-EXP(((V23+W23)/2)))-V$6&gt;0,W23,((V23+W23)/2))</f>
        <v>-5.38143764680669</v>
      </c>
      <c r="X24" s="37" t="n">
        <f aca="false">IF(X$7*LN(X$7)-X$7*((X23+Y23)/2)+(1-X$7)*LN(1-X$7)-(1-X$7)*LN(1-EXP(((X23+Y23)/2)))-X$6&gt;0,((X23+Y23)/2),X23)</f>
        <v>-5.91988509791275</v>
      </c>
      <c r="Y24" s="37" t="n">
        <f aca="false">IF(X$7*LN(X$7)-X$7*((X23+Y23)/2)+(1-X$7)*LN(1-X$7)-(1-X$7)*LN(1-EXP(((X23+Y23)/2)))-X$6&gt;0,Y23,((X23+Y23)/2))</f>
        <v>-5.9178684407925</v>
      </c>
      <c r="Z24" s="37" t="n">
        <f aca="false">IF(Z$7*LN(Z$7)-Z$7*((Z23+AA23)/2)+(1-Z$7)*LN(1-Z$7)-(1-Z$7)*LN(1-EXP(((Z23+AA23)/2)))-Z$6&gt;0,((Z23+AA23)/2),Z23)</f>
        <v>-6.95241354347943</v>
      </c>
      <c r="AA24" s="37" t="n">
        <f aca="false">IF(Z$7*LN(Z$7)-Z$7*((Z23+AA23)/2)+(1-Z$7)*LN(1-Z$7)-(1-Z$7)*LN(1-EXP(((Z23+AA23)/2)))-Z$6&gt;0,AA23,((Z23+AA23)/2))</f>
        <v>-6.95039688635918</v>
      </c>
      <c r="AB24" s="37" t="n">
        <f aca="false">IF((((AB23+AC23)/2))*LN((((AB23+AC23)/2))/(AB$7))+(1-(((AB23+AC23)/2)))*LN((1-(((AB23+AC23)/2)))/(1-(AB$7)))-AB$6&lt;0,((AB23+AC23)/2),AB23)</f>
        <v>0.0600311279296875</v>
      </c>
      <c r="AC24" s="37" t="n">
        <f aca="false">IF((((AB23+AC23)/2))*LN((((AB23+AC23)/2))/(AB$7))+(1-(((AB23+AC23)/2)))*LN((1-(((AB23+AC23)/2)))/(1-(AB$7)))-AB$6&lt;0,AC23,((AB23+AC23)/2))</f>
        <v>0.0600601196289062</v>
      </c>
      <c r="AD24" s="37" t="n">
        <f aca="false">IF((((AD23+AE23)/2))*LN((((AD23+AE23)/2))/(AD$7))+(1-(((AD23+AE23)/2)))*LN((1-(((AD23+AE23)/2)))/(1-(AD$7)))-AD$6&lt;0,((AD23+AE23)/2),AD23)</f>
        <v>0.067742919921875</v>
      </c>
      <c r="AE24" s="37" t="n">
        <f aca="false">IF((((AD23+AE23)/2))*LN((((AD23+AE23)/2))/(AD$7))+(1-(((AD23+AE23)/2)))*LN((1-(((AD23+AE23)/2)))/(1-(AD$7)))-AD$6&lt;0,AE23,((AD23+AE23)/2))</f>
        <v>0.0677719116210937</v>
      </c>
      <c r="AF24" s="37" t="n">
        <f aca="false">IF((((AF23+AG23)/2))*LN((((AF23+AG23)/2))/(AF$7))+(1-(((AF23+AG23)/2)))*LN((1-(((AF23+AG23)/2)))/(1-(AF$7)))-AF$6&lt;0,((AF23+AG23)/2),AF23)</f>
        <v>0.08363037109375</v>
      </c>
      <c r="AG24" s="37" t="n">
        <f aca="false">IF((((AF23+AG23)/2))*LN((((AF23+AG23)/2))/(AF$7))+(1-(((AF23+AG23)/2)))*LN((1-(((AF23+AG23)/2)))/(1-(AF$7)))-AF$6&lt;0,AG23,((AF23+AG23)/2))</f>
        <v>0.0836593627929687</v>
      </c>
      <c r="AH24" s="37" t="n">
        <f aca="false">IF((((AH23+AI23)/2))*LN((((AH23+AI23)/2))/(AH$7))+(1-(((AH23+AI23)/2)))*LN((1-(((AH23+AI23)/2)))/(1-(AH$7)))-AH$6&lt;0,((AH23+AI23)/2),AH23)</f>
        <v>0.111520385742187</v>
      </c>
      <c r="AI24" s="37" t="n">
        <f aca="false">IF((((AH23+AI23)/2))*LN((((AH23+AI23)/2))/(AH$7))+(1-(((AH23+AI23)/2)))*LN((1-(((AH23+AI23)/2)))/(1-(AH$7)))-AH$6&lt;0,AI23,((AH23+AI23)/2))</f>
        <v>0.111549377441406</v>
      </c>
      <c r="AJ24" s="37" t="n">
        <f aca="false">IF((((AJ23+AK23)/2))*LN((((AJ23+AK23)/2))/(AJ$7))+(1-(((AJ23+AK23)/2)))*LN((1-(((AJ23+AK23)/2)))/(1-(AJ$7)))-AJ$6&lt;0,((AJ23+AK23)/2),AJ23)</f>
        <v>0.1729248046875</v>
      </c>
      <c r="AK24" s="37" t="n">
        <f aca="false">IF((((AJ23+AK23)/2))*LN((((AJ23+AK23)/2))/(AJ$7))+(1-(((AJ23+AK23)/2)))*LN((1-(((AJ23+AK23)/2)))/(1-(AJ$7)))-AJ$6&lt;0,AK23,((AJ23+AK23)/2))</f>
        <v>0.172953796386719</v>
      </c>
      <c r="AL24" s="37" t="n">
        <f aca="false">IF((((AL23+AM23)/2))*LN((((AL23+AM23)/2))/(AL$7))+(1-(((AL23+AM23)/2)))*LN((1-(((AL23+AM23)/2)))/(1-(AL$7)))-AL$6&lt;0,((AL23+AM23)/2),AL23)</f>
        <v>0.288514709472656</v>
      </c>
      <c r="AM24" s="37" t="n">
        <f aca="false">IF((((AL23+AM23)/2))*LN((((AL23+AM23)/2))/(AL$7))+(1-(((AL23+AM23)/2)))*LN((1-(((AL23+AM23)/2)))/(1-(AL$7)))-AL$6&lt;0,AM23,((AL23+AM23)/2))</f>
        <v>0.288543701171875</v>
      </c>
      <c r="AN24" s="37" t="n">
        <f aca="false">IF((((AN23+AO23)/2))*LN((((AN23+AO23)/2))/(AN$7))+(1-(((AN23+AO23)/2)))*LN((1-(((AN23+AO23)/2)))/(1-(AN$7)))-AN$6&lt;0,((AN23+AO23)/2),AN23)</f>
        <v>0.555499267578124</v>
      </c>
      <c r="AO24" s="37" t="n">
        <f aca="false">IF((((AN23+AO23)/2))*LN((((AN23+AO23)/2))/(AN$7))+(1-(((AN23+AO23)/2)))*LN((1-(((AN23+AO23)/2)))/(1-(AN$7)))-AN$6&lt;0,AO23,((AN23+AO23)/2))</f>
        <v>0.555528259277343</v>
      </c>
      <c r="AP24" s="37" t="n">
        <f aca="false">IF(AP$7*LN(AP$7)-AP$7*((AP23+AQ23)/2)+(1-AP$7)*LN(1-AP$7)-(1-AP$7)*LN(1-EXP(((AP23+AQ23)/2)))-AP$6&gt;0,((AP23+AQ23)/2),AP23)</f>
        <v>-3.69147898003935</v>
      </c>
      <c r="AQ24" s="37" t="n">
        <f aca="false">IF(AP$7*LN(AP$7)-AP$7*((AP23+AQ23)/2)+(1-AP$7)*LN(1-AP$7)-(1-AP$7)*LN(1-EXP(((AP23+AQ23)/2)))-AP$6&gt;0,AQ23,((AP23+AQ23)/2))</f>
        <v>-3.6894623229191</v>
      </c>
      <c r="AR24" s="37" t="n">
        <f aca="false">IF((((AR23+AS23)/2))*LN((((AR23+AS23)/2))/(AR$7))+(1-(((AR23+AS23)/2)))*LN((1-(((AR23+AS23)/2)))/(1-(AR$7)))-AR$6&lt;0,((AR23+AS23)/2),AR23)</f>
        <v>0.08363037109375</v>
      </c>
      <c r="AS24" s="37" t="n">
        <f aca="false">IF((((AR23+AS23)/2))*LN((((AR23+AS23)/2))/(AR$7))+(1-(((AR23+AS23)/2)))*LN((1-(((AR23+AS23)/2)))/(1-(AR$7)))-AR$6&lt;0,AS23,((AR23+AS23)/2))</f>
        <v>0.0836593627929687</v>
      </c>
    </row>
    <row r="25" customFormat="false" ht="15" hidden="false" customHeight="false" outlineLevel="0" collapsed="false">
      <c r="B25" s="37" t="n">
        <f aca="false">IF(B$7*LN(B$7)-B$7*((B24+C24)/2)+(1-B$7)*LN(1-B$7)-(1-B$7)*LN(1-EXP(((B24+C24)/2)))-B$6&gt;0,((B24+C24)/2),B24)</f>
        <v>-12.7422361357098</v>
      </c>
      <c r="C25" s="37" t="n">
        <f aca="false">IF(B$7*LN(B$7)-B$7*((B24+C24)/2)+(1-B$7)*LN(1-B$7)-(1-B$7)*LN(1-EXP(((B24+C24)/2)))-B$6&gt;0,C24,((B24+C24)/2))</f>
        <v>-12.7412278071496</v>
      </c>
      <c r="D25" s="37" t="n">
        <f aca="false">IF(D$7*LN(D$7)-D$7*((D24+E24)/2)+(1-D$7)*LN(1-D$7)-(1-D$7)*LN(1-EXP(((D24+E24)/2)))-D$6&gt;0,((D24+E24)/2),D24)</f>
        <v>-16.0344288845137</v>
      </c>
      <c r="E25" s="37" t="n">
        <f aca="false">IF(D$7*LN(D$7)-D$7*((D24+E24)/2)+(1-D$7)*LN(1-D$7)-(1-D$7)*LN(1-EXP(((D24+E24)/2)))-D$6&gt;0,E24,((D24+E24)/2))</f>
        <v>-16.0334205559535</v>
      </c>
      <c r="F25" s="37" t="n">
        <f aca="false">IF(F$7*LN(F$7)-F$7*((F24+G24)/2)+(1-F$7)*LN(1-F$7)-(1-F$7)*LN(1-EXP(((F24+G24)/2)))-F$6&gt;0,((F24+G24)/2),F24)</f>
        <v>-24.8058790290298</v>
      </c>
      <c r="G25" s="37" t="n">
        <f aca="false">IF(F$7*LN(F$7)-F$7*((F24+G24)/2)+(1-F$7)*LN(1-F$7)-(1-F$7)*LN(1-EXP(((F24+G24)/2)))-F$6&gt;0,G24,((F24+G24)/2))</f>
        <v>-24.8048707004697</v>
      </c>
      <c r="H25" s="37" t="n">
        <f aca="false">IF(H$7*LN(H$7)-H$7*((H24+I24)/2)+(1-H$7)*LN(1-H$7)-(1-H$7)*LN(1-EXP(((H24+I24)/2)))-H$6&gt;0,((H24+I24)/2),H24)</f>
        <v>-3.19840631413886</v>
      </c>
      <c r="I25" s="37" t="n">
        <f aca="false">IF(H$7*LN(H$7)-H$7*((H24+I24)/2)+(1-H$7)*LN(1-H$7)-(1-H$7)*LN(1-EXP(((H24+I24)/2)))-H$6&gt;0,I24,((H24+I24)/2))</f>
        <v>-3.19739798557873</v>
      </c>
      <c r="J25" s="37" t="n">
        <f aca="false">IF(J$7*LN(J$7)-J$7*((J24+K24)/2)+(1-J$7)*LN(1-J$7)-(1-J$7)*LN(1-EXP(((J24+K24)/2)))-J$6&gt;0,((J24+K24)/2),J24)</f>
        <v>-3.28613089886962</v>
      </c>
      <c r="K25" s="37" t="n">
        <f aca="false">IF(J$7*LN(J$7)-J$7*((J24+K24)/2)+(1-J$7)*LN(1-J$7)-(1-J$7)*LN(1-EXP(((J24+K24)/2)))-J$6&gt;0,K24,((J24+K24)/2))</f>
        <v>-3.2851225703095</v>
      </c>
      <c r="L25" s="37" t="n">
        <f aca="false">IF(L$7*LN(L$7)-L$7*((L24+M24)/2)+(1-L$7)*LN(1-L$7)-(1-L$7)*LN(1-EXP(((L24+M24)/2)))-L$6&gt;0,((L24+M24)/2),L24)</f>
        <v>-3.46964669681213</v>
      </c>
      <c r="M25" s="37" t="n">
        <f aca="false">IF(L$7*LN(L$7)-L$7*((L24+M24)/2)+(1-L$7)*LN(1-L$7)-(1-L$7)*LN(1-EXP(((L24+M24)/2)))-L$6&gt;0,M24,((L24+M24)/2))</f>
        <v>-3.46863836825201</v>
      </c>
      <c r="N25" s="37" t="n">
        <f aca="false">IF(N$7*LN(N$7)-N$7*((N24+O24)/2)+(1-N$7)*LN(1-N$7)-(1-N$7)*LN(1-EXP(((N24+O24)/2)))-N$6&gt;0,((N24+O24)/2),N24)</f>
        <v>-3.69047065147923</v>
      </c>
      <c r="O25" s="37" t="n">
        <f aca="false">IF(N$7*LN(N$7)-N$7*((N24+O24)/2)+(1-N$7)*LN(1-N$7)-(1-N$7)*LN(1-EXP(((N24+O24)/2)))-N$6&gt;0,O24,((N24+O24)/2))</f>
        <v>-3.6894623229191</v>
      </c>
      <c r="P25" s="37" t="n">
        <f aca="false">IF(P$7*LN(P$7)-P$7*((P24+Q24)/2)+(1-P$7)*LN(1-P$7)-(1-P$7)*LN(1-EXP(((P24+Q24)/2)))-P$6&gt;0,((P24+Q24)/2),P24)</f>
        <v>-4.03027737624092</v>
      </c>
      <c r="Q25" s="37" t="n">
        <f aca="false">IF(P$7*LN(P$7)-P$7*((P24+Q24)/2)+(1-P$7)*LN(1-P$7)-(1-P$7)*LN(1-EXP(((P24+Q24)/2)))-P$6&gt;0,Q24,((P24+Q24)/2))</f>
        <v>-4.02926904768079</v>
      </c>
      <c r="R25" s="37" t="n">
        <f aca="false">IF(R$7*LN(R$7)-R$7*((R24+S24)/2)+(1-R$7)*LN(1-R$7)-(1-R$7)*LN(1-EXP(((R24+S24)/2)))-R$6&gt;0,((R24+S24)/2),R24)</f>
        <v>-4.3146260301958</v>
      </c>
      <c r="S25" s="37" t="n">
        <f aca="false">IF(R$7*LN(R$7)-R$7*((R24+S24)/2)+(1-R$7)*LN(1-R$7)-(1-R$7)*LN(1-EXP(((R24+S24)/2)))-R$6&gt;0,S24,((R24+S24)/2))</f>
        <v>-4.31361770163568</v>
      </c>
      <c r="T25" s="37" t="n">
        <f aca="false">IF(T$7*LN(T$7)-T$7*((T24+U24)/2)+(1-T$7)*LN(1-T$7)-(1-T$7)*LN(1-EXP(((T24+U24)/2)))-T$6&gt;0,((T24+U24)/2),T24)</f>
        <v>-4.81576532457729</v>
      </c>
      <c r="U25" s="37" t="n">
        <f aca="false">IF(T$7*LN(T$7)-T$7*((T24+U24)/2)+(1-T$7)*LN(1-T$7)-(1-T$7)*LN(1-EXP(((T24+U24)/2)))-T$6&gt;0,U24,((T24+U24)/2))</f>
        <v>-4.81475699601716</v>
      </c>
      <c r="V25" s="37" t="n">
        <f aca="false">IF(V$7*LN(V$7)-V$7*((V24+W24)/2)+(1-V$7)*LN(1-V$7)-(1-V$7)*LN(1-EXP(((V24+W24)/2)))-V$6&gt;0,((V24+W24)/2),V24)</f>
        <v>-5.38345430392693</v>
      </c>
      <c r="W25" s="37" t="n">
        <f aca="false">IF(V$7*LN(V$7)-V$7*((V24+W24)/2)+(1-V$7)*LN(1-V$7)-(1-V$7)*LN(1-EXP(((V24+W24)/2)))-V$6&gt;0,W24,((V24+W24)/2))</f>
        <v>-5.38244597536681</v>
      </c>
      <c r="X25" s="37" t="n">
        <f aca="false">IF(X$7*LN(X$7)-X$7*((X24+Y24)/2)+(1-X$7)*LN(1-X$7)-(1-X$7)*LN(1-EXP(((X24+Y24)/2)))-X$6&gt;0,((X24+Y24)/2),X24)</f>
        <v>-5.91988509791275</v>
      </c>
      <c r="Y25" s="37" t="n">
        <f aca="false">IF(X$7*LN(X$7)-X$7*((X24+Y24)/2)+(1-X$7)*LN(1-X$7)-(1-X$7)*LN(1-EXP(((X24+Y24)/2)))-X$6&gt;0,Y24,((X24+Y24)/2))</f>
        <v>-5.91887676935262</v>
      </c>
      <c r="Z25" s="37" t="n">
        <f aca="false">IF(Z$7*LN(Z$7)-Z$7*((Z24+AA24)/2)+(1-Z$7)*LN(1-Z$7)-(1-Z$7)*LN(1-EXP(((Z24+AA24)/2)))-Z$6&gt;0,((Z24+AA24)/2),Z24)</f>
        <v>-6.95241354347943</v>
      </c>
      <c r="AA25" s="37" t="n">
        <f aca="false">IF(Z$7*LN(Z$7)-Z$7*((Z24+AA24)/2)+(1-Z$7)*LN(1-Z$7)-(1-Z$7)*LN(1-EXP(((Z24+AA24)/2)))-Z$6&gt;0,AA24,((Z24+AA24)/2))</f>
        <v>-6.9514052149193</v>
      </c>
      <c r="AB25" s="37" t="n">
        <f aca="false">IF((((AB24+AC24)/2))*LN((((AB24+AC24)/2))/(AB$7))+(1-(((AB24+AC24)/2)))*LN((1-(((AB24+AC24)/2)))/(1-(AB$7)))-AB$6&lt;0,((AB24+AC24)/2),AB24)</f>
        <v>0.0600311279296875</v>
      </c>
      <c r="AC25" s="37" t="n">
        <f aca="false">IF((((AB24+AC24)/2))*LN((((AB24+AC24)/2))/(AB$7))+(1-(((AB24+AC24)/2)))*LN((1-(((AB24+AC24)/2)))/(1-(AB$7)))-AB$6&lt;0,AC24,((AB24+AC24)/2))</f>
        <v>0.0600456237792969</v>
      </c>
      <c r="AD25" s="37" t="n">
        <f aca="false">IF((((AD24+AE24)/2))*LN((((AD24+AE24)/2))/(AD$7))+(1-(((AD24+AE24)/2)))*LN((1-(((AD24+AE24)/2)))/(1-(AD$7)))-AD$6&lt;0,((AD24+AE24)/2),AD24)</f>
        <v>0.067742919921875</v>
      </c>
      <c r="AE25" s="37" t="n">
        <f aca="false">IF((((AD24+AE24)/2))*LN((((AD24+AE24)/2))/(AD$7))+(1-(((AD24+AE24)/2)))*LN((1-(((AD24+AE24)/2)))/(1-(AD$7)))-AD$6&lt;0,AE24,((AD24+AE24)/2))</f>
        <v>0.0677574157714844</v>
      </c>
      <c r="AF25" s="37" t="n">
        <f aca="false">IF((((AF24+AG24)/2))*LN((((AF24+AG24)/2))/(AF$7))+(1-(((AF24+AG24)/2)))*LN((1-(((AF24+AG24)/2)))/(1-(AF$7)))-AF$6&lt;0,((AF24+AG24)/2),AF24)</f>
        <v>0.0836448669433593</v>
      </c>
      <c r="AG25" s="37" t="n">
        <f aca="false">IF((((AF24+AG24)/2))*LN((((AF24+AG24)/2))/(AF$7))+(1-(((AF24+AG24)/2)))*LN((1-(((AF24+AG24)/2)))/(1-(AF$7)))-AF$6&lt;0,AG24,((AF24+AG24)/2))</f>
        <v>0.0836593627929687</v>
      </c>
      <c r="AH25" s="37" t="n">
        <f aca="false">IF((((AH24+AI24)/2))*LN((((AH24+AI24)/2))/(AH$7))+(1-(((AH24+AI24)/2)))*LN((1-(((AH24+AI24)/2)))/(1-(AH$7)))-AH$6&lt;0,((AH24+AI24)/2),AH24)</f>
        <v>0.111534881591797</v>
      </c>
      <c r="AI25" s="37" t="n">
        <f aca="false">IF((((AH24+AI24)/2))*LN((((AH24+AI24)/2))/(AH$7))+(1-(((AH24+AI24)/2)))*LN((1-(((AH24+AI24)/2)))/(1-(AH$7)))-AH$6&lt;0,AI24,((AH24+AI24)/2))</f>
        <v>0.111549377441406</v>
      </c>
      <c r="AJ25" s="37" t="n">
        <f aca="false">IF((((AJ24+AK24)/2))*LN((((AJ24+AK24)/2))/(AJ$7))+(1-(((AJ24+AK24)/2)))*LN((1-(((AJ24+AK24)/2)))/(1-(AJ$7)))-AJ$6&lt;0,((AJ24+AK24)/2),AJ24)</f>
        <v>0.172939300537109</v>
      </c>
      <c r="AK25" s="37" t="n">
        <f aca="false">IF((((AJ24+AK24)/2))*LN((((AJ24+AK24)/2))/(AJ$7))+(1-(((AJ24+AK24)/2)))*LN((1-(((AJ24+AK24)/2)))/(1-(AJ$7)))-AJ$6&lt;0,AK24,((AJ24+AK24)/2))</f>
        <v>0.172953796386719</v>
      </c>
      <c r="AL25" s="37" t="n">
        <f aca="false">IF((((AL24+AM24)/2))*LN((((AL24+AM24)/2))/(AL$7))+(1-(((AL24+AM24)/2)))*LN((1-(((AL24+AM24)/2)))/(1-(AL$7)))-AL$6&lt;0,((AL24+AM24)/2),AL24)</f>
        <v>0.288514709472656</v>
      </c>
      <c r="AM25" s="37" t="n">
        <f aca="false">IF((((AL24+AM24)/2))*LN((((AL24+AM24)/2))/(AL$7))+(1-(((AL24+AM24)/2)))*LN((1-(((AL24+AM24)/2)))/(1-(AL$7)))-AL$6&lt;0,AM24,((AL24+AM24)/2))</f>
        <v>0.288529205322265</v>
      </c>
      <c r="AN25" s="37" t="n">
        <f aca="false">IF((((AN24+AO24)/2))*LN((((AN24+AO24)/2))/(AN$7))+(1-(((AN24+AO24)/2)))*LN((1-(((AN24+AO24)/2)))/(1-(AN$7)))-AN$6&lt;0,((AN24+AO24)/2),AN24)</f>
        <v>0.555513763427734</v>
      </c>
      <c r="AO25" s="37" t="n">
        <f aca="false">IF((((AN24+AO24)/2))*LN((((AN24+AO24)/2))/(AN$7))+(1-(((AN24+AO24)/2)))*LN((1-(((AN24+AO24)/2)))/(1-(AN$7)))-AN$6&lt;0,AO24,((AN24+AO24)/2))</f>
        <v>0.555528259277343</v>
      </c>
      <c r="AP25" s="37" t="n">
        <f aca="false">IF(AP$7*LN(AP$7)-AP$7*((AP24+AQ24)/2)+(1-AP$7)*LN(1-AP$7)-(1-AP$7)*LN(1-EXP(((AP24+AQ24)/2)))-AP$6&gt;0,((AP24+AQ24)/2),AP24)</f>
        <v>-3.69047065147923</v>
      </c>
      <c r="AQ25" s="37" t="n">
        <f aca="false">IF(AP$7*LN(AP$7)-AP$7*((AP24+AQ24)/2)+(1-AP$7)*LN(1-AP$7)-(1-AP$7)*LN(1-EXP(((AP24+AQ24)/2)))-AP$6&gt;0,AQ24,((AP24+AQ24)/2))</f>
        <v>-3.6894623229191</v>
      </c>
      <c r="AR25" s="37" t="n">
        <f aca="false">IF((((AR24+AS24)/2))*LN((((AR24+AS24)/2))/(AR$7))+(1-(((AR24+AS24)/2)))*LN((1-(((AR24+AS24)/2)))/(1-(AR$7)))-AR$6&lt;0,((AR24+AS24)/2),AR24)</f>
        <v>0.0836448669433593</v>
      </c>
      <c r="AS25" s="37" t="n">
        <f aca="false">IF((((AR24+AS24)/2))*LN((((AR24+AS24)/2))/(AR$7))+(1-(((AR24+AS24)/2)))*LN((1-(((AR24+AS24)/2)))/(1-(AR$7)))-AR$6&lt;0,AS24,((AR24+AS24)/2))</f>
        <v>0.0836593627929687</v>
      </c>
    </row>
    <row r="26" customFormat="false" ht="15" hidden="false" customHeight="false" outlineLevel="0" collapsed="false">
      <c r="B26" s="37" t="n">
        <f aca="false">IF(B$7*LN(B$7)-B$7*((B25+C25)/2)+(1-B$7)*LN(1-B$7)-(1-B$7)*LN(1-EXP(((B25+C25)/2)))-B$6&gt;0,((B25+C25)/2),B25)</f>
        <v>-12.7417319714297</v>
      </c>
      <c r="C26" s="37" t="n">
        <f aca="false">IF(B$7*LN(B$7)-B$7*((B25+C25)/2)+(1-B$7)*LN(1-B$7)-(1-B$7)*LN(1-EXP(((B25+C25)/2)))-B$6&gt;0,C25,((B25+C25)/2))</f>
        <v>-12.7412278071496</v>
      </c>
      <c r="D26" s="37" t="n">
        <f aca="false">IF(D$7*LN(D$7)-D$7*((D25+E25)/2)+(1-D$7)*LN(1-D$7)-(1-D$7)*LN(1-EXP(((D25+E25)/2)))-D$6&gt;0,((D25+E25)/2),D25)</f>
        <v>-16.0344288845137</v>
      </c>
      <c r="E26" s="37" t="n">
        <f aca="false">IF(D$7*LN(D$7)-D$7*((D25+E25)/2)+(1-D$7)*LN(1-D$7)-(1-D$7)*LN(1-EXP(((D25+E25)/2)))-D$6&gt;0,E25,((D25+E25)/2))</f>
        <v>-16.0339247202336</v>
      </c>
      <c r="F26" s="37" t="n">
        <f aca="false">IF(F$7*LN(F$7)-F$7*((F25+G25)/2)+(1-F$7)*LN(1-F$7)-(1-F$7)*LN(1-EXP(((F25+G25)/2)))-F$6&gt;0,((F25+G25)/2),F25)</f>
        <v>-24.8058790290298</v>
      </c>
      <c r="G26" s="37" t="n">
        <f aca="false">IF(F$7*LN(F$7)-F$7*((F25+G25)/2)+(1-F$7)*LN(1-F$7)-(1-F$7)*LN(1-EXP(((F25+G25)/2)))-F$6&gt;0,G25,((F25+G25)/2))</f>
        <v>-24.8053748647498</v>
      </c>
      <c r="H26" s="37" t="n">
        <f aca="false">IF(H$7*LN(H$7)-H$7*((H25+I25)/2)+(1-H$7)*LN(1-H$7)-(1-H$7)*LN(1-EXP(((H25+I25)/2)))-H$6&gt;0,((H25+I25)/2),H25)</f>
        <v>-3.19790214985879</v>
      </c>
      <c r="I26" s="37" t="n">
        <f aca="false">IF(H$7*LN(H$7)-H$7*((H25+I25)/2)+(1-H$7)*LN(1-H$7)-(1-H$7)*LN(1-EXP(((H25+I25)/2)))-H$6&gt;0,I25,((H25+I25)/2))</f>
        <v>-3.19739798557873</v>
      </c>
      <c r="J26" s="37" t="n">
        <f aca="false">IF(J$7*LN(J$7)-J$7*((J25+K25)/2)+(1-J$7)*LN(1-J$7)-(1-J$7)*LN(1-EXP(((J25+K25)/2)))-J$6&gt;0,((J25+K25)/2),J25)</f>
        <v>-3.28613089886962</v>
      </c>
      <c r="K26" s="37" t="n">
        <f aca="false">IF(J$7*LN(J$7)-J$7*((J25+K25)/2)+(1-J$7)*LN(1-J$7)-(1-J$7)*LN(1-EXP(((J25+K25)/2)))-J$6&gt;0,K25,((J25+K25)/2))</f>
        <v>-3.28562673458956</v>
      </c>
      <c r="L26" s="37" t="n">
        <f aca="false">IF(L$7*LN(L$7)-L$7*((L25+M25)/2)+(1-L$7)*LN(1-L$7)-(1-L$7)*LN(1-EXP(((L25+M25)/2)))-L$6&gt;0,((L25+M25)/2),L25)</f>
        <v>-3.46964669681213</v>
      </c>
      <c r="M26" s="37" t="n">
        <f aca="false">IF(L$7*LN(L$7)-L$7*((L25+M25)/2)+(1-L$7)*LN(1-L$7)-(1-L$7)*LN(1-EXP(((L25+M25)/2)))-L$6&gt;0,M25,((L25+M25)/2))</f>
        <v>-3.46914253253207</v>
      </c>
      <c r="N26" s="37" t="n">
        <f aca="false">IF(N$7*LN(N$7)-N$7*((N25+O25)/2)+(1-N$7)*LN(1-N$7)-(1-N$7)*LN(1-EXP(((N25+O25)/2)))-N$6&gt;0,((N25+O25)/2),N25)</f>
        <v>-3.68996648719916</v>
      </c>
      <c r="O26" s="37" t="n">
        <f aca="false">IF(N$7*LN(N$7)-N$7*((N25+O25)/2)+(1-N$7)*LN(1-N$7)-(1-N$7)*LN(1-EXP(((N25+O25)/2)))-N$6&gt;0,O25,((N25+O25)/2))</f>
        <v>-3.6894623229191</v>
      </c>
      <c r="P26" s="37" t="n">
        <f aca="false">IF(P$7*LN(P$7)-P$7*((P25+Q25)/2)+(1-P$7)*LN(1-P$7)-(1-P$7)*LN(1-EXP(((P25+Q25)/2)))-P$6&gt;0,((P25+Q25)/2),P25)</f>
        <v>-4.02977321196085</v>
      </c>
      <c r="Q26" s="37" t="n">
        <f aca="false">IF(P$7*LN(P$7)-P$7*((P25+Q25)/2)+(1-P$7)*LN(1-P$7)-(1-P$7)*LN(1-EXP(((P25+Q25)/2)))-P$6&gt;0,Q25,((P25+Q25)/2))</f>
        <v>-4.02926904768079</v>
      </c>
      <c r="R26" s="37" t="n">
        <f aca="false">IF(R$7*LN(R$7)-R$7*((R25+S25)/2)+(1-R$7)*LN(1-R$7)-(1-R$7)*LN(1-EXP(((R25+S25)/2)))-R$6&gt;0,((R25+S25)/2),R25)</f>
        <v>-4.3146260301958</v>
      </c>
      <c r="S26" s="37" t="n">
        <f aca="false">IF(R$7*LN(R$7)-R$7*((R25+S25)/2)+(1-R$7)*LN(1-R$7)-(1-R$7)*LN(1-EXP(((R25+S25)/2)))-R$6&gt;0,S25,((R25+S25)/2))</f>
        <v>-4.31412186591574</v>
      </c>
      <c r="T26" s="37" t="n">
        <f aca="false">IF(T$7*LN(T$7)-T$7*((T25+U25)/2)+(1-T$7)*LN(1-T$7)-(1-T$7)*LN(1-EXP(((T25+U25)/2)))-T$6&gt;0,((T25+U25)/2),T25)</f>
        <v>-4.81576532457729</v>
      </c>
      <c r="U26" s="37" t="n">
        <f aca="false">IF(T$7*LN(T$7)-T$7*((T25+U25)/2)+(1-T$7)*LN(1-T$7)-(1-T$7)*LN(1-EXP(((T25+U25)/2)))-T$6&gt;0,U25,((T25+U25)/2))</f>
        <v>-4.81526116029722</v>
      </c>
      <c r="V26" s="37" t="n">
        <f aca="false">IF(V$7*LN(V$7)-V$7*((V25+W25)/2)+(1-V$7)*LN(1-V$7)-(1-V$7)*LN(1-EXP(((V25+W25)/2)))-V$6&gt;0,((V25+W25)/2),V25)</f>
        <v>-5.38295013964687</v>
      </c>
      <c r="W26" s="37" t="n">
        <f aca="false">IF(V$7*LN(V$7)-V$7*((V25+W25)/2)+(1-V$7)*LN(1-V$7)-(1-V$7)*LN(1-EXP(((V25+W25)/2)))-V$6&gt;0,W25,((V25+W25)/2))</f>
        <v>-5.38244597536681</v>
      </c>
      <c r="X26" s="37" t="n">
        <f aca="false">IF(X$7*LN(X$7)-X$7*((X25+Y25)/2)+(1-X$7)*LN(1-X$7)-(1-X$7)*LN(1-EXP(((X25+Y25)/2)))-X$6&gt;0,((X25+Y25)/2),X25)</f>
        <v>-5.91938093363269</v>
      </c>
      <c r="Y26" s="37" t="n">
        <f aca="false">IF(X$7*LN(X$7)-X$7*((X25+Y25)/2)+(1-X$7)*LN(1-X$7)-(1-X$7)*LN(1-EXP(((X25+Y25)/2)))-X$6&gt;0,Y25,((X25+Y25)/2))</f>
        <v>-5.91887676935262</v>
      </c>
      <c r="Z26" s="37" t="n">
        <f aca="false">IF(Z$7*LN(Z$7)-Z$7*((Z25+AA25)/2)+(1-Z$7)*LN(1-Z$7)-(1-Z$7)*LN(1-EXP(((Z25+AA25)/2)))-Z$6&gt;0,((Z25+AA25)/2),Z25)</f>
        <v>-6.95241354347943</v>
      </c>
      <c r="AA26" s="37" t="n">
        <f aca="false">IF(Z$7*LN(Z$7)-Z$7*((Z25+AA25)/2)+(1-Z$7)*LN(1-Z$7)-(1-Z$7)*LN(1-EXP(((Z25+AA25)/2)))-Z$6&gt;0,AA25,((Z25+AA25)/2))</f>
        <v>-6.95190937919936</v>
      </c>
      <c r="AB26" s="37" t="n">
        <f aca="false">IF((((AB25+AC25)/2))*LN((((AB25+AC25)/2))/(AB$7))+(1-(((AB25+AC25)/2)))*LN((1-(((AB25+AC25)/2)))/(1-(AB$7)))-AB$6&lt;0,((AB25+AC25)/2),AB25)</f>
        <v>0.0600383758544922</v>
      </c>
      <c r="AC26" s="37" t="n">
        <f aca="false">IF((((AB25+AC25)/2))*LN((((AB25+AC25)/2))/(AB$7))+(1-(((AB25+AC25)/2)))*LN((1-(((AB25+AC25)/2)))/(1-(AB$7)))-AB$6&lt;0,AC25,((AB25+AC25)/2))</f>
        <v>0.0600456237792969</v>
      </c>
      <c r="AD26" s="37" t="n">
        <f aca="false">IF((((AD25+AE25)/2))*LN((((AD25+AE25)/2))/(AD$7))+(1-(((AD25+AE25)/2)))*LN((1-(((AD25+AE25)/2)))/(1-(AD$7)))-AD$6&lt;0,((AD25+AE25)/2),AD25)</f>
        <v>0.0677501678466797</v>
      </c>
      <c r="AE26" s="37" t="n">
        <f aca="false">IF((((AD25+AE25)/2))*LN((((AD25+AE25)/2))/(AD$7))+(1-(((AD25+AE25)/2)))*LN((1-(((AD25+AE25)/2)))/(1-(AD$7)))-AD$6&lt;0,AE25,((AD25+AE25)/2))</f>
        <v>0.0677574157714844</v>
      </c>
      <c r="AF26" s="37" t="n">
        <f aca="false">IF((((AF25+AG25)/2))*LN((((AF25+AG25)/2))/(AF$7))+(1-(((AF25+AG25)/2)))*LN((1-(((AF25+AG25)/2)))/(1-(AF$7)))-AF$6&lt;0,((AF25+AG25)/2),AF25)</f>
        <v>0.0836448669433593</v>
      </c>
      <c r="AG26" s="37" t="n">
        <f aca="false">IF((((AF25+AG25)/2))*LN((((AF25+AG25)/2))/(AF$7))+(1-(((AF25+AG25)/2)))*LN((1-(((AF25+AG25)/2)))/(1-(AF$7)))-AF$6&lt;0,AG25,((AF25+AG25)/2))</f>
        <v>0.083652114868164</v>
      </c>
      <c r="AH26" s="37" t="n">
        <f aca="false">IF((((AH25+AI25)/2))*LN((((AH25+AI25)/2))/(AH$7))+(1-(((AH25+AI25)/2)))*LN((1-(((AH25+AI25)/2)))/(1-(AH$7)))-AH$6&lt;0,((AH25+AI25)/2),AH25)</f>
        <v>0.111542129516602</v>
      </c>
      <c r="AI26" s="37" t="n">
        <f aca="false">IF((((AH25+AI25)/2))*LN((((AH25+AI25)/2))/(AH$7))+(1-(((AH25+AI25)/2)))*LN((1-(((AH25+AI25)/2)))/(1-(AH$7)))-AH$6&lt;0,AI25,((AH25+AI25)/2))</f>
        <v>0.111549377441406</v>
      </c>
      <c r="AJ26" s="37" t="n">
        <f aca="false">IF((((AJ25+AK25)/2))*LN((((AJ25+AK25)/2))/(AJ$7))+(1-(((AJ25+AK25)/2)))*LN((1-(((AJ25+AK25)/2)))/(1-(AJ$7)))-AJ$6&lt;0,((AJ25+AK25)/2),AJ25)</f>
        <v>0.172946548461914</v>
      </c>
      <c r="AK26" s="37" t="n">
        <f aca="false">IF((((AJ25+AK25)/2))*LN((((AJ25+AK25)/2))/(AJ$7))+(1-(((AJ25+AK25)/2)))*LN((1-(((AJ25+AK25)/2)))/(1-(AJ$7)))-AJ$6&lt;0,AK25,((AJ25+AK25)/2))</f>
        <v>0.172953796386719</v>
      </c>
      <c r="AL26" s="37" t="n">
        <f aca="false">IF((((AL25+AM25)/2))*LN((((AL25+AM25)/2))/(AL$7))+(1-(((AL25+AM25)/2)))*LN((1-(((AL25+AM25)/2)))/(1-(AL$7)))-AL$6&lt;0,((AL25+AM25)/2),AL25)</f>
        <v>0.288514709472656</v>
      </c>
      <c r="AM26" s="37" t="n">
        <f aca="false">IF((((AL25+AM25)/2))*LN((((AL25+AM25)/2))/(AL$7))+(1-(((AL25+AM25)/2)))*LN((1-(((AL25+AM25)/2)))/(1-(AL$7)))-AL$6&lt;0,AM25,((AL25+AM25)/2))</f>
        <v>0.288521957397461</v>
      </c>
      <c r="AN26" s="37" t="n">
        <f aca="false">IF((((AN25+AO25)/2))*LN((((AN25+AO25)/2))/(AN$7))+(1-(((AN25+AO25)/2)))*LN((1-(((AN25+AO25)/2)))/(1-(AN$7)))-AN$6&lt;0,((AN25+AO25)/2),AN25)</f>
        <v>0.555513763427734</v>
      </c>
      <c r="AO26" s="37" t="n">
        <f aca="false">IF((((AN25+AO25)/2))*LN((((AN25+AO25)/2))/(AN$7))+(1-(((AN25+AO25)/2)))*LN((1-(((AN25+AO25)/2)))/(1-(AN$7)))-AN$6&lt;0,AO25,((AN25+AO25)/2))</f>
        <v>0.555521011352539</v>
      </c>
      <c r="AP26" s="37" t="n">
        <f aca="false">IF(AP$7*LN(AP$7)-AP$7*((AP25+AQ25)/2)+(1-AP$7)*LN(1-AP$7)-(1-AP$7)*LN(1-EXP(((AP25+AQ25)/2)))-AP$6&gt;0,((AP25+AQ25)/2),AP25)</f>
        <v>-3.68996648719916</v>
      </c>
      <c r="AQ26" s="37" t="n">
        <f aca="false">IF(AP$7*LN(AP$7)-AP$7*((AP25+AQ25)/2)+(1-AP$7)*LN(1-AP$7)-(1-AP$7)*LN(1-EXP(((AP25+AQ25)/2)))-AP$6&gt;0,AQ25,((AP25+AQ25)/2))</f>
        <v>-3.6894623229191</v>
      </c>
      <c r="AR26" s="37" t="n">
        <f aca="false">IF((((AR25+AS25)/2))*LN((((AR25+AS25)/2))/(AR$7))+(1-(((AR25+AS25)/2)))*LN((1-(((AR25+AS25)/2)))/(1-(AR$7)))-AR$6&lt;0,((AR25+AS25)/2),AR25)</f>
        <v>0.0836448669433593</v>
      </c>
      <c r="AS26" s="37" t="n">
        <f aca="false">IF((((AR25+AS25)/2))*LN((((AR25+AS25)/2))/(AR$7))+(1-(((AR25+AS25)/2)))*LN((1-(((AR25+AS25)/2)))/(1-(AR$7)))-AR$6&lt;0,AS25,((AR25+AS25)/2))</f>
        <v>0.083652114868164</v>
      </c>
    </row>
    <row r="27" customFormat="false" ht="15" hidden="false" customHeight="false" outlineLevel="0" collapsed="false">
      <c r="B27" s="37" t="n">
        <f aca="false">IF(B$7*LN(B$7)-B$7*((B26+C26)/2)+(1-B$7)*LN(1-B$7)-(1-B$7)*LN(1-EXP(((B26+C26)/2)))-B$6&gt;0,((B26+C26)/2),B26)</f>
        <v>-12.7417319714297</v>
      </c>
      <c r="C27" s="37" t="n">
        <f aca="false">IF(B$7*LN(B$7)-B$7*((B26+C26)/2)+(1-B$7)*LN(1-B$7)-(1-B$7)*LN(1-EXP(((B26+C26)/2)))-B$6&gt;0,C26,((B26+C26)/2))</f>
        <v>-12.7414798892897</v>
      </c>
      <c r="D27" s="37" t="n">
        <f aca="false">IF(D$7*LN(D$7)-D$7*((D26+E26)/2)+(1-D$7)*LN(1-D$7)-(1-D$7)*LN(1-EXP(((D26+E26)/2)))-D$6&gt;0,((D26+E26)/2),D26)</f>
        <v>-16.0341768023736</v>
      </c>
      <c r="E27" s="37" t="n">
        <f aca="false">IF(D$7*LN(D$7)-D$7*((D26+E26)/2)+(1-D$7)*LN(1-D$7)-(1-D$7)*LN(1-EXP(((D26+E26)/2)))-D$6&gt;0,E26,((D26+E26)/2))</f>
        <v>-16.0339247202336</v>
      </c>
      <c r="F27" s="37" t="n">
        <f aca="false">IF(F$7*LN(F$7)-F$7*((F26+G26)/2)+(1-F$7)*LN(1-F$7)-(1-F$7)*LN(1-EXP(((F26+G26)/2)))-F$6&gt;0,((F26+G26)/2),F26)</f>
        <v>-24.8056269468898</v>
      </c>
      <c r="G27" s="37" t="n">
        <f aca="false">IF(F$7*LN(F$7)-F$7*((F26+G26)/2)+(1-F$7)*LN(1-F$7)-(1-F$7)*LN(1-EXP(((F26+G26)/2)))-F$6&gt;0,G26,((F26+G26)/2))</f>
        <v>-24.8053748647498</v>
      </c>
      <c r="H27" s="37" t="n">
        <f aca="false">IF(H$7*LN(H$7)-H$7*((H26+I26)/2)+(1-H$7)*LN(1-H$7)-(1-H$7)*LN(1-EXP(((H26+I26)/2)))-H$6&gt;0,((H26+I26)/2),H26)</f>
        <v>-3.19790214985879</v>
      </c>
      <c r="I27" s="37" t="n">
        <f aca="false">IF(H$7*LN(H$7)-H$7*((H26+I26)/2)+(1-H$7)*LN(1-H$7)-(1-H$7)*LN(1-EXP(((H26+I26)/2)))-H$6&gt;0,I26,((H26+I26)/2))</f>
        <v>-3.19765006771876</v>
      </c>
      <c r="J27" s="37" t="n">
        <f aca="false">IF(J$7*LN(J$7)-J$7*((J26+K26)/2)+(1-J$7)*LN(1-J$7)-(1-J$7)*LN(1-EXP(((J26+K26)/2)))-J$6&gt;0,((J26+K26)/2),J26)</f>
        <v>-3.28613089886962</v>
      </c>
      <c r="K27" s="37" t="n">
        <f aca="false">IF(J$7*LN(J$7)-J$7*((J26+K26)/2)+(1-J$7)*LN(1-J$7)-(1-J$7)*LN(1-EXP(((J26+K26)/2)))-J$6&gt;0,K26,((J26+K26)/2))</f>
        <v>-3.28587881672959</v>
      </c>
      <c r="L27" s="37" t="n">
        <f aca="false">IF(L$7*LN(L$7)-L$7*((L26+M26)/2)+(1-L$7)*LN(1-L$7)-(1-L$7)*LN(1-EXP(((L26+M26)/2)))-L$6&gt;0,((L26+M26)/2),L26)</f>
        <v>-3.4693946146721</v>
      </c>
      <c r="M27" s="37" t="n">
        <f aca="false">IF(L$7*LN(L$7)-L$7*((L26+M26)/2)+(1-L$7)*LN(1-L$7)-(1-L$7)*LN(1-EXP(((L26+M26)/2)))-L$6&gt;0,M26,((L26+M26)/2))</f>
        <v>-3.46914253253207</v>
      </c>
      <c r="N27" s="37" t="n">
        <f aca="false">IF(N$7*LN(N$7)-N$7*((N26+O26)/2)+(1-N$7)*LN(1-N$7)-(1-N$7)*LN(1-EXP(((N26+O26)/2)))-N$6&gt;0,((N26+O26)/2),N26)</f>
        <v>-3.68971440505913</v>
      </c>
      <c r="O27" s="37" t="n">
        <f aca="false">IF(N$7*LN(N$7)-N$7*((N26+O26)/2)+(1-N$7)*LN(1-N$7)-(1-N$7)*LN(1-EXP(((N26+O26)/2)))-N$6&gt;0,O26,((N26+O26)/2))</f>
        <v>-3.6894623229191</v>
      </c>
      <c r="P27" s="37" t="n">
        <f aca="false">IF(P$7*LN(P$7)-P$7*((P26+Q26)/2)+(1-P$7)*LN(1-P$7)-(1-P$7)*LN(1-EXP(((P26+Q26)/2)))-P$6&gt;0,((P26+Q26)/2),P26)</f>
        <v>-4.02952112982082</v>
      </c>
      <c r="Q27" s="37" t="n">
        <f aca="false">IF(P$7*LN(P$7)-P$7*((P26+Q26)/2)+(1-P$7)*LN(1-P$7)-(1-P$7)*LN(1-EXP(((P26+Q26)/2)))-P$6&gt;0,Q26,((P26+Q26)/2))</f>
        <v>-4.02926904768079</v>
      </c>
      <c r="R27" s="37" t="n">
        <f aca="false">IF(R$7*LN(R$7)-R$7*((R26+S26)/2)+(1-R$7)*LN(1-R$7)-(1-R$7)*LN(1-EXP(((R26+S26)/2)))-R$6&gt;0,((R26+S26)/2),R26)</f>
        <v>-4.3146260301958</v>
      </c>
      <c r="S27" s="37" t="n">
        <f aca="false">IF(R$7*LN(R$7)-R$7*((R26+S26)/2)+(1-R$7)*LN(1-R$7)-(1-R$7)*LN(1-EXP(((R26+S26)/2)))-R$6&gt;0,S26,((R26+S26)/2))</f>
        <v>-4.31437394805577</v>
      </c>
      <c r="T27" s="37" t="n">
        <f aca="false">IF(T$7*LN(T$7)-T$7*((T26+U26)/2)+(1-T$7)*LN(1-T$7)-(1-T$7)*LN(1-EXP(((T26+U26)/2)))-T$6&gt;0,((T26+U26)/2),T26)</f>
        <v>-4.81576532457729</v>
      </c>
      <c r="U27" s="37" t="n">
        <f aca="false">IF(T$7*LN(T$7)-T$7*((T26+U26)/2)+(1-T$7)*LN(1-T$7)-(1-T$7)*LN(1-EXP(((T26+U26)/2)))-T$6&gt;0,U26,((T26+U26)/2))</f>
        <v>-4.81551324243725</v>
      </c>
      <c r="V27" s="37" t="n">
        <f aca="false">IF(V$7*LN(V$7)-V$7*((V26+W26)/2)+(1-V$7)*LN(1-V$7)-(1-V$7)*LN(1-EXP(((V26+W26)/2)))-V$6&gt;0,((V26+W26)/2),V26)</f>
        <v>-5.38295013964687</v>
      </c>
      <c r="W27" s="37" t="n">
        <f aca="false">IF(V$7*LN(V$7)-V$7*((V26+W26)/2)+(1-V$7)*LN(1-V$7)-(1-V$7)*LN(1-EXP(((V26+W26)/2)))-V$6&gt;0,W26,((V26+W26)/2))</f>
        <v>-5.38269805750684</v>
      </c>
      <c r="X27" s="37" t="n">
        <f aca="false">IF(X$7*LN(X$7)-X$7*((X26+Y26)/2)+(1-X$7)*LN(1-X$7)-(1-X$7)*LN(1-EXP(((X26+Y26)/2)))-X$6&gt;0,((X26+Y26)/2),X26)</f>
        <v>-5.91938093363269</v>
      </c>
      <c r="Y27" s="37" t="n">
        <f aca="false">IF(X$7*LN(X$7)-X$7*((X26+Y26)/2)+(1-X$7)*LN(1-X$7)-(1-X$7)*LN(1-EXP(((X26+Y26)/2)))-X$6&gt;0,Y26,((X26+Y26)/2))</f>
        <v>-5.91912885149266</v>
      </c>
      <c r="Z27" s="37" t="n">
        <f aca="false">IF(Z$7*LN(Z$7)-Z$7*((Z26+AA26)/2)+(1-Z$7)*LN(1-Z$7)-(1-Z$7)*LN(1-EXP(((Z26+AA26)/2)))-Z$6&gt;0,((Z26+AA26)/2),Z26)</f>
        <v>-6.95216146133939</v>
      </c>
      <c r="AA27" s="37" t="n">
        <f aca="false">IF(Z$7*LN(Z$7)-Z$7*((Z26+AA26)/2)+(1-Z$7)*LN(1-Z$7)-(1-Z$7)*LN(1-EXP(((Z26+AA26)/2)))-Z$6&gt;0,AA26,((Z26+AA26)/2))</f>
        <v>-6.95190937919936</v>
      </c>
      <c r="AB27" s="37" t="n">
        <f aca="false">IF((((AB26+AC26)/2))*LN((((AB26+AC26)/2))/(AB$7))+(1-(((AB26+AC26)/2)))*LN((1-(((AB26+AC26)/2)))/(1-(AB$7)))-AB$6&lt;0,((AB26+AC26)/2),AB26)</f>
        <v>0.0600383758544922</v>
      </c>
      <c r="AC27" s="37" t="n">
        <f aca="false">IF((((AB26+AC26)/2))*LN((((AB26+AC26)/2))/(AB$7))+(1-(((AB26+AC26)/2)))*LN((1-(((AB26+AC26)/2)))/(1-(AB$7)))-AB$6&lt;0,AC26,((AB26+AC26)/2))</f>
        <v>0.0600419998168945</v>
      </c>
      <c r="AD27" s="37" t="n">
        <f aca="false">IF((((AD26+AE26)/2))*LN((((AD26+AE26)/2))/(AD$7))+(1-(((AD26+AE26)/2)))*LN((1-(((AD26+AE26)/2)))/(1-(AD$7)))-AD$6&lt;0,((AD26+AE26)/2),AD26)</f>
        <v>0.0677501678466797</v>
      </c>
      <c r="AE27" s="37" t="n">
        <f aca="false">IF((((AD26+AE26)/2))*LN((((AD26+AE26)/2))/(AD$7))+(1-(((AD26+AE26)/2)))*LN((1-(((AD26+AE26)/2)))/(1-(AD$7)))-AD$6&lt;0,AE26,((AD26+AE26)/2))</f>
        <v>0.067753791809082</v>
      </c>
      <c r="AF27" s="37" t="n">
        <f aca="false">IF((((AF26+AG26)/2))*LN((((AF26+AG26)/2))/(AF$7))+(1-(((AF26+AG26)/2)))*LN((1-(((AF26+AG26)/2)))/(1-(AF$7)))-AF$6&lt;0,((AF26+AG26)/2),AF26)</f>
        <v>0.0836448669433593</v>
      </c>
      <c r="AG27" s="37" t="n">
        <f aca="false">IF((((AF26+AG26)/2))*LN((((AF26+AG26)/2))/(AF$7))+(1-(((AF26+AG26)/2)))*LN((1-(((AF26+AG26)/2)))/(1-(AF$7)))-AF$6&lt;0,AG26,((AF26+AG26)/2))</f>
        <v>0.0836484909057617</v>
      </c>
      <c r="AH27" s="37" t="n">
        <f aca="false">IF((((AH26+AI26)/2))*LN((((AH26+AI26)/2))/(AH$7))+(1-(((AH26+AI26)/2)))*LN((1-(((AH26+AI26)/2)))/(1-(AH$7)))-AH$6&lt;0,((AH26+AI26)/2),AH26)</f>
        <v>0.111545753479004</v>
      </c>
      <c r="AI27" s="37" t="n">
        <f aca="false">IF((((AH26+AI26)/2))*LN((((AH26+AI26)/2))/(AH$7))+(1-(((AH26+AI26)/2)))*LN((1-(((AH26+AI26)/2)))/(1-(AH$7)))-AH$6&lt;0,AI26,((AH26+AI26)/2))</f>
        <v>0.111549377441406</v>
      </c>
      <c r="AJ27" s="37" t="n">
        <f aca="false">IF((((AJ26+AK26)/2))*LN((((AJ26+AK26)/2))/(AJ$7))+(1-(((AJ26+AK26)/2)))*LN((1-(((AJ26+AK26)/2)))/(1-(AJ$7)))-AJ$6&lt;0,((AJ26+AK26)/2),AJ26)</f>
        <v>0.172946548461914</v>
      </c>
      <c r="AK27" s="37" t="n">
        <f aca="false">IF((((AJ26+AK26)/2))*LN((((AJ26+AK26)/2))/(AJ$7))+(1-(((AJ26+AK26)/2)))*LN((1-(((AJ26+AK26)/2)))/(1-(AJ$7)))-AJ$6&lt;0,AK26,((AJ26+AK26)/2))</f>
        <v>0.172950172424316</v>
      </c>
      <c r="AL27" s="37" t="n">
        <f aca="false">IF((((AL26+AM26)/2))*LN((((AL26+AM26)/2))/(AL$7))+(1-(((AL26+AM26)/2)))*LN((1-(((AL26+AM26)/2)))/(1-(AL$7)))-AL$6&lt;0,((AL26+AM26)/2),AL26)</f>
        <v>0.288518333435058</v>
      </c>
      <c r="AM27" s="37" t="n">
        <f aca="false">IF((((AL26+AM26)/2))*LN((((AL26+AM26)/2))/(AL$7))+(1-(((AL26+AM26)/2)))*LN((1-(((AL26+AM26)/2)))/(1-(AL$7)))-AL$6&lt;0,AM26,((AL26+AM26)/2))</f>
        <v>0.288521957397461</v>
      </c>
      <c r="AN27" s="37" t="n">
        <f aca="false">IF((((AN26+AO26)/2))*LN((((AN26+AO26)/2))/(AN$7))+(1-(((AN26+AO26)/2)))*LN((1-(((AN26+AO26)/2)))/(1-(AN$7)))-AN$6&lt;0,((AN26+AO26)/2),AN26)</f>
        <v>0.555513763427734</v>
      </c>
      <c r="AO27" s="37" t="n">
        <f aca="false">IF((((AN26+AO26)/2))*LN((((AN26+AO26)/2))/(AN$7))+(1-(((AN26+AO26)/2)))*LN((1-(((AN26+AO26)/2)))/(1-(AN$7)))-AN$6&lt;0,AO26,((AN26+AO26)/2))</f>
        <v>0.555517387390136</v>
      </c>
      <c r="AP27" s="37" t="n">
        <f aca="false">IF(AP$7*LN(AP$7)-AP$7*((AP26+AQ26)/2)+(1-AP$7)*LN(1-AP$7)-(1-AP$7)*LN(1-EXP(((AP26+AQ26)/2)))-AP$6&gt;0,((AP26+AQ26)/2),AP26)</f>
        <v>-3.68971440505913</v>
      </c>
      <c r="AQ27" s="37" t="n">
        <f aca="false">IF(AP$7*LN(AP$7)-AP$7*((AP26+AQ26)/2)+(1-AP$7)*LN(1-AP$7)-(1-AP$7)*LN(1-EXP(((AP26+AQ26)/2)))-AP$6&gt;0,AQ26,((AP26+AQ26)/2))</f>
        <v>-3.6894623229191</v>
      </c>
      <c r="AR27" s="37" t="n">
        <f aca="false">IF((((AR26+AS26)/2))*LN((((AR26+AS26)/2))/(AR$7))+(1-(((AR26+AS26)/2)))*LN((1-(((AR26+AS26)/2)))/(1-(AR$7)))-AR$6&lt;0,((AR26+AS26)/2),AR26)</f>
        <v>0.0836448669433593</v>
      </c>
      <c r="AS27" s="37" t="n">
        <f aca="false">IF((((AR26+AS26)/2))*LN((((AR26+AS26)/2))/(AR$7))+(1-(((AR26+AS26)/2)))*LN((1-(((AR26+AS26)/2)))/(1-(AR$7)))-AR$6&lt;0,AS26,((AR26+AS26)/2))</f>
        <v>0.0836484909057617</v>
      </c>
    </row>
    <row r="28" customFormat="false" ht="15" hidden="false" customHeight="false" outlineLevel="0" collapsed="false">
      <c r="B28" s="37" t="n">
        <f aca="false">IF(B$7*LN(B$7)-B$7*((B27+C27)/2)+(1-B$7)*LN(1-B$7)-(1-B$7)*LN(1-EXP(((B27+C27)/2)))-B$6&gt;0,((B27+C27)/2),B27)</f>
        <v>-12.7417319714297</v>
      </c>
      <c r="C28" s="37" t="n">
        <f aca="false">IF(B$7*LN(B$7)-B$7*((B27+C27)/2)+(1-B$7)*LN(1-B$7)-(1-B$7)*LN(1-EXP(((B27+C27)/2)))-B$6&gt;0,C27,((B27+C27)/2))</f>
        <v>-12.7416059303597</v>
      </c>
      <c r="D28" s="37" t="n">
        <f aca="false">IF(D$7*LN(D$7)-D$7*((D27+E27)/2)+(1-D$7)*LN(1-D$7)-(1-D$7)*LN(1-EXP(((D27+E27)/2)))-D$6&gt;0,((D27+E27)/2),D27)</f>
        <v>-16.0341768023736</v>
      </c>
      <c r="E28" s="37" t="n">
        <f aca="false">IF(D$7*LN(D$7)-D$7*((D27+E27)/2)+(1-D$7)*LN(1-D$7)-(1-D$7)*LN(1-EXP(((D27+E27)/2)))-D$6&gt;0,E27,((D27+E27)/2))</f>
        <v>-16.0340507613036</v>
      </c>
      <c r="F28" s="37" t="n">
        <f aca="false">IF(F$7*LN(F$7)-F$7*((F27+G27)/2)+(1-F$7)*LN(1-F$7)-(1-F$7)*LN(1-EXP(((F27+G27)/2)))-F$6&gt;0,((F27+G27)/2),F27)</f>
        <v>-24.8056269468898</v>
      </c>
      <c r="G28" s="37" t="n">
        <f aca="false">IF(F$7*LN(F$7)-F$7*((F27+G27)/2)+(1-F$7)*LN(1-F$7)-(1-F$7)*LN(1-EXP(((F27+G27)/2)))-F$6&gt;0,G27,((F27+G27)/2))</f>
        <v>-24.8055009058198</v>
      </c>
      <c r="H28" s="37" t="n">
        <f aca="false">IF(H$7*LN(H$7)-H$7*((H27+I27)/2)+(1-H$7)*LN(1-H$7)-(1-H$7)*LN(1-EXP(((H27+I27)/2)))-H$6&gt;0,((H27+I27)/2),H27)</f>
        <v>-3.19790214985879</v>
      </c>
      <c r="I28" s="37" t="n">
        <f aca="false">IF(H$7*LN(H$7)-H$7*((H27+I27)/2)+(1-H$7)*LN(1-H$7)-(1-H$7)*LN(1-EXP(((H27+I27)/2)))-H$6&gt;0,I27,((H27+I27)/2))</f>
        <v>-3.19777610878878</v>
      </c>
      <c r="J28" s="37" t="n">
        <f aca="false">IF(J$7*LN(J$7)-J$7*((J27+K27)/2)+(1-J$7)*LN(1-J$7)-(1-J$7)*LN(1-EXP(((J27+K27)/2)))-J$6&gt;0,((J27+K27)/2),J27)</f>
        <v>-3.28613089886962</v>
      </c>
      <c r="K28" s="37" t="n">
        <f aca="false">IF(J$7*LN(J$7)-J$7*((J27+K27)/2)+(1-J$7)*LN(1-J$7)-(1-J$7)*LN(1-EXP(((J27+K27)/2)))-J$6&gt;0,K27,((J27+K27)/2))</f>
        <v>-3.2860048577996</v>
      </c>
      <c r="L28" s="37" t="n">
        <f aca="false">IF(L$7*LN(L$7)-L$7*((L27+M27)/2)+(1-L$7)*LN(1-L$7)-(1-L$7)*LN(1-EXP(((L27+M27)/2)))-L$6&gt;0,((L27+M27)/2),L27)</f>
        <v>-3.46926857360209</v>
      </c>
      <c r="M28" s="37" t="n">
        <f aca="false">IF(L$7*LN(L$7)-L$7*((L27+M27)/2)+(1-L$7)*LN(1-L$7)-(1-L$7)*LN(1-EXP(((L27+M27)/2)))-L$6&gt;0,M27,((L27+M27)/2))</f>
        <v>-3.46914253253207</v>
      </c>
      <c r="N28" s="37" t="n">
        <f aca="false">IF(N$7*LN(N$7)-N$7*((N27+O27)/2)+(1-N$7)*LN(1-N$7)-(1-N$7)*LN(1-EXP(((N27+O27)/2)))-N$6&gt;0,((N27+O27)/2),N27)</f>
        <v>-3.68971440505913</v>
      </c>
      <c r="O28" s="37" t="n">
        <f aca="false">IF(N$7*LN(N$7)-N$7*((N27+O27)/2)+(1-N$7)*LN(1-N$7)-(1-N$7)*LN(1-EXP(((N27+O27)/2)))-N$6&gt;0,O27,((N27+O27)/2))</f>
        <v>-3.68958836398912</v>
      </c>
      <c r="P28" s="37" t="n">
        <f aca="false">IF(P$7*LN(P$7)-P$7*((P27+Q27)/2)+(1-P$7)*LN(1-P$7)-(1-P$7)*LN(1-EXP(((P27+Q27)/2)))-P$6&gt;0,((P27+Q27)/2),P27)</f>
        <v>-4.02939508875081</v>
      </c>
      <c r="Q28" s="37" t="n">
        <f aca="false">IF(P$7*LN(P$7)-P$7*((P27+Q27)/2)+(1-P$7)*LN(1-P$7)-(1-P$7)*LN(1-EXP(((P27+Q27)/2)))-P$6&gt;0,Q27,((P27+Q27)/2))</f>
        <v>-4.02926904768079</v>
      </c>
      <c r="R28" s="37" t="n">
        <f aca="false">IF(R$7*LN(R$7)-R$7*((R27+S27)/2)+(1-R$7)*LN(1-R$7)-(1-R$7)*LN(1-EXP(((R27+S27)/2)))-R$6&gt;0,((R27+S27)/2),R27)</f>
        <v>-4.31449998912579</v>
      </c>
      <c r="S28" s="37" t="n">
        <f aca="false">IF(R$7*LN(R$7)-R$7*((R27+S27)/2)+(1-R$7)*LN(1-R$7)-(1-R$7)*LN(1-EXP(((R27+S27)/2)))-R$6&gt;0,S27,((R27+S27)/2))</f>
        <v>-4.31437394805577</v>
      </c>
      <c r="T28" s="37" t="n">
        <f aca="false">IF(T$7*LN(T$7)-T$7*((T27+U27)/2)+(1-T$7)*LN(1-T$7)-(1-T$7)*LN(1-EXP(((T27+U27)/2)))-T$6&gt;0,((T27+U27)/2),T27)</f>
        <v>-4.81576532457729</v>
      </c>
      <c r="U28" s="37" t="n">
        <f aca="false">IF(T$7*LN(T$7)-T$7*((T27+U27)/2)+(1-T$7)*LN(1-T$7)-(1-T$7)*LN(1-EXP(((T27+U27)/2)))-T$6&gt;0,U27,((T27+U27)/2))</f>
        <v>-4.81563928350727</v>
      </c>
      <c r="V28" s="37" t="n">
        <f aca="false">IF(V$7*LN(V$7)-V$7*((V27+W27)/2)+(1-V$7)*LN(1-V$7)-(1-V$7)*LN(1-EXP(((V27+W27)/2)))-V$6&gt;0,((V27+W27)/2),V27)</f>
        <v>-5.38282409857686</v>
      </c>
      <c r="W28" s="37" t="n">
        <f aca="false">IF(V$7*LN(V$7)-V$7*((V27+W27)/2)+(1-V$7)*LN(1-V$7)-(1-V$7)*LN(1-EXP(((V27+W27)/2)))-V$6&gt;0,W27,((V27+W27)/2))</f>
        <v>-5.38269805750684</v>
      </c>
      <c r="X28" s="37" t="n">
        <f aca="false">IF(X$7*LN(X$7)-X$7*((X27+Y27)/2)+(1-X$7)*LN(1-X$7)-(1-X$7)*LN(1-EXP(((X27+Y27)/2)))-X$6&gt;0,((X27+Y27)/2),X27)</f>
        <v>-5.91925489256267</v>
      </c>
      <c r="Y28" s="37" t="n">
        <f aca="false">IF(X$7*LN(X$7)-X$7*((X27+Y27)/2)+(1-X$7)*LN(1-X$7)-(1-X$7)*LN(1-EXP(((X27+Y27)/2)))-X$6&gt;0,Y27,((X27+Y27)/2))</f>
        <v>-5.91912885149266</v>
      </c>
      <c r="Z28" s="37" t="n">
        <f aca="false">IF(Z$7*LN(Z$7)-Z$7*((Z27+AA27)/2)+(1-Z$7)*LN(1-Z$7)-(1-Z$7)*LN(1-EXP(((Z27+AA27)/2)))-Z$6&gt;0,((Z27+AA27)/2),Z27)</f>
        <v>-6.95216146133939</v>
      </c>
      <c r="AA28" s="37" t="n">
        <f aca="false">IF(Z$7*LN(Z$7)-Z$7*((Z27+AA27)/2)+(1-Z$7)*LN(1-Z$7)-(1-Z$7)*LN(1-EXP(((Z27+AA27)/2)))-Z$6&gt;0,AA27,((Z27+AA27)/2))</f>
        <v>-6.95203542026938</v>
      </c>
      <c r="AB28" s="37" t="n">
        <f aca="false">IF((((AB27+AC27)/2))*LN((((AB27+AC27)/2))/(AB$7))+(1-(((AB27+AC27)/2)))*LN((1-(((AB27+AC27)/2)))/(1-(AB$7)))-AB$6&lt;0,((AB27+AC27)/2),AB27)</f>
        <v>0.0600401878356933</v>
      </c>
      <c r="AC28" s="37" t="n">
        <f aca="false">IF((((AB27+AC27)/2))*LN((((AB27+AC27)/2))/(AB$7))+(1-(((AB27+AC27)/2)))*LN((1-(((AB27+AC27)/2)))/(1-(AB$7)))-AB$6&lt;0,AC27,((AB27+AC27)/2))</f>
        <v>0.0600419998168945</v>
      </c>
      <c r="AD28" s="37" t="n">
        <f aca="false">IF((((AD27+AE27)/2))*LN((((AD27+AE27)/2))/(AD$7))+(1-(((AD27+AE27)/2)))*LN((1-(((AD27+AE27)/2)))/(1-(AD$7)))-AD$6&lt;0,((AD27+AE27)/2),AD27)</f>
        <v>0.0677501678466797</v>
      </c>
      <c r="AE28" s="37" t="n">
        <f aca="false">IF((((AD27+AE27)/2))*LN((((AD27+AE27)/2))/(AD$7))+(1-(((AD27+AE27)/2)))*LN((1-(((AD27+AE27)/2)))/(1-(AD$7)))-AD$6&lt;0,AE27,((AD27+AE27)/2))</f>
        <v>0.0677519798278808</v>
      </c>
      <c r="AF28" s="37" t="n">
        <f aca="false">IF((((AF27+AG27)/2))*LN((((AF27+AG27)/2))/(AF$7))+(1-(((AF27+AG27)/2)))*LN((1-(((AF27+AG27)/2)))/(1-(AF$7)))-AF$6&lt;0,((AF27+AG27)/2),AF27)</f>
        <v>0.0836466789245605</v>
      </c>
      <c r="AG28" s="37" t="n">
        <f aca="false">IF((((AF27+AG27)/2))*LN((((AF27+AG27)/2))/(AF$7))+(1-(((AF27+AG27)/2)))*LN((1-(((AF27+AG27)/2)))/(1-(AF$7)))-AF$6&lt;0,AG27,((AF27+AG27)/2))</f>
        <v>0.0836484909057617</v>
      </c>
      <c r="AH28" s="37" t="n">
        <f aca="false">IF((((AH27+AI27)/2))*LN((((AH27+AI27)/2))/(AH$7))+(1-(((AH27+AI27)/2)))*LN((1-(((AH27+AI27)/2)))/(1-(AH$7)))-AH$6&lt;0,((AH27+AI27)/2),AH27)</f>
        <v>0.111547565460205</v>
      </c>
      <c r="AI28" s="37" t="n">
        <f aca="false">IF((((AH27+AI27)/2))*LN((((AH27+AI27)/2))/(AH$7))+(1-(((AH27+AI27)/2)))*LN((1-(((AH27+AI27)/2)))/(1-(AH$7)))-AH$6&lt;0,AI27,((AH27+AI27)/2))</f>
        <v>0.111549377441406</v>
      </c>
      <c r="AJ28" s="37" t="n">
        <f aca="false">IF((((AJ27+AK27)/2))*LN((((AJ27+AK27)/2))/(AJ$7))+(1-(((AJ27+AK27)/2)))*LN((1-(((AJ27+AK27)/2)))/(1-(AJ$7)))-AJ$6&lt;0,((AJ27+AK27)/2),AJ27)</f>
        <v>0.172948360443115</v>
      </c>
      <c r="AK28" s="37" t="n">
        <f aca="false">IF((((AJ27+AK27)/2))*LN((((AJ27+AK27)/2))/(AJ$7))+(1-(((AJ27+AK27)/2)))*LN((1-(((AJ27+AK27)/2)))/(1-(AJ$7)))-AJ$6&lt;0,AK27,((AJ27+AK27)/2))</f>
        <v>0.172950172424316</v>
      </c>
      <c r="AL28" s="37" t="n">
        <f aca="false">IF((((AL27+AM27)/2))*LN((((AL27+AM27)/2))/(AL$7))+(1-(((AL27+AM27)/2)))*LN((1-(((AL27+AM27)/2)))/(1-(AL$7)))-AL$6&lt;0,((AL27+AM27)/2),AL27)</f>
        <v>0.288518333435058</v>
      </c>
      <c r="AM28" s="37" t="n">
        <f aca="false">IF((((AL27+AM27)/2))*LN((((AL27+AM27)/2))/(AL$7))+(1-(((AL27+AM27)/2)))*LN((1-(((AL27+AM27)/2)))/(1-(AL$7)))-AL$6&lt;0,AM27,((AL27+AM27)/2))</f>
        <v>0.28852014541626</v>
      </c>
      <c r="AN28" s="37" t="n">
        <f aca="false">IF((((AN27+AO27)/2))*LN((((AN27+AO27)/2))/(AN$7))+(1-(((AN27+AO27)/2)))*LN((1-(((AN27+AO27)/2)))/(1-(AN$7)))-AN$6&lt;0,((AN27+AO27)/2),AN27)</f>
        <v>0.555513763427734</v>
      </c>
      <c r="AO28" s="37" t="n">
        <f aca="false">IF((((AN27+AO27)/2))*LN((((AN27+AO27)/2))/(AN$7))+(1-(((AN27+AO27)/2)))*LN((1-(((AN27+AO27)/2)))/(1-(AN$7)))-AN$6&lt;0,AO27,((AN27+AO27)/2))</f>
        <v>0.555515575408935</v>
      </c>
      <c r="AP28" s="37" t="n">
        <f aca="false">IF(AP$7*LN(AP$7)-AP$7*((AP27+AQ27)/2)+(1-AP$7)*LN(1-AP$7)-(1-AP$7)*LN(1-EXP(((AP27+AQ27)/2)))-AP$6&gt;0,((AP27+AQ27)/2),AP27)</f>
        <v>-3.68971440505913</v>
      </c>
      <c r="AQ28" s="37" t="n">
        <f aca="false">IF(AP$7*LN(AP$7)-AP$7*((AP27+AQ27)/2)+(1-AP$7)*LN(1-AP$7)-(1-AP$7)*LN(1-EXP(((AP27+AQ27)/2)))-AP$6&gt;0,AQ27,((AP27+AQ27)/2))</f>
        <v>-3.68958836398912</v>
      </c>
      <c r="AR28" s="37" t="n">
        <f aca="false">IF((((AR27+AS27)/2))*LN((((AR27+AS27)/2))/(AR$7))+(1-(((AR27+AS27)/2)))*LN((1-(((AR27+AS27)/2)))/(1-(AR$7)))-AR$6&lt;0,((AR27+AS27)/2),AR27)</f>
        <v>0.0836466789245605</v>
      </c>
      <c r="AS28" s="37" t="n">
        <f aca="false">IF((((AR27+AS27)/2))*LN((((AR27+AS27)/2))/(AR$7))+(1-(((AR27+AS27)/2)))*LN((1-(((AR27+AS27)/2)))/(1-(AR$7)))-AR$6&lt;0,AS27,((AR27+AS27)/2))</f>
        <v>0.0836484909057617</v>
      </c>
    </row>
    <row r="29" customFormat="false" ht="15" hidden="false" customHeight="false" outlineLevel="0" collapsed="false">
      <c r="B29" s="37" t="n">
        <f aca="false">IF(B$7*LN(B$7)-B$7*((B28+C28)/2)+(1-B$7)*LN(1-B$7)-(1-B$7)*LN(1-EXP(((B28+C28)/2)))-B$6&gt;0,((B28+C28)/2),B28)</f>
        <v>-12.7417319714297</v>
      </c>
      <c r="C29" s="37" t="n">
        <f aca="false">IF(B$7*LN(B$7)-B$7*((B28+C28)/2)+(1-B$7)*LN(1-B$7)-(1-B$7)*LN(1-EXP(((B28+C28)/2)))-B$6&gt;0,C28,((B28+C28)/2))</f>
        <v>-12.7416689508947</v>
      </c>
      <c r="D29" s="37" t="n">
        <f aca="false">IF(D$7*LN(D$7)-D$7*((D28+E28)/2)+(1-D$7)*LN(1-D$7)-(1-D$7)*LN(1-EXP(((D28+E28)/2)))-D$6&gt;0,((D28+E28)/2),D28)</f>
        <v>-16.0341768023736</v>
      </c>
      <c r="E29" s="37" t="n">
        <f aca="false">IF(D$7*LN(D$7)-D$7*((D28+E28)/2)+(1-D$7)*LN(1-D$7)-(1-D$7)*LN(1-EXP(((D28+E28)/2)))-D$6&gt;0,E28,((D28+E28)/2))</f>
        <v>-16.0341137818386</v>
      </c>
      <c r="F29" s="37" t="n">
        <f aca="false">IF(F$7*LN(F$7)-F$7*((F28+G28)/2)+(1-F$7)*LN(1-F$7)-(1-F$7)*LN(1-EXP(((F28+G28)/2)))-F$6&gt;0,((F28+G28)/2),F28)</f>
        <v>-24.8056269468898</v>
      </c>
      <c r="G29" s="37" t="n">
        <f aca="false">IF(F$7*LN(F$7)-F$7*((F28+G28)/2)+(1-F$7)*LN(1-F$7)-(1-F$7)*LN(1-EXP(((F28+G28)/2)))-F$6&gt;0,G28,((F28+G28)/2))</f>
        <v>-24.8055639263548</v>
      </c>
      <c r="H29" s="37" t="n">
        <f aca="false">IF(H$7*LN(H$7)-H$7*((H28+I28)/2)+(1-H$7)*LN(1-H$7)-(1-H$7)*LN(1-EXP(((H28+I28)/2)))-H$6&gt;0,((H28+I28)/2),H28)</f>
        <v>-3.19790214985879</v>
      </c>
      <c r="I29" s="37" t="n">
        <f aca="false">IF(H$7*LN(H$7)-H$7*((H28+I28)/2)+(1-H$7)*LN(1-H$7)-(1-H$7)*LN(1-EXP(((H28+I28)/2)))-H$6&gt;0,I28,((H28+I28)/2))</f>
        <v>-3.19783912932379</v>
      </c>
      <c r="J29" s="37" t="n">
        <f aca="false">IF(J$7*LN(J$7)-J$7*((J28+K28)/2)+(1-J$7)*LN(1-J$7)-(1-J$7)*LN(1-EXP(((J28+K28)/2)))-J$6&gt;0,((J28+K28)/2),J28)</f>
        <v>-3.28606787833461</v>
      </c>
      <c r="K29" s="37" t="n">
        <f aca="false">IF(J$7*LN(J$7)-J$7*((J28+K28)/2)+(1-J$7)*LN(1-J$7)-(1-J$7)*LN(1-EXP(((J28+K28)/2)))-J$6&gt;0,K28,((J28+K28)/2))</f>
        <v>-3.2860048577996</v>
      </c>
      <c r="L29" s="37" t="n">
        <f aca="false">IF(L$7*LN(L$7)-L$7*((L28+M28)/2)+(1-L$7)*LN(1-L$7)-(1-L$7)*LN(1-EXP(((L28+M28)/2)))-L$6&gt;0,((L28+M28)/2),L28)</f>
        <v>-3.46920555306708</v>
      </c>
      <c r="M29" s="37" t="n">
        <f aca="false">IF(L$7*LN(L$7)-L$7*((L28+M28)/2)+(1-L$7)*LN(1-L$7)-(1-L$7)*LN(1-EXP(((L28+M28)/2)))-L$6&gt;0,M28,((L28+M28)/2))</f>
        <v>-3.46914253253207</v>
      </c>
      <c r="N29" s="37" t="n">
        <f aca="false">IF(N$7*LN(N$7)-N$7*((N28+O28)/2)+(1-N$7)*LN(1-N$7)-(1-N$7)*LN(1-EXP(((N28+O28)/2)))-N$6&gt;0,((N28+O28)/2),N28)</f>
        <v>-3.68965138452413</v>
      </c>
      <c r="O29" s="37" t="n">
        <f aca="false">IF(N$7*LN(N$7)-N$7*((N28+O28)/2)+(1-N$7)*LN(1-N$7)-(1-N$7)*LN(1-EXP(((N28+O28)/2)))-N$6&gt;0,O28,((N28+O28)/2))</f>
        <v>-3.68958836398912</v>
      </c>
      <c r="P29" s="37" t="n">
        <f aca="false">IF(P$7*LN(P$7)-P$7*((P28+Q28)/2)+(1-P$7)*LN(1-P$7)-(1-P$7)*LN(1-EXP(((P28+Q28)/2)))-P$6&gt;0,((P28+Q28)/2),P28)</f>
        <v>-4.0293320682158</v>
      </c>
      <c r="Q29" s="37" t="n">
        <f aca="false">IF(P$7*LN(P$7)-P$7*((P28+Q28)/2)+(1-P$7)*LN(1-P$7)-(1-P$7)*LN(1-EXP(((P28+Q28)/2)))-P$6&gt;0,Q28,((P28+Q28)/2))</f>
        <v>-4.02926904768079</v>
      </c>
      <c r="R29" s="37" t="n">
        <f aca="false">IF(R$7*LN(R$7)-R$7*((R28+S28)/2)+(1-R$7)*LN(1-R$7)-(1-R$7)*LN(1-EXP(((R28+S28)/2)))-R$6&gt;0,((R28+S28)/2),R28)</f>
        <v>-4.31449998912579</v>
      </c>
      <c r="S29" s="37" t="n">
        <f aca="false">IF(R$7*LN(R$7)-R$7*((R28+S28)/2)+(1-R$7)*LN(1-R$7)-(1-R$7)*LN(1-EXP(((R28+S28)/2)))-R$6&gt;0,S28,((R28+S28)/2))</f>
        <v>-4.31443696859078</v>
      </c>
      <c r="T29" s="37" t="n">
        <f aca="false">IF(T$7*LN(T$7)-T$7*((T28+U28)/2)+(1-T$7)*LN(1-T$7)-(1-T$7)*LN(1-EXP(((T28+U28)/2)))-T$6&gt;0,((T28+U28)/2),T28)</f>
        <v>-4.81576532457729</v>
      </c>
      <c r="U29" s="37" t="n">
        <f aca="false">IF(T$7*LN(T$7)-T$7*((T28+U28)/2)+(1-T$7)*LN(1-T$7)-(1-T$7)*LN(1-EXP(((T28+U28)/2)))-T$6&gt;0,U28,((T28+U28)/2))</f>
        <v>-4.81570230404228</v>
      </c>
      <c r="V29" s="37" t="n">
        <f aca="false">IF(V$7*LN(V$7)-V$7*((V28+W28)/2)+(1-V$7)*LN(1-V$7)-(1-V$7)*LN(1-EXP(((V28+W28)/2)))-V$6&gt;0,((V28+W28)/2),V28)</f>
        <v>-5.38282409857686</v>
      </c>
      <c r="W29" s="37" t="n">
        <f aca="false">IF(V$7*LN(V$7)-V$7*((V28+W28)/2)+(1-V$7)*LN(1-V$7)-(1-V$7)*LN(1-EXP(((V28+W28)/2)))-V$6&gt;0,W28,((V28+W28)/2))</f>
        <v>-5.38276107804185</v>
      </c>
      <c r="X29" s="37" t="n">
        <f aca="false">IF(X$7*LN(X$7)-X$7*((X28+Y28)/2)+(1-X$7)*LN(1-X$7)-(1-X$7)*LN(1-EXP(((X28+Y28)/2)))-X$6&gt;0,((X28+Y28)/2),X28)</f>
        <v>-5.91919187202766</v>
      </c>
      <c r="Y29" s="37" t="n">
        <f aca="false">IF(X$7*LN(X$7)-X$7*((X28+Y28)/2)+(1-X$7)*LN(1-X$7)-(1-X$7)*LN(1-EXP(((X28+Y28)/2)))-X$6&gt;0,Y28,((X28+Y28)/2))</f>
        <v>-5.91912885149266</v>
      </c>
      <c r="Z29" s="37" t="n">
        <f aca="false">IF(Z$7*LN(Z$7)-Z$7*((Z28+AA28)/2)+(1-Z$7)*LN(1-Z$7)-(1-Z$7)*LN(1-EXP(((Z28+AA28)/2)))-Z$6&gt;0,((Z28+AA28)/2),Z28)</f>
        <v>-6.95216146133939</v>
      </c>
      <c r="AA29" s="37" t="n">
        <f aca="false">IF(Z$7*LN(Z$7)-Z$7*((Z28+AA28)/2)+(1-Z$7)*LN(1-Z$7)-(1-Z$7)*LN(1-EXP(((Z28+AA28)/2)))-Z$6&gt;0,AA28,((Z28+AA28)/2))</f>
        <v>-6.95209844080439</v>
      </c>
      <c r="AB29" s="37" t="n">
        <f aca="false">IF((((AB28+AC28)/2))*LN((((AB28+AC28)/2))/(AB$7))+(1-(((AB28+AC28)/2)))*LN((1-(((AB28+AC28)/2)))/(1-(AB$7)))-AB$6&lt;0,((AB28+AC28)/2),AB28)</f>
        <v>0.0600401878356933</v>
      </c>
      <c r="AC29" s="37" t="n">
        <f aca="false">IF((((AB28+AC28)/2))*LN((((AB28+AC28)/2))/(AB$7))+(1-(((AB28+AC28)/2)))*LN((1-(((AB28+AC28)/2)))/(1-(AB$7)))-AB$6&lt;0,AC28,((AB28+AC28)/2))</f>
        <v>0.0600410938262939</v>
      </c>
      <c r="AD29" s="37" t="n">
        <f aca="false">IF((((AD28+AE28)/2))*LN((((AD28+AE28)/2))/(AD$7))+(1-(((AD28+AE28)/2)))*LN((1-(((AD28+AE28)/2)))/(1-(AD$7)))-AD$6&lt;0,((AD28+AE28)/2),AD28)</f>
        <v>0.0677510738372803</v>
      </c>
      <c r="AE29" s="37" t="n">
        <f aca="false">IF((((AD28+AE28)/2))*LN((((AD28+AE28)/2))/(AD$7))+(1-(((AD28+AE28)/2)))*LN((1-(((AD28+AE28)/2)))/(1-(AD$7)))-AD$6&lt;0,AE28,((AD28+AE28)/2))</f>
        <v>0.0677519798278808</v>
      </c>
      <c r="AF29" s="37" t="n">
        <f aca="false">IF((((AF28+AG28)/2))*LN((((AF28+AG28)/2))/(AF$7))+(1-(((AF28+AG28)/2)))*LN((1-(((AF28+AG28)/2)))/(1-(AF$7)))-AF$6&lt;0,((AF28+AG28)/2),AF28)</f>
        <v>0.0836475849151611</v>
      </c>
      <c r="AG29" s="37" t="n">
        <f aca="false">IF((((AF28+AG28)/2))*LN((((AF28+AG28)/2))/(AF$7))+(1-(((AF28+AG28)/2)))*LN((1-(((AF28+AG28)/2)))/(1-(AF$7)))-AF$6&lt;0,AG28,((AF28+AG28)/2))</f>
        <v>0.0836484909057617</v>
      </c>
      <c r="AH29" s="37" t="n">
        <f aca="false">IF((((AH28+AI28)/2))*LN((((AH28+AI28)/2))/(AH$7))+(1-(((AH28+AI28)/2)))*LN((1-(((AH28+AI28)/2)))/(1-(AH$7)))-AH$6&lt;0,((AH28+AI28)/2),AH28)</f>
        <v>0.111547565460205</v>
      </c>
      <c r="AI29" s="37" t="n">
        <f aca="false">IF((((AH28+AI28)/2))*LN((((AH28+AI28)/2))/(AH$7))+(1-(((AH28+AI28)/2)))*LN((1-(((AH28+AI28)/2)))/(1-(AH$7)))-AH$6&lt;0,AI28,((AH28+AI28)/2))</f>
        <v>0.111548471450806</v>
      </c>
      <c r="AJ29" s="37" t="n">
        <f aca="false">IF((((AJ28+AK28)/2))*LN((((AJ28+AK28)/2))/(AJ$7))+(1-(((AJ28+AK28)/2)))*LN((1-(((AJ28+AK28)/2)))/(1-(AJ$7)))-AJ$6&lt;0,((AJ28+AK28)/2),AJ28)</f>
        <v>0.172949266433716</v>
      </c>
      <c r="AK29" s="37" t="n">
        <f aca="false">IF((((AJ28+AK28)/2))*LN((((AJ28+AK28)/2))/(AJ$7))+(1-(((AJ28+AK28)/2)))*LN((1-(((AJ28+AK28)/2)))/(1-(AJ$7)))-AJ$6&lt;0,AK28,((AJ28+AK28)/2))</f>
        <v>0.172950172424316</v>
      </c>
      <c r="AL29" s="37" t="n">
        <f aca="false">IF((((AL28+AM28)/2))*LN((((AL28+AM28)/2))/(AL$7))+(1-(((AL28+AM28)/2)))*LN((1-(((AL28+AM28)/2)))/(1-(AL$7)))-AL$6&lt;0,((AL28+AM28)/2),AL28)</f>
        <v>0.288518333435058</v>
      </c>
      <c r="AM29" s="37" t="n">
        <f aca="false">IF((((AL28+AM28)/2))*LN((((AL28+AM28)/2))/(AL$7))+(1-(((AL28+AM28)/2)))*LN((1-(((AL28+AM28)/2)))/(1-(AL$7)))-AL$6&lt;0,AM28,((AL28+AM28)/2))</f>
        <v>0.288519239425659</v>
      </c>
      <c r="AN29" s="37" t="n">
        <f aca="false">IF((((AN28+AO28)/2))*LN((((AN28+AO28)/2))/(AN$7))+(1-(((AN28+AO28)/2)))*LN((1-(((AN28+AO28)/2)))/(1-(AN$7)))-AN$6&lt;0,((AN28+AO28)/2),AN28)</f>
        <v>0.555513763427734</v>
      </c>
      <c r="AO29" s="37" t="n">
        <f aca="false">IF((((AN28+AO28)/2))*LN((((AN28+AO28)/2))/(AN$7))+(1-(((AN28+AO28)/2)))*LN((1-(((AN28+AO28)/2)))/(1-(AN$7)))-AN$6&lt;0,AO28,((AN28+AO28)/2))</f>
        <v>0.555514669418334</v>
      </c>
      <c r="AP29" s="37" t="n">
        <f aca="false">IF(AP$7*LN(AP$7)-AP$7*((AP28+AQ28)/2)+(1-AP$7)*LN(1-AP$7)-(1-AP$7)*LN(1-EXP(((AP28+AQ28)/2)))-AP$6&gt;0,((AP28+AQ28)/2),AP28)</f>
        <v>-3.68965138452413</v>
      </c>
      <c r="AQ29" s="37" t="n">
        <f aca="false">IF(AP$7*LN(AP$7)-AP$7*((AP28+AQ28)/2)+(1-AP$7)*LN(1-AP$7)-(1-AP$7)*LN(1-EXP(((AP28+AQ28)/2)))-AP$6&gt;0,AQ28,((AP28+AQ28)/2))</f>
        <v>-3.68958836398912</v>
      </c>
      <c r="AR29" s="37" t="n">
        <f aca="false">IF((((AR28+AS28)/2))*LN((((AR28+AS28)/2))/(AR$7))+(1-(((AR28+AS28)/2)))*LN((1-(((AR28+AS28)/2)))/(1-(AR$7)))-AR$6&lt;0,((AR28+AS28)/2),AR28)</f>
        <v>0.0836475849151611</v>
      </c>
      <c r="AS29" s="37" t="n">
        <f aca="false">IF((((AR28+AS28)/2))*LN((((AR28+AS28)/2))/(AR$7))+(1-(((AR28+AS28)/2)))*LN((1-(((AR28+AS28)/2)))/(1-(AR$7)))-AR$6&lt;0,AS28,((AR28+AS28)/2))</f>
        <v>0.0836484909057617</v>
      </c>
    </row>
    <row r="30" customFormat="false" ht="15" hidden="false" customHeight="false" outlineLevel="0" collapsed="false">
      <c r="B30" s="37" t="n">
        <f aca="false">IF(B$7*LN(B$7)-B$7*((B29+C29)/2)+(1-B$7)*LN(1-B$7)-(1-B$7)*LN(1-EXP(((B29+C29)/2)))-B$6&gt;0,((B29+C29)/2),B29)</f>
        <v>-12.7417004611622</v>
      </c>
      <c r="C30" s="37" t="n">
        <f aca="false">IF(B$7*LN(B$7)-B$7*((B29+C29)/2)+(1-B$7)*LN(1-B$7)-(1-B$7)*LN(1-EXP(((B29+C29)/2)))-B$6&gt;0,C29,((B29+C29)/2))</f>
        <v>-12.7416689508947</v>
      </c>
      <c r="D30" s="37" t="n">
        <f aca="false">IF(D$7*LN(D$7)-D$7*((D29+E29)/2)+(1-D$7)*LN(1-D$7)-(1-D$7)*LN(1-EXP(((D29+E29)/2)))-D$6&gt;0,((D29+E29)/2),D29)</f>
        <v>-16.0341452921061</v>
      </c>
      <c r="E30" s="37" t="n">
        <f aca="false">IF(D$7*LN(D$7)-D$7*((D29+E29)/2)+(1-D$7)*LN(1-D$7)-(1-D$7)*LN(1-EXP(((D29+E29)/2)))-D$6&gt;0,E29,((D29+E29)/2))</f>
        <v>-16.0341137818386</v>
      </c>
      <c r="F30" s="37" t="n">
        <f aca="false">IF(F$7*LN(F$7)-F$7*((F29+G29)/2)+(1-F$7)*LN(1-F$7)-(1-F$7)*LN(1-EXP(((F29+G29)/2)))-F$6&gt;0,((F29+G29)/2),F29)</f>
        <v>-24.8055954366223</v>
      </c>
      <c r="G30" s="37" t="n">
        <f aca="false">IF(F$7*LN(F$7)-F$7*((F29+G29)/2)+(1-F$7)*LN(1-F$7)-(1-F$7)*LN(1-EXP(((F29+G29)/2)))-F$6&gt;0,G29,((F29+G29)/2))</f>
        <v>-24.8055639263548</v>
      </c>
      <c r="H30" s="37" t="n">
        <f aca="false">IF(H$7*LN(H$7)-H$7*((H29+I29)/2)+(1-H$7)*LN(1-H$7)-(1-H$7)*LN(1-EXP(((H29+I29)/2)))-H$6&gt;0,((H29+I29)/2),H29)</f>
        <v>-3.19790214985879</v>
      </c>
      <c r="I30" s="37" t="n">
        <f aca="false">IF(H$7*LN(H$7)-H$7*((H29+I29)/2)+(1-H$7)*LN(1-H$7)-(1-H$7)*LN(1-EXP(((H29+I29)/2)))-H$6&gt;0,I29,((H29+I29)/2))</f>
        <v>-3.19787063959129</v>
      </c>
      <c r="J30" s="37" t="n">
        <f aca="false">IF(J$7*LN(J$7)-J$7*((J29+K29)/2)+(1-J$7)*LN(1-J$7)-(1-J$7)*LN(1-EXP(((J29+K29)/2)))-J$6&gt;0,((J29+K29)/2),J29)</f>
        <v>-3.28606787833461</v>
      </c>
      <c r="K30" s="37" t="n">
        <f aca="false">IF(J$7*LN(J$7)-J$7*((J29+K29)/2)+(1-J$7)*LN(1-J$7)-(1-J$7)*LN(1-EXP(((J29+K29)/2)))-J$6&gt;0,K29,((J29+K29)/2))</f>
        <v>-3.28603636806711</v>
      </c>
      <c r="L30" s="37" t="n">
        <f aca="false">IF(L$7*LN(L$7)-L$7*((L29+M29)/2)+(1-L$7)*LN(1-L$7)-(1-L$7)*LN(1-EXP(((L29+M29)/2)))-L$6&gt;0,((L29+M29)/2),L29)</f>
        <v>-3.46920555306708</v>
      </c>
      <c r="M30" s="37" t="n">
        <f aca="false">IF(L$7*LN(L$7)-L$7*((L29+M29)/2)+(1-L$7)*LN(1-L$7)-(1-L$7)*LN(1-EXP(((L29+M29)/2)))-L$6&gt;0,M29,((L29+M29)/2))</f>
        <v>-3.46917404279958</v>
      </c>
      <c r="N30" s="37" t="n">
        <f aca="false">IF(N$7*LN(N$7)-N$7*((N29+O29)/2)+(1-N$7)*LN(1-N$7)-(1-N$7)*LN(1-EXP(((N29+O29)/2)))-N$6&gt;0,((N29+O29)/2),N29)</f>
        <v>-3.68965138452413</v>
      </c>
      <c r="O30" s="37" t="n">
        <f aca="false">IF(N$7*LN(N$7)-N$7*((N29+O29)/2)+(1-N$7)*LN(1-N$7)-(1-N$7)*LN(1-EXP(((N29+O29)/2)))-N$6&gt;0,O29,((N29+O29)/2))</f>
        <v>-3.68961987425662</v>
      </c>
      <c r="P30" s="37" t="n">
        <f aca="false">IF(P$7*LN(P$7)-P$7*((P29+Q29)/2)+(1-P$7)*LN(1-P$7)-(1-P$7)*LN(1-EXP(((P29+Q29)/2)))-P$6&gt;0,((P29+Q29)/2),P29)</f>
        <v>-4.0293320682158</v>
      </c>
      <c r="Q30" s="37" t="n">
        <f aca="false">IF(P$7*LN(P$7)-P$7*((P29+Q29)/2)+(1-P$7)*LN(1-P$7)-(1-P$7)*LN(1-EXP(((P29+Q29)/2)))-P$6&gt;0,Q29,((P29+Q29)/2))</f>
        <v>-4.0293005579483</v>
      </c>
      <c r="R30" s="37" t="n">
        <f aca="false">IF(R$7*LN(R$7)-R$7*((R29+S29)/2)+(1-R$7)*LN(1-R$7)-(1-R$7)*LN(1-EXP(((R29+S29)/2)))-R$6&gt;0,((R29+S29)/2),R29)</f>
        <v>-4.31449998912579</v>
      </c>
      <c r="S30" s="37" t="n">
        <f aca="false">IF(R$7*LN(R$7)-R$7*((R29+S29)/2)+(1-R$7)*LN(1-R$7)-(1-R$7)*LN(1-EXP(((R29+S29)/2)))-R$6&gt;0,S29,((R29+S29)/2))</f>
        <v>-4.31446847885828</v>
      </c>
      <c r="T30" s="37" t="n">
        <f aca="false">IF(T$7*LN(T$7)-T$7*((T29+U29)/2)+(1-T$7)*LN(1-T$7)-(1-T$7)*LN(1-EXP(((T29+U29)/2)))-T$6&gt;0,((T29+U29)/2),T29)</f>
        <v>-4.81576532457729</v>
      </c>
      <c r="U30" s="37" t="n">
        <f aca="false">IF(T$7*LN(T$7)-T$7*((T29+U29)/2)+(1-T$7)*LN(1-T$7)-(1-T$7)*LN(1-EXP(((T29+U29)/2)))-T$6&gt;0,U29,((T29+U29)/2))</f>
        <v>-4.81573381430978</v>
      </c>
      <c r="V30" s="37" t="n">
        <f aca="false">IF(V$7*LN(V$7)-V$7*((V29+W29)/2)+(1-V$7)*LN(1-V$7)-(1-V$7)*LN(1-EXP(((V29+W29)/2)))-V$6&gt;0,((V29+W29)/2),V29)</f>
        <v>-5.38282409857686</v>
      </c>
      <c r="W30" s="37" t="n">
        <f aca="false">IF(V$7*LN(V$7)-V$7*((V29+W29)/2)+(1-V$7)*LN(1-V$7)-(1-V$7)*LN(1-EXP(((V29+W29)/2)))-V$6&gt;0,W29,((V29+W29)/2))</f>
        <v>-5.38279258830935</v>
      </c>
      <c r="X30" s="37" t="n">
        <f aca="false">IF(X$7*LN(X$7)-X$7*((X29+Y29)/2)+(1-X$7)*LN(1-X$7)-(1-X$7)*LN(1-EXP(((X29+Y29)/2)))-X$6&gt;0,((X29+Y29)/2),X29)</f>
        <v>-5.91919187202766</v>
      </c>
      <c r="Y30" s="37" t="n">
        <f aca="false">IF(X$7*LN(X$7)-X$7*((X29+Y29)/2)+(1-X$7)*LN(1-X$7)-(1-X$7)*LN(1-EXP(((X29+Y29)/2)))-X$6&gt;0,Y29,((X29+Y29)/2))</f>
        <v>-5.91916036176016</v>
      </c>
      <c r="Z30" s="37" t="n">
        <f aca="false">IF(Z$7*LN(Z$7)-Z$7*((Z29+AA29)/2)+(1-Z$7)*LN(1-Z$7)-(1-Z$7)*LN(1-EXP(((Z29+AA29)/2)))-Z$6&gt;0,((Z29+AA29)/2),Z29)</f>
        <v>-6.95212995107189</v>
      </c>
      <c r="AA30" s="37" t="n">
        <f aca="false">IF(Z$7*LN(Z$7)-Z$7*((Z29+AA29)/2)+(1-Z$7)*LN(1-Z$7)-(1-Z$7)*LN(1-EXP(((Z29+AA29)/2)))-Z$6&gt;0,AA29,((Z29+AA29)/2))</f>
        <v>-6.95209844080439</v>
      </c>
      <c r="AB30" s="37" t="n">
        <f aca="false">IF((((AB29+AC29)/2))*LN((((AB29+AC29)/2))/(AB$7))+(1-(((AB29+AC29)/2)))*LN((1-(((AB29+AC29)/2)))/(1-(AB$7)))-AB$6&lt;0,((AB29+AC29)/2),AB29)</f>
        <v>0.0600406408309936</v>
      </c>
      <c r="AC30" s="37" t="n">
        <f aca="false">IF((((AB29+AC29)/2))*LN((((AB29+AC29)/2))/(AB$7))+(1-(((AB29+AC29)/2)))*LN((1-(((AB29+AC29)/2)))/(1-(AB$7)))-AB$6&lt;0,AC29,((AB29+AC29)/2))</f>
        <v>0.0600410938262939</v>
      </c>
      <c r="AD30" s="37" t="n">
        <f aca="false">IF((((AD29+AE29)/2))*LN((((AD29+AE29)/2))/(AD$7))+(1-(((AD29+AE29)/2)))*LN((1-(((AD29+AE29)/2)))/(1-(AD$7)))-AD$6&lt;0,((AD29+AE29)/2),AD29)</f>
        <v>0.0677515268325805</v>
      </c>
      <c r="AE30" s="37" t="n">
        <f aca="false">IF((((AD29+AE29)/2))*LN((((AD29+AE29)/2))/(AD$7))+(1-(((AD29+AE29)/2)))*LN((1-(((AD29+AE29)/2)))/(1-(AD$7)))-AD$6&lt;0,AE29,((AD29+AE29)/2))</f>
        <v>0.0677519798278808</v>
      </c>
      <c r="AF30" s="37" t="n">
        <f aca="false">IF((((AF29+AG29)/2))*LN((((AF29+AG29)/2))/(AF$7))+(1-(((AF29+AG29)/2)))*LN((1-(((AF29+AG29)/2)))/(1-(AF$7)))-AF$6&lt;0,((AF29+AG29)/2),AF29)</f>
        <v>0.0836480379104614</v>
      </c>
      <c r="AG30" s="37" t="n">
        <f aca="false">IF((((AF29+AG29)/2))*LN((((AF29+AG29)/2))/(AF$7))+(1-(((AF29+AG29)/2)))*LN((1-(((AF29+AG29)/2)))/(1-(AF$7)))-AF$6&lt;0,AG29,((AF29+AG29)/2))</f>
        <v>0.0836484909057617</v>
      </c>
      <c r="AH30" s="37" t="n">
        <f aca="false">IF((((AH29+AI29)/2))*LN((((AH29+AI29)/2))/(AH$7))+(1-(((AH29+AI29)/2)))*LN((1-(((AH29+AI29)/2)))/(1-(AH$7)))-AH$6&lt;0,((AH29+AI29)/2),AH29)</f>
        <v>0.111548018455505</v>
      </c>
      <c r="AI30" s="37" t="n">
        <f aca="false">IF((((AH29+AI29)/2))*LN((((AH29+AI29)/2))/(AH$7))+(1-(((AH29+AI29)/2)))*LN((1-(((AH29+AI29)/2)))/(1-(AH$7)))-AH$6&lt;0,AI29,((AH29+AI29)/2))</f>
        <v>0.111548471450806</v>
      </c>
      <c r="AJ30" s="37" t="n">
        <f aca="false">IF((((AJ29+AK29)/2))*LN((((AJ29+AK29)/2))/(AJ$7))+(1-(((AJ29+AK29)/2)))*LN((1-(((AJ29+AK29)/2)))/(1-(AJ$7)))-AJ$6&lt;0,((AJ29+AK29)/2),AJ29)</f>
        <v>0.172949266433716</v>
      </c>
      <c r="AK30" s="37" t="n">
        <f aca="false">IF((((AJ29+AK29)/2))*LN((((AJ29+AK29)/2))/(AJ$7))+(1-(((AJ29+AK29)/2)))*LN((1-(((AJ29+AK29)/2)))/(1-(AJ$7)))-AJ$6&lt;0,AK29,((AJ29+AK29)/2))</f>
        <v>0.172949719429016</v>
      </c>
      <c r="AL30" s="37" t="n">
        <f aca="false">IF((((AL29+AM29)/2))*LN((((AL29+AM29)/2))/(AL$7))+(1-(((AL29+AM29)/2)))*LN((1-(((AL29+AM29)/2)))/(1-(AL$7)))-AL$6&lt;0,((AL29+AM29)/2),AL29)</f>
        <v>0.288518786430359</v>
      </c>
      <c r="AM30" s="37" t="n">
        <f aca="false">IF((((AL29+AM29)/2))*LN((((AL29+AM29)/2))/(AL$7))+(1-(((AL29+AM29)/2)))*LN((1-(((AL29+AM29)/2)))/(1-(AL$7)))-AL$6&lt;0,AM29,((AL29+AM29)/2))</f>
        <v>0.288519239425659</v>
      </c>
      <c r="AN30" s="37" t="n">
        <f aca="false">IF((((AN29+AO29)/2))*LN((((AN29+AO29)/2))/(AN$7))+(1-(((AN29+AO29)/2)))*LN((1-(((AN29+AO29)/2)))/(1-(AN$7)))-AN$6&lt;0,((AN29+AO29)/2),AN29)</f>
        <v>0.555513763427734</v>
      </c>
      <c r="AO30" s="37" t="n">
        <f aca="false">IF((((AN29+AO29)/2))*LN((((AN29+AO29)/2))/(AN$7))+(1-(((AN29+AO29)/2)))*LN((1-(((AN29+AO29)/2)))/(1-(AN$7)))-AN$6&lt;0,AO29,((AN29+AO29)/2))</f>
        <v>0.555514216423034</v>
      </c>
      <c r="AP30" s="37" t="n">
        <f aca="false">IF(AP$7*LN(AP$7)-AP$7*((AP29+AQ29)/2)+(1-AP$7)*LN(1-AP$7)-(1-AP$7)*LN(1-EXP(((AP29+AQ29)/2)))-AP$6&gt;0,((AP29+AQ29)/2),AP29)</f>
        <v>-3.68965138452413</v>
      </c>
      <c r="AQ30" s="37" t="n">
        <f aca="false">IF(AP$7*LN(AP$7)-AP$7*((AP29+AQ29)/2)+(1-AP$7)*LN(1-AP$7)-(1-AP$7)*LN(1-EXP(((AP29+AQ29)/2)))-AP$6&gt;0,AQ29,((AP29+AQ29)/2))</f>
        <v>-3.68961987425662</v>
      </c>
      <c r="AR30" s="37" t="n">
        <f aca="false">IF((((AR29+AS29)/2))*LN((((AR29+AS29)/2))/(AR$7))+(1-(((AR29+AS29)/2)))*LN((1-(((AR29+AS29)/2)))/(1-(AR$7)))-AR$6&lt;0,((AR29+AS29)/2),AR29)</f>
        <v>0.0836480379104614</v>
      </c>
      <c r="AS30" s="37" t="n">
        <f aca="false">IF((((AR29+AS29)/2))*LN((((AR29+AS29)/2))/(AR$7))+(1-(((AR29+AS29)/2)))*LN((1-(((AR29+AS29)/2)))/(1-(AR$7)))-AR$6&lt;0,AS29,((AR29+AS29)/2))</f>
        <v>0.0836484909057617</v>
      </c>
    </row>
    <row r="31" customFormat="false" ht="15" hidden="false" customHeight="false" outlineLevel="0" collapsed="false">
      <c r="B31" s="37" t="n">
        <f aca="false">IF(B$7*LN(B$7)-B$7*((B30+C30)/2)+(1-B$7)*LN(1-B$7)-(1-B$7)*LN(1-EXP(((B30+C30)/2)))-B$6&gt;0,((B30+C30)/2),B30)</f>
        <v>-12.7416847060284</v>
      </c>
      <c r="C31" s="37" t="n">
        <f aca="false">IF(B$7*LN(B$7)-B$7*((B30+C30)/2)+(1-B$7)*LN(1-B$7)-(1-B$7)*LN(1-EXP(((B30+C30)/2)))-B$6&gt;0,C30,((B30+C30)/2))</f>
        <v>-12.7416689508947</v>
      </c>
      <c r="D31" s="37" t="n">
        <f aca="false">IF(D$7*LN(D$7)-D$7*((D30+E30)/2)+(1-D$7)*LN(1-D$7)-(1-D$7)*LN(1-EXP(((D30+E30)/2)))-D$6&gt;0,((D30+E30)/2),D30)</f>
        <v>-16.0341452921061</v>
      </c>
      <c r="E31" s="37" t="n">
        <f aca="false">IF(D$7*LN(D$7)-D$7*((D30+E30)/2)+(1-D$7)*LN(1-D$7)-(1-D$7)*LN(1-EXP(((D30+E30)/2)))-D$6&gt;0,E30,((D30+E30)/2))</f>
        <v>-16.0341295369724</v>
      </c>
      <c r="F31" s="37" t="n">
        <f aca="false">IF(F$7*LN(F$7)-F$7*((F30+G30)/2)+(1-F$7)*LN(1-F$7)-(1-F$7)*LN(1-EXP(((F30+G30)/2)))-F$6&gt;0,((F30+G30)/2),F30)</f>
        <v>-24.8055796814885</v>
      </c>
      <c r="G31" s="37" t="n">
        <f aca="false">IF(F$7*LN(F$7)-F$7*((F30+G30)/2)+(1-F$7)*LN(1-F$7)-(1-F$7)*LN(1-EXP(((F30+G30)/2)))-F$6&gt;0,G30,((F30+G30)/2))</f>
        <v>-24.8055639263548</v>
      </c>
      <c r="H31" s="37" t="n">
        <f aca="false">IF(H$7*LN(H$7)-H$7*((H30+I30)/2)+(1-H$7)*LN(1-H$7)-(1-H$7)*LN(1-EXP(((H30+I30)/2)))-H$6&gt;0,((H30+I30)/2),H30)</f>
        <v>-3.19790214985879</v>
      </c>
      <c r="I31" s="37" t="n">
        <f aca="false">IF(H$7*LN(H$7)-H$7*((H30+I30)/2)+(1-H$7)*LN(1-H$7)-(1-H$7)*LN(1-EXP(((H30+I30)/2)))-H$6&gt;0,I30,((H30+I30)/2))</f>
        <v>-3.19788639472504</v>
      </c>
      <c r="J31" s="37" t="n">
        <f aca="false">IF(J$7*LN(J$7)-J$7*((J30+K30)/2)+(1-J$7)*LN(1-J$7)-(1-J$7)*LN(1-EXP(((J30+K30)/2)))-J$6&gt;0,((J30+K30)/2),J30)</f>
        <v>-3.28605212320086</v>
      </c>
      <c r="K31" s="37" t="n">
        <f aca="false">IF(J$7*LN(J$7)-J$7*((J30+K30)/2)+(1-J$7)*LN(1-J$7)-(1-J$7)*LN(1-EXP(((J30+K30)/2)))-J$6&gt;0,K30,((J30+K30)/2))</f>
        <v>-3.28603636806711</v>
      </c>
      <c r="L31" s="37" t="n">
        <f aca="false">IF(L$7*LN(L$7)-L$7*((L30+M30)/2)+(1-L$7)*LN(1-L$7)-(1-L$7)*LN(1-EXP(((L30+M30)/2)))-L$6&gt;0,((L30+M30)/2),L30)</f>
        <v>-3.46920555306708</v>
      </c>
      <c r="M31" s="37" t="n">
        <f aca="false">IF(L$7*LN(L$7)-L$7*((L30+M30)/2)+(1-L$7)*LN(1-L$7)-(1-L$7)*LN(1-EXP(((L30+M30)/2)))-L$6&gt;0,M30,((L30+M30)/2))</f>
        <v>-3.46918979793333</v>
      </c>
      <c r="N31" s="37" t="n">
        <f aca="false">IF(N$7*LN(N$7)-N$7*((N30+O30)/2)+(1-N$7)*LN(1-N$7)-(1-N$7)*LN(1-EXP(((N30+O30)/2)))-N$6&gt;0,((N30+O30)/2),N30)</f>
        <v>-3.68963562939037</v>
      </c>
      <c r="O31" s="37" t="n">
        <f aca="false">IF(N$7*LN(N$7)-N$7*((N30+O30)/2)+(1-N$7)*LN(1-N$7)-(1-N$7)*LN(1-EXP(((N30+O30)/2)))-N$6&gt;0,O30,((N30+O30)/2))</f>
        <v>-3.68961987425662</v>
      </c>
      <c r="P31" s="37" t="n">
        <f aca="false">IF(P$7*LN(P$7)-P$7*((P30+Q30)/2)+(1-P$7)*LN(1-P$7)-(1-P$7)*LN(1-EXP(((P30+Q30)/2)))-P$6&gt;0,((P30+Q30)/2),P30)</f>
        <v>-4.0293320682158</v>
      </c>
      <c r="Q31" s="37" t="n">
        <f aca="false">IF(P$7*LN(P$7)-P$7*((P30+Q30)/2)+(1-P$7)*LN(1-P$7)-(1-P$7)*LN(1-EXP(((P30+Q30)/2)))-P$6&gt;0,Q30,((P30+Q30)/2))</f>
        <v>-4.02931631308205</v>
      </c>
      <c r="R31" s="37" t="n">
        <f aca="false">IF(R$7*LN(R$7)-R$7*((R30+S30)/2)+(1-R$7)*LN(1-R$7)-(1-R$7)*LN(1-EXP(((R30+S30)/2)))-R$6&gt;0,((R30+S30)/2),R30)</f>
        <v>-4.31449998912579</v>
      </c>
      <c r="S31" s="37" t="n">
        <f aca="false">IF(R$7*LN(R$7)-R$7*((R30+S30)/2)+(1-R$7)*LN(1-R$7)-(1-R$7)*LN(1-EXP(((R30+S30)/2)))-R$6&gt;0,S30,((R30+S30)/2))</f>
        <v>-4.31448423399204</v>
      </c>
      <c r="T31" s="37" t="n">
        <f aca="false">IF(T$7*LN(T$7)-T$7*((T30+U30)/2)+(1-T$7)*LN(1-T$7)-(1-T$7)*LN(1-EXP(((T30+U30)/2)))-T$6&gt;0,((T30+U30)/2),T30)</f>
        <v>-4.81576532457729</v>
      </c>
      <c r="U31" s="37" t="n">
        <f aca="false">IF(T$7*LN(T$7)-T$7*((T30+U30)/2)+(1-T$7)*LN(1-T$7)-(1-T$7)*LN(1-EXP(((T30+U30)/2)))-T$6&gt;0,U30,((T30+U30)/2))</f>
        <v>-4.81574956944353</v>
      </c>
      <c r="V31" s="37" t="n">
        <f aca="false">IF(V$7*LN(V$7)-V$7*((V30+W30)/2)+(1-V$7)*LN(1-V$7)-(1-V$7)*LN(1-EXP(((V30+W30)/2)))-V$6&gt;0,((V30+W30)/2),V30)</f>
        <v>-5.3828083434431</v>
      </c>
      <c r="W31" s="37" t="n">
        <f aca="false">IF(V$7*LN(V$7)-V$7*((V30+W30)/2)+(1-V$7)*LN(1-V$7)-(1-V$7)*LN(1-EXP(((V30+W30)/2)))-V$6&gt;0,W30,((V30+W30)/2))</f>
        <v>-5.38279258830935</v>
      </c>
      <c r="X31" s="37" t="n">
        <f aca="false">IF(X$7*LN(X$7)-X$7*((X30+Y30)/2)+(1-X$7)*LN(1-X$7)-(1-X$7)*LN(1-EXP(((X30+Y30)/2)))-X$6&gt;0,((X30+Y30)/2),X30)</f>
        <v>-5.91917611689391</v>
      </c>
      <c r="Y31" s="37" t="n">
        <f aca="false">IF(X$7*LN(X$7)-X$7*((X30+Y30)/2)+(1-X$7)*LN(1-X$7)-(1-X$7)*LN(1-EXP(((X30+Y30)/2)))-X$6&gt;0,Y30,((X30+Y30)/2))</f>
        <v>-5.91916036176016</v>
      </c>
      <c r="Z31" s="37" t="n">
        <f aca="false">IF(Z$7*LN(Z$7)-Z$7*((Z30+AA30)/2)+(1-Z$7)*LN(1-Z$7)-(1-Z$7)*LN(1-EXP(((Z30+AA30)/2)))-Z$6&gt;0,((Z30+AA30)/2),Z30)</f>
        <v>-6.95212995107189</v>
      </c>
      <c r="AA31" s="37" t="n">
        <f aca="false">IF(Z$7*LN(Z$7)-Z$7*((Z30+AA30)/2)+(1-Z$7)*LN(1-Z$7)-(1-Z$7)*LN(1-EXP(((Z30+AA30)/2)))-Z$6&gt;0,AA30,((Z30+AA30)/2))</f>
        <v>-6.95211419593814</v>
      </c>
      <c r="AB31" s="37" t="n">
        <f aca="false">IF((((AB30+AC30)/2))*LN((((AB30+AC30)/2))/(AB$7))+(1-(((AB30+AC30)/2)))*LN((1-(((AB30+AC30)/2)))/(1-(AB$7)))-AB$6&lt;0,((AB30+AC30)/2),AB30)</f>
        <v>0.0600406408309936</v>
      </c>
      <c r="AC31" s="37" t="n">
        <f aca="false">IF((((AB30+AC30)/2))*LN((((AB30+AC30)/2))/(AB$7))+(1-(((AB30+AC30)/2)))*LN((1-(((AB30+AC30)/2)))/(1-(AB$7)))-AB$6&lt;0,AC30,((AB30+AC30)/2))</f>
        <v>0.0600408673286438</v>
      </c>
      <c r="AD31" s="37" t="n">
        <f aca="false">IF((((AD30+AE30)/2))*LN((((AD30+AE30)/2))/(AD$7))+(1-(((AD30+AE30)/2)))*LN((1-(((AD30+AE30)/2)))/(1-(AD$7)))-AD$6&lt;0,((AD30+AE30)/2),AD30)</f>
        <v>0.0677517533302307</v>
      </c>
      <c r="AE31" s="37" t="n">
        <f aca="false">IF((((AD30+AE30)/2))*LN((((AD30+AE30)/2))/(AD$7))+(1-(((AD30+AE30)/2)))*LN((1-(((AD30+AE30)/2)))/(1-(AD$7)))-AD$6&lt;0,AE30,((AD30+AE30)/2))</f>
        <v>0.0677519798278808</v>
      </c>
      <c r="AF31" s="37" t="n">
        <f aca="false">IF((((AF30+AG30)/2))*LN((((AF30+AG30)/2))/(AF$7))+(1-(((AF30+AG30)/2)))*LN((1-(((AF30+AG30)/2)))/(1-(AF$7)))-AF$6&lt;0,((AF30+AG30)/2),AF30)</f>
        <v>0.0836482644081115</v>
      </c>
      <c r="AG31" s="37" t="n">
        <f aca="false">IF((((AF30+AG30)/2))*LN((((AF30+AG30)/2))/(AF$7))+(1-(((AF30+AG30)/2)))*LN((1-(((AF30+AG30)/2)))/(1-(AF$7)))-AF$6&lt;0,AG30,((AF30+AG30)/2))</f>
        <v>0.0836484909057617</v>
      </c>
      <c r="AH31" s="37" t="n">
        <f aca="false">IF((((AH30+AI30)/2))*LN((((AH30+AI30)/2))/(AH$7))+(1-(((AH30+AI30)/2)))*LN((1-(((AH30+AI30)/2)))/(1-(AH$7)))-AH$6&lt;0,((AH30+AI30)/2),AH30)</f>
        <v>0.111548018455505</v>
      </c>
      <c r="AI31" s="37" t="n">
        <f aca="false">IF((((AH30+AI30)/2))*LN((((AH30+AI30)/2))/(AH$7))+(1-(((AH30+AI30)/2)))*LN((1-(((AH30+AI30)/2)))/(1-(AH$7)))-AH$6&lt;0,AI30,((AH30+AI30)/2))</f>
        <v>0.111548244953155</v>
      </c>
      <c r="AJ31" s="37" t="n">
        <f aca="false">IF((((AJ30+AK30)/2))*LN((((AJ30+AK30)/2))/(AJ$7))+(1-(((AJ30+AK30)/2)))*LN((1-(((AJ30+AK30)/2)))/(1-(AJ$7)))-AJ$6&lt;0,((AJ30+AK30)/2),AJ30)</f>
        <v>0.172949266433716</v>
      </c>
      <c r="AK31" s="37" t="n">
        <f aca="false">IF((((AJ30+AK30)/2))*LN((((AJ30+AK30)/2))/(AJ$7))+(1-(((AJ30+AK30)/2)))*LN((1-(((AJ30+AK30)/2)))/(1-(AJ$7)))-AJ$6&lt;0,AK30,((AJ30+AK30)/2))</f>
        <v>0.172949492931366</v>
      </c>
      <c r="AL31" s="37" t="n">
        <f aca="false">IF((((AL30+AM30)/2))*LN((((AL30+AM30)/2))/(AL$7))+(1-(((AL30+AM30)/2)))*LN((1-(((AL30+AM30)/2)))/(1-(AL$7)))-AL$6&lt;0,((AL30+AM30)/2),AL30)</f>
        <v>0.288519012928009</v>
      </c>
      <c r="AM31" s="37" t="n">
        <f aca="false">IF((((AL30+AM30)/2))*LN((((AL30+AM30)/2))/(AL$7))+(1-(((AL30+AM30)/2)))*LN((1-(((AL30+AM30)/2)))/(1-(AL$7)))-AL$6&lt;0,AM30,((AL30+AM30)/2))</f>
        <v>0.288519239425659</v>
      </c>
      <c r="AN31" s="37" t="n">
        <f aca="false">IF((((AN30+AO30)/2))*LN((((AN30+AO30)/2))/(AN$7))+(1-(((AN30+AO30)/2)))*LN((1-(((AN30+AO30)/2)))/(1-(AN$7)))-AN$6&lt;0,((AN30+AO30)/2),AN30)</f>
        <v>0.555513989925384</v>
      </c>
      <c r="AO31" s="37" t="n">
        <f aca="false">IF((((AN30+AO30)/2))*LN((((AN30+AO30)/2))/(AN$7))+(1-(((AN30+AO30)/2)))*LN((1-(((AN30+AO30)/2)))/(1-(AN$7)))-AN$6&lt;0,AO30,((AN30+AO30)/2))</f>
        <v>0.555514216423034</v>
      </c>
      <c r="AP31" s="37" t="n">
        <f aca="false">IF(AP$7*LN(AP$7)-AP$7*((AP30+AQ30)/2)+(1-AP$7)*LN(1-AP$7)-(1-AP$7)*LN(1-EXP(((AP30+AQ30)/2)))-AP$6&gt;0,((AP30+AQ30)/2),AP30)</f>
        <v>-3.68963562939037</v>
      </c>
      <c r="AQ31" s="37" t="n">
        <f aca="false">IF(AP$7*LN(AP$7)-AP$7*((AP30+AQ30)/2)+(1-AP$7)*LN(1-AP$7)-(1-AP$7)*LN(1-EXP(((AP30+AQ30)/2)))-AP$6&gt;0,AQ30,((AP30+AQ30)/2))</f>
        <v>-3.68961987425662</v>
      </c>
      <c r="AR31" s="37" t="n">
        <f aca="false">IF((((AR30+AS30)/2))*LN((((AR30+AS30)/2))/(AR$7))+(1-(((AR30+AS30)/2)))*LN((1-(((AR30+AS30)/2)))/(1-(AR$7)))-AR$6&lt;0,((AR30+AS30)/2),AR30)</f>
        <v>0.0836482644081115</v>
      </c>
      <c r="AS31" s="37" t="n">
        <f aca="false">IF((((AR30+AS30)/2))*LN((((AR30+AS30)/2))/(AR$7))+(1-(((AR30+AS30)/2)))*LN((1-(((AR30+AS30)/2)))/(1-(AR$7)))-AR$6&lt;0,AS30,((AR30+AS30)/2))</f>
        <v>0.0836484909057617</v>
      </c>
    </row>
    <row r="32" customFormat="false" ht="15" hidden="false" customHeight="false" outlineLevel="0" collapsed="false">
      <c r="B32" s="37" t="n">
        <f aca="false">IF(B$7*LN(B$7)-B$7*((B31+C31)/2)+(1-B$7)*LN(1-B$7)-(1-B$7)*LN(1-EXP(((B31+C31)/2)))-B$6&gt;0,((B31+C31)/2),B31)</f>
        <v>-12.7416847060284</v>
      </c>
      <c r="C32" s="37" t="n">
        <f aca="false">IF(B$7*LN(B$7)-B$7*((B31+C31)/2)+(1-B$7)*LN(1-B$7)-(1-B$7)*LN(1-EXP(((B31+C31)/2)))-B$6&gt;0,C31,((B31+C31)/2))</f>
        <v>-12.7416768284616</v>
      </c>
      <c r="D32" s="37" t="n">
        <f aca="false">IF(D$7*LN(D$7)-D$7*((D31+E31)/2)+(1-D$7)*LN(1-D$7)-(1-D$7)*LN(1-EXP(((D31+E31)/2)))-D$6&gt;0,((D31+E31)/2),D31)</f>
        <v>-16.0341374145393</v>
      </c>
      <c r="E32" s="37" t="n">
        <f aca="false">IF(D$7*LN(D$7)-D$7*((D31+E31)/2)+(1-D$7)*LN(1-D$7)-(1-D$7)*LN(1-EXP(((D31+E31)/2)))-D$6&gt;0,E31,((D31+E31)/2))</f>
        <v>-16.0341295369724</v>
      </c>
      <c r="F32" s="37" t="n">
        <f aca="false">IF(F$7*LN(F$7)-F$7*((F31+G31)/2)+(1-F$7)*LN(1-F$7)-(1-F$7)*LN(1-EXP(((F31+G31)/2)))-F$6&gt;0,((F31+G31)/2),F31)</f>
        <v>-24.8055718039216</v>
      </c>
      <c r="G32" s="37" t="n">
        <f aca="false">IF(F$7*LN(F$7)-F$7*((F31+G31)/2)+(1-F$7)*LN(1-F$7)-(1-F$7)*LN(1-EXP(((F31+G31)/2)))-F$6&gt;0,G31,((F31+G31)/2))</f>
        <v>-24.8055639263548</v>
      </c>
      <c r="H32" s="37" t="n">
        <f aca="false">IF(H$7*LN(H$7)-H$7*((H31+I31)/2)+(1-H$7)*LN(1-H$7)-(1-H$7)*LN(1-EXP(((H31+I31)/2)))-H$6&gt;0,((H31+I31)/2),H31)</f>
        <v>-3.19789427229192</v>
      </c>
      <c r="I32" s="37" t="n">
        <f aca="false">IF(H$7*LN(H$7)-H$7*((H31+I31)/2)+(1-H$7)*LN(1-H$7)-(1-H$7)*LN(1-EXP(((H31+I31)/2)))-H$6&gt;0,I31,((H31+I31)/2))</f>
        <v>-3.19788639472504</v>
      </c>
      <c r="J32" s="37" t="n">
        <f aca="false">IF(J$7*LN(J$7)-J$7*((J31+K31)/2)+(1-J$7)*LN(1-J$7)-(1-J$7)*LN(1-EXP(((J31+K31)/2)))-J$6&gt;0,((J31+K31)/2),J31)</f>
        <v>-3.28605212320086</v>
      </c>
      <c r="K32" s="37" t="n">
        <f aca="false">IF(J$7*LN(J$7)-J$7*((J31+K31)/2)+(1-J$7)*LN(1-J$7)-(1-J$7)*LN(1-EXP(((J31+K31)/2)))-J$6&gt;0,K31,((J31+K31)/2))</f>
        <v>-3.28604424563398</v>
      </c>
      <c r="L32" s="37" t="n">
        <f aca="false">IF(L$7*LN(L$7)-L$7*((L31+M31)/2)+(1-L$7)*LN(1-L$7)-(1-L$7)*LN(1-EXP(((L31+M31)/2)))-L$6&gt;0,((L31+M31)/2),L31)</f>
        <v>-3.4691976755002</v>
      </c>
      <c r="M32" s="37" t="n">
        <f aca="false">IF(L$7*LN(L$7)-L$7*((L31+M31)/2)+(1-L$7)*LN(1-L$7)-(1-L$7)*LN(1-EXP(((L31+M31)/2)))-L$6&gt;0,M31,((L31+M31)/2))</f>
        <v>-3.46918979793333</v>
      </c>
      <c r="N32" s="37" t="n">
        <f aca="false">IF(N$7*LN(N$7)-N$7*((N31+O31)/2)+(1-N$7)*LN(1-N$7)-(1-N$7)*LN(1-EXP(((N31+O31)/2)))-N$6&gt;0,((N31+O31)/2),N31)</f>
        <v>-3.68963562939037</v>
      </c>
      <c r="O32" s="37" t="n">
        <f aca="false">IF(N$7*LN(N$7)-N$7*((N31+O31)/2)+(1-N$7)*LN(1-N$7)-(1-N$7)*LN(1-EXP(((N31+O31)/2)))-N$6&gt;0,O31,((N31+O31)/2))</f>
        <v>-3.6896277518235</v>
      </c>
      <c r="P32" s="37" t="n">
        <f aca="false">IF(P$7*LN(P$7)-P$7*((P31+Q31)/2)+(1-P$7)*LN(1-P$7)-(1-P$7)*LN(1-EXP(((P31+Q31)/2)))-P$6&gt;0,((P31+Q31)/2),P31)</f>
        <v>-4.02932419064892</v>
      </c>
      <c r="Q32" s="37" t="n">
        <f aca="false">IF(P$7*LN(P$7)-P$7*((P31+Q31)/2)+(1-P$7)*LN(1-P$7)-(1-P$7)*LN(1-EXP(((P31+Q31)/2)))-P$6&gt;0,Q31,((P31+Q31)/2))</f>
        <v>-4.02931631308205</v>
      </c>
      <c r="R32" s="37" t="n">
        <f aca="false">IF(R$7*LN(R$7)-R$7*((R31+S31)/2)+(1-R$7)*LN(1-R$7)-(1-R$7)*LN(1-EXP(((R31+S31)/2)))-R$6&gt;0,((R31+S31)/2),R31)</f>
        <v>-4.31449998912579</v>
      </c>
      <c r="S32" s="37" t="n">
        <f aca="false">IF(R$7*LN(R$7)-R$7*((R31+S31)/2)+(1-R$7)*LN(1-R$7)-(1-R$7)*LN(1-EXP(((R31+S31)/2)))-R$6&gt;0,S31,((R31+S31)/2))</f>
        <v>-4.31449211155891</v>
      </c>
      <c r="T32" s="37" t="n">
        <f aca="false">IF(T$7*LN(T$7)-T$7*((T31+U31)/2)+(1-T$7)*LN(1-T$7)-(1-T$7)*LN(1-EXP(((T31+U31)/2)))-T$6&gt;0,((T31+U31)/2),T31)</f>
        <v>-4.81575744701041</v>
      </c>
      <c r="U32" s="37" t="n">
        <f aca="false">IF(T$7*LN(T$7)-T$7*((T31+U31)/2)+(1-T$7)*LN(1-T$7)-(1-T$7)*LN(1-EXP(((T31+U31)/2)))-T$6&gt;0,U31,((T31+U31)/2))</f>
        <v>-4.81574956944353</v>
      </c>
      <c r="V32" s="37" t="n">
        <f aca="false">IF(V$7*LN(V$7)-V$7*((V31+W31)/2)+(1-V$7)*LN(1-V$7)-(1-V$7)*LN(1-EXP(((V31+W31)/2)))-V$6&gt;0,((V31+W31)/2),V31)</f>
        <v>-5.38280046587623</v>
      </c>
      <c r="W32" s="37" t="n">
        <f aca="false">IF(V$7*LN(V$7)-V$7*((V31+W31)/2)+(1-V$7)*LN(1-V$7)-(1-V$7)*LN(1-EXP(((V31+W31)/2)))-V$6&gt;0,W31,((V31+W31)/2))</f>
        <v>-5.38279258830935</v>
      </c>
      <c r="X32" s="37" t="n">
        <f aca="false">IF(X$7*LN(X$7)-X$7*((X31+Y31)/2)+(1-X$7)*LN(1-X$7)-(1-X$7)*LN(1-EXP(((X31+Y31)/2)))-X$6&gt;0,((X31+Y31)/2),X31)</f>
        <v>-5.91917611689391</v>
      </c>
      <c r="Y32" s="37" t="n">
        <f aca="false">IF(X$7*LN(X$7)-X$7*((X31+Y31)/2)+(1-X$7)*LN(1-X$7)-(1-X$7)*LN(1-EXP(((X31+Y31)/2)))-X$6&gt;0,Y31,((X31+Y31)/2))</f>
        <v>-5.91916823932703</v>
      </c>
      <c r="Z32" s="37" t="n">
        <f aca="false">IF(Z$7*LN(Z$7)-Z$7*((Z31+AA31)/2)+(1-Z$7)*LN(1-Z$7)-(1-Z$7)*LN(1-EXP(((Z31+AA31)/2)))-Z$6&gt;0,((Z31+AA31)/2),Z31)</f>
        <v>-6.95212207350502</v>
      </c>
      <c r="AA32" s="37" t="n">
        <f aca="false">IF(Z$7*LN(Z$7)-Z$7*((Z31+AA31)/2)+(1-Z$7)*LN(1-Z$7)-(1-Z$7)*LN(1-EXP(((Z31+AA31)/2)))-Z$6&gt;0,AA31,((Z31+AA31)/2))</f>
        <v>-6.95211419593814</v>
      </c>
      <c r="AB32" s="37" t="n">
        <f aca="false">IF((((AB31+AC31)/2))*LN((((AB31+AC31)/2))/(AB$7))+(1-(((AB31+AC31)/2)))*LN((1-(((AB31+AC31)/2)))/(1-(AB$7)))-AB$6&lt;0,((AB31+AC31)/2),AB31)</f>
        <v>0.0600407540798187</v>
      </c>
      <c r="AC32" s="37" t="n">
        <f aca="false">IF((((AB31+AC31)/2))*LN((((AB31+AC31)/2))/(AB$7))+(1-(((AB31+AC31)/2)))*LN((1-(((AB31+AC31)/2)))/(1-(AB$7)))-AB$6&lt;0,AC31,((AB31+AC31)/2))</f>
        <v>0.0600408673286438</v>
      </c>
      <c r="AD32" s="37" t="n">
        <f aca="false">IF((((AD31+AE31)/2))*LN((((AD31+AE31)/2))/(AD$7))+(1-(((AD31+AE31)/2)))*LN((1-(((AD31+AE31)/2)))/(1-(AD$7)))-AD$6&lt;0,((AD31+AE31)/2),AD31)</f>
        <v>0.0677517533302307</v>
      </c>
      <c r="AE32" s="37" t="n">
        <f aca="false">IF((((AD31+AE31)/2))*LN((((AD31+AE31)/2))/(AD$7))+(1-(((AD31+AE31)/2)))*LN((1-(((AD31+AE31)/2)))/(1-(AD$7)))-AD$6&lt;0,AE31,((AD31+AE31)/2))</f>
        <v>0.0677518665790558</v>
      </c>
      <c r="AF32" s="37" t="n">
        <f aca="false">IF((((AF31+AG31)/2))*LN((((AF31+AG31)/2))/(AF$7))+(1-(((AF31+AG31)/2)))*LN((1-(((AF31+AG31)/2)))/(1-(AF$7)))-AF$6&lt;0,((AF31+AG31)/2),AF31)</f>
        <v>0.0836482644081115</v>
      </c>
      <c r="AG32" s="37" t="n">
        <f aca="false">IF((((AF31+AG31)/2))*LN((((AF31+AG31)/2))/(AF$7))+(1-(((AF31+AG31)/2)))*LN((1-(((AF31+AG31)/2)))/(1-(AF$7)))-AF$6&lt;0,AG31,((AF31+AG31)/2))</f>
        <v>0.0836483776569366</v>
      </c>
      <c r="AH32" s="37" t="n">
        <f aca="false">IF((((AH31+AI31)/2))*LN((((AH31+AI31)/2))/(AH$7))+(1-(((AH31+AI31)/2)))*LN((1-(((AH31+AI31)/2)))/(1-(AH$7)))-AH$6&lt;0,((AH31+AI31)/2),AH31)</f>
        <v>0.111548018455505</v>
      </c>
      <c r="AI32" s="37" t="n">
        <f aca="false">IF((((AH31+AI31)/2))*LN((((AH31+AI31)/2))/(AH$7))+(1-(((AH31+AI31)/2)))*LN((1-(((AH31+AI31)/2)))/(1-(AH$7)))-AH$6&lt;0,AI31,((AH31+AI31)/2))</f>
        <v>0.11154813170433</v>
      </c>
      <c r="AJ32" s="37" t="n">
        <f aca="false">IF((((AJ31+AK31)/2))*LN((((AJ31+AK31)/2))/(AJ$7))+(1-(((AJ31+AK31)/2)))*LN((1-(((AJ31+AK31)/2)))/(1-(AJ$7)))-AJ$6&lt;0,((AJ31+AK31)/2),AJ31)</f>
        <v>0.172949266433716</v>
      </c>
      <c r="AK32" s="37" t="n">
        <f aca="false">IF((((AJ31+AK31)/2))*LN((((AJ31+AK31)/2))/(AJ$7))+(1-(((AJ31+AK31)/2)))*LN((1-(((AJ31+AK31)/2)))/(1-(AJ$7)))-AJ$6&lt;0,AK31,((AJ31+AK31)/2))</f>
        <v>0.172949379682541</v>
      </c>
      <c r="AL32" s="37" t="n">
        <f aca="false">IF((((AL31+AM31)/2))*LN((((AL31+AM31)/2))/(AL$7))+(1-(((AL31+AM31)/2)))*LN((1-(((AL31+AM31)/2)))/(1-(AL$7)))-AL$6&lt;0,((AL31+AM31)/2),AL31)</f>
        <v>0.288519126176834</v>
      </c>
      <c r="AM32" s="37" t="n">
        <f aca="false">IF((((AL31+AM31)/2))*LN((((AL31+AM31)/2))/(AL$7))+(1-(((AL31+AM31)/2)))*LN((1-(((AL31+AM31)/2)))/(1-(AL$7)))-AL$6&lt;0,AM31,((AL31+AM31)/2))</f>
        <v>0.288519239425659</v>
      </c>
      <c r="AN32" s="37" t="n">
        <f aca="false">IF((((AN31+AO31)/2))*LN((((AN31+AO31)/2))/(AN$7))+(1-(((AN31+AO31)/2)))*LN((1-(((AN31+AO31)/2)))/(1-(AN$7)))-AN$6&lt;0,((AN31+AO31)/2),AN31)</f>
        <v>0.555514103174209</v>
      </c>
      <c r="AO32" s="37" t="n">
        <f aca="false">IF((((AN31+AO31)/2))*LN((((AN31+AO31)/2))/(AN$7))+(1-(((AN31+AO31)/2)))*LN((1-(((AN31+AO31)/2)))/(1-(AN$7)))-AN$6&lt;0,AO31,((AN31+AO31)/2))</f>
        <v>0.555514216423034</v>
      </c>
      <c r="AP32" s="37" t="n">
        <f aca="false">IF(AP$7*LN(AP$7)-AP$7*((AP31+AQ31)/2)+(1-AP$7)*LN(1-AP$7)-(1-AP$7)*LN(1-EXP(((AP31+AQ31)/2)))-AP$6&gt;0,((AP31+AQ31)/2),AP31)</f>
        <v>-3.68963562939037</v>
      </c>
      <c r="AQ32" s="37" t="n">
        <f aca="false">IF(AP$7*LN(AP$7)-AP$7*((AP31+AQ31)/2)+(1-AP$7)*LN(1-AP$7)-(1-AP$7)*LN(1-EXP(((AP31+AQ31)/2)))-AP$6&gt;0,AQ31,((AP31+AQ31)/2))</f>
        <v>-3.6896277518235</v>
      </c>
      <c r="AR32" s="37" t="n">
        <f aca="false">IF((((AR31+AS31)/2))*LN((((AR31+AS31)/2))/(AR$7))+(1-(((AR31+AS31)/2)))*LN((1-(((AR31+AS31)/2)))/(1-(AR$7)))-AR$6&lt;0,((AR31+AS31)/2),AR31)</f>
        <v>0.0836482644081115</v>
      </c>
      <c r="AS32" s="37" t="n">
        <f aca="false">IF((((AR31+AS31)/2))*LN((((AR31+AS31)/2))/(AR$7))+(1-(((AR31+AS31)/2)))*LN((1-(((AR31+AS31)/2)))/(1-(AR$7)))-AR$6&lt;0,AS31,((AR31+AS31)/2))</f>
        <v>0.0836483776569366</v>
      </c>
    </row>
    <row r="33" customFormat="false" ht="15" hidden="false" customHeight="false" outlineLevel="0" collapsed="false">
      <c r="B33" s="37" t="n">
        <f aca="false">IF(B$7*LN(B$7)-B$7*((B32+C32)/2)+(1-B$7)*LN(1-B$7)-(1-B$7)*LN(1-EXP(((B32+C32)/2)))-B$6&gt;0,((B32+C32)/2),B32)</f>
        <v>-12.741680767245</v>
      </c>
      <c r="C33" s="37" t="n">
        <f aca="false">IF(B$7*LN(B$7)-B$7*((B32+C32)/2)+(1-B$7)*LN(1-B$7)-(1-B$7)*LN(1-EXP(((B32+C32)/2)))-B$6&gt;0,C32,((B32+C32)/2))</f>
        <v>-12.7416768284616</v>
      </c>
      <c r="D33" s="37" t="n">
        <f aca="false">IF(D$7*LN(D$7)-D$7*((D32+E32)/2)+(1-D$7)*LN(1-D$7)-(1-D$7)*LN(1-EXP(((D32+E32)/2)))-D$6&gt;0,((D32+E32)/2),D32)</f>
        <v>-16.0341374145393</v>
      </c>
      <c r="E33" s="37" t="n">
        <f aca="false">IF(D$7*LN(D$7)-D$7*((D32+E32)/2)+(1-D$7)*LN(1-D$7)-(1-D$7)*LN(1-EXP(((D32+E32)/2)))-D$6&gt;0,E32,((D32+E32)/2))</f>
        <v>-16.0341334757558</v>
      </c>
      <c r="F33" s="37" t="n">
        <f aca="false">IF(F$7*LN(F$7)-F$7*((F32+G32)/2)+(1-F$7)*LN(1-F$7)-(1-F$7)*LN(1-EXP(((F32+G32)/2)))-F$6&gt;0,((F32+G32)/2),F32)</f>
        <v>-24.8055678651382</v>
      </c>
      <c r="G33" s="37" t="n">
        <f aca="false">IF(F$7*LN(F$7)-F$7*((F32+G32)/2)+(1-F$7)*LN(1-F$7)-(1-F$7)*LN(1-EXP(((F32+G32)/2)))-F$6&gt;0,G32,((F32+G32)/2))</f>
        <v>-24.8055639263548</v>
      </c>
      <c r="H33" s="37" t="n">
        <f aca="false">IF(H$7*LN(H$7)-H$7*((H32+I32)/2)+(1-H$7)*LN(1-H$7)-(1-H$7)*LN(1-EXP(((H32+I32)/2)))-H$6&gt;0,((H32+I32)/2),H32)</f>
        <v>-3.19789427229192</v>
      </c>
      <c r="I33" s="37" t="n">
        <f aca="false">IF(H$7*LN(H$7)-H$7*((H32+I32)/2)+(1-H$7)*LN(1-H$7)-(1-H$7)*LN(1-EXP(((H32+I32)/2)))-H$6&gt;0,I32,((H32+I32)/2))</f>
        <v>-3.19789033350848</v>
      </c>
      <c r="J33" s="37" t="n">
        <f aca="false">IF(J$7*LN(J$7)-J$7*((J32+K32)/2)+(1-J$7)*LN(1-J$7)-(1-J$7)*LN(1-EXP(((J32+K32)/2)))-J$6&gt;0,((J32+K32)/2),J32)</f>
        <v>-3.28605212320086</v>
      </c>
      <c r="K33" s="37" t="n">
        <f aca="false">IF(J$7*LN(J$7)-J$7*((J32+K32)/2)+(1-J$7)*LN(1-J$7)-(1-J$7)*LN(1-EXP(((J32+K32)/2)))-J$6&gt;0,K32,((J32+K32)/2))</f>
        <v>-3.28604818441742</v>
      </c>
      <c r="L33" s="37" t="n">
        <f aca="false">IF(L$7*LN(L$7)-L$7*((L32+M32)/2)+(1-L$7)*LN(1-L$7)-(1-L$7)*LN(1-EXP(((L32+M32)/2)))-L$6&gt;0,((L32+M32)/2),L32)</f>
        <v>-3.4691976755002</v>
      </c>
      <c r="M33" s="37" t="n">
        <f aca="false">IF(L$7*LN(L$7)-L$7*((L32+M32)/2)+(1-L$7)*LN(1-L$7)-(1-L$7)*LN(1-EXP(((L32+M32)/2)))-L$6&gt;0,M32,((L32+M32)/2))</f>
        <v>-3.46919373671677</v>
      </c>
      <c r="N33" s="37" t="n">
        <f aca="false">IF(N$7*LN(N$7)-N$7*((N32+O32)/2)+(1-N$7)*LN(1-N$7)-(1-N$7)*LN(1-EXP(((N32+O32)/2)))-N$6&gt;0,((N32+O32)/2),N32)</f>
        <v>-3.68963562939037</v>
      </c>
      <c r="O33" s="37" t="n">
        <f aca="false">IF(N$7*LN(N$7)-N$7*((N32+O32)/2)+(1-N$7)*LN(1-N$7)-(1-N$7)*LN(1-EXP(((N32+O32)/2)))-N$6&gt;0,O32,((N32+O32)/2))</f>
        <v>-3.68963169060694</v>
      </c>
      <c r="P33" s="37" t="n">
        <f aca="false">IF(P$7*LN(P$7)-P$7*((P32+Q32)/2)+(1-P$7)*LN(1-P$7)-(1-P$7)*LN(1-EXP(((P32+Q32)/2)))-P$6&gt;0,((P32+Q32)/2),P32)</f>
        <v>-4.02932419064892</v>
      </c>
      <c r="Q33" s="37" t="n">
        <f aca="false">IF(P$7*LN(P$7)-P$7*((P32+Q32)/2)+(1-P$7)*LN(1-P$7)-(1-P$7)*LN(1-EXP(((P32+Q32)/2)))-P$6&gt;0,Q32,((P32+Q32)/2))</f>
        <v>-4.02932025186549</v>
      </c>
      <c r="R33" s="37" t="n">
        <f aca="false">IF(R$7*LN(R$7)-R$7*((R32+S32)/2)+(1-R$7)*LN(1-R$7)-(1-R$7)*LN(1-EXP(((R32+S32)/2)))-R$6&gt;0,((R32+S32)/2),R32)</f>
        <v>-4.31449998912579</v>
      </c>
      <c r="S33" s="37" t="n">
        <f aca="false">IF(R$7*LN(R$7)-R$7*((R32+S32)/2)+(1-R$7)*LN(1-R$7)-(1-R$7)*LN(1-EXP(((R32+S32)/2)))-R$6&gt;0,S32,((R32+S32)/2))</f>
        <v>-4.31449605034235</v>
      </c>
      <c r="T33" s="37" t="n">
        <f aca="false">IF(T$7*LN(T$7)-T$7*((T32+U32)/2)+(1-T$7)*LN(1-T$7)-(1-T$7)*LN(1-EXP(((T32+U32)/2)))-T$6&gt;0,((T32+U32)/2),T32)</f>
        <v>-4.81575744701041</v>
      </c>
      <c r="U33" s="37" t="n">
        <f aca="false">IF(T$7*LN(T$7)-T$7*((T32+U32)/2)+(1-T$7)*LN(1-T$7)-(1-T$7)*LN(1-EXP(((T32+U32)/2)))-T$6&gt;0,U32,((T32+U32)/2))</f>
        <v>-4.81575350822697</v>
      </c>
      <c r="V33" s="37" t="n">
        <f aca="false">IF(V$7*LN(V$7)-V$7*((V32+W32)/2)+(1-V$7)*LN(1-V$7)-(1-V$7)*LN(1-EXP(((V32+W32)/2)))-V$6&gt;0,((V32+W32)/2),V32)</f>
        <v>-5.38280046587623</v>
      </c>
      <c r="W33" s="37" t="n">
        <f aca="false">IF(V$7*LN(V$7)-V$7*((V32+W32)/2)+(1-V$7)*LN(1-V$7)-(1-V$7)*LN(1-EXP(((V32+W32)/2)))-V$6&gt;0,W32,((V32+W32)/2))</f>
        <v>-5.38279652709279</v>
      </c>
      <c r="X33" s="37" t="n">
        <f aca="false">IF(X$7*LN(X$7)-X$7*((X32+Y32)/2)+(1-X$7)*LN(1-X$7)-(1-X$7)*LN(1-EXP(((X32+Y32)/2)))-X$6&gt;0,((X32+Y32)/2),X32)</f>
        <v>-5.91917611689391</v>
      </c>
      <c r="Y33" s="37" t="n">
        <f aca="false">IF(X$7*LN(X$7)-X$7*((X32+Y32)/2)+(1-X$7)*LN(1-X$7)-(1-X$7)*LN(1-EXP(((X32+Y32)/2)))-X$6&gt;0,Y32,((X32+Y32)/2))</f>
        <v>-5.91917217811047</v>
      </c>
      <c r="Z33" s="37" t="n">
        <f aca="false">IF(Z$7*LN(Z$7)-Z$7*((Z32+AA32)/2)+(1-Z$7)*LN(1-Z$7)-(1-Z$7)*LN(1-EXP(((Z32+AA32)/2)))-Z$6&gt;0,((Z32+AA32)/2),Z32)</f>
        <v>-6.95212207350502</v>
      </c>
      <c r="AA33" s="37" t="n">
        <f aca="false">IF(Z$7*LN(Z$7)-Z$7*((Z32+AA32)/2)+(1-Z$7)*LN(1-Z$7)-(1-Z$7)*LN(1-EXP(((Z32+AA32)/2)))-Z$6&gt;0,AA32,((Z32+AA32)/2))</f>
        <v>-6.95211813472158</v>
      </c>
      <c r="AB33" s="37" t="n">
        <f aca="false">IF((((AB32+AC32)/2))*LN((((AB32+AC32)/2))/(AB$7))+(1-(((AB32+AC32)/2)))*LN((1-(((AB32+AC32)/2)))/(1-(AB$7)))-AB$6&lt;0,((AB32+AC32)/2),AB32)</f>
        <v>0.0600408107042312</v>
      </c>
      <c r="AC33" s="37" t="n">
        <f aca="false">IF((((AB32+AC32)/2))*LN((((AB32+AC32)/2))/(AB$7))+(1-(((AB32+AC32)/2)))*LN((1-(((AB32+AC32)/2)))/(1-(AB$7)))-AB$6&lt;0,AC32,((AB32+AC32)/2))</f>
        <v>0.0600408673286438</v>
      </c>
      <c r="AD33" s="37" t="n">
        <f aca="false">IF((((AD32+AE32)/2))*LN((((AD32+AE32)/2))/(AD$7))+(1-(((AD32+AE32)/2)))*LN((1-(((AD32+AE32)/2)))/(1-(AD$7)))-AD$6&lt;0,((AD32+AE32)/2),AD32)</f>
        <v>0.0677518099546432</v>
      </c>
      <c r="AE33" s="37" t="n">
        <f aca="false">IF((((AD32+AE32)/2))*LN((((AD32+AE32)/2))/(AD$7))+(1-(((AD32+AE32)/2)))*LN((1-(((AD32+AE32)/2)))/(1-(AD$7)))-AD$6&lt;0,AE32,((AD32+AE32)/2))</f>
        <v>0.0677518665790558</v>
      </c>
      <c r="AF33" s="37" t="n">
        <f aca="false">IF((((AF32+AG32)/2))*LN((((AF32+AG32)/2))/(AF$7))+(1-(((AF32+AG32)/2)))*LN((1-(((AF32+AG32)/2)))/(1-(AF$7)))-AF$6&lt;0,((AF32+AG32)/2),AF32)</f>
        <v>0.0836482644081115</v>
      </c>
      <c r="AG33" s="37" t="n">
        <f aca="false">IF((((AF32+AG32)/2))*LN((((AF32+AG32)/2))/(AF$7))+(1-(((AF32+AG32)/2)))*LN((1-(((AF32+AG32)/2)))/(1-(AF$7)))-AF$6&lt;0,AG32,((AF32+AG32)/2))</f>
        <v>0.0836483210325241</v>
      </c>
      <c r="AH33" s="37" t="n">
        <f aca="false">IF((((AH32+AI32)/2))*LN((((AH32+AI32)/2))/(AH$7))+(1-(((AH32+AI32)/2)))*LN((1-(((AH32+AI32)/2)))/(1-(AH$7)))-AH$6&lt;0,((AH32+AI32)/2),AH32)</f>
        <v>0.111548018455505</v>
      </c>
      <c r="AI33" s="37" t="n">
        <f aca="false">IF((((AH32+AI32)/2))*LN((((AH32+AI32)/2))/(AH$7))+(1-(((AH32+AI32)/2)))*LN((1-(((AH32+AI32)/2)))/(1-(AH$7)))-AH$6&lt;0,AI32,((AH32+AI32)/2))</f>
        <v>0.111548075079918</v>
      </c>
      <c r="AJ33" s="37" t="n">
        <f aca="false">IF((((AJ32+AK32)/2))*LN((((AJ32+AK32)/2))/(AJ$7))+(1-(((AJ32+AK32)/2)))*LN((1-(((AJ32+AK32)/2)))/(1-(AJ$7)))-AJ$6&lt;0,((AJ32+AK32)/2),AJ32)</f>
        <v>0.172949323058128</v>
      </c>
      <c r="AK33" s="37" t="n">
        <f aca="false">IF((((AJ32+AK32)/2))*LN((((AJ32+AK32)/2))/(AJ$7))+(1-(((AJ32+AK32)/2)))*LN((1-(((AJ32+AK32)/2)))/(1-(AJ$7)))-AJ$6&lt;0,AK32,((AJ32+AK32)/2))</f>
        <v>0.172949379682541</v>
      </c>
      <c r="AL33" s="37" t="n">
        <f aca="false">IF((((AL32+AM32)/2))*LN((((AL32+AM32)/2))/(AL$7))+(1-(((AL32+AM32)/2)))*LN((1-(((AL32+AM32)/2)))/(1-(AL$7)))-AL$6&lt;0,((AL32+AM32)/2),AL32)</f>
        <v>0.288519182801246</v>
      </c>
      <c r="AM33" s="37" t="n">
        <f aca="false">IF((((AL32+AM32)/2))*LN((((AL32+AM32)/2))/(AL$7))+(1-(((AL32+AM32)/2)))*LN((1-(((AL32+AM32)/2)))/(1-(AL$7)))-AL$6&lt;0,AM32,((AL32+AM32)/2))</f>
        <v>0.288519239425659</v>
      </c>
      <c r="AN33" s="37" t="n">
        <f aca="false">IF((((AN32+AO32)/2))*LN((((AN32+AO32)/2))/(AN$7))+(1-(((AN32+AO32)/2)))*LN((1-(((AN32+AO32)/2)))/(1-(AN$7)))-AN$6&lt;0,((AN32+AO32)/2),AN32)</f>
        <v>0.555514103174209</v>
      </c>
      <c r="AO33" s="37" t="n">
        <f aca="false">IF((((AN32+AO32)/2))*LN((((AN32+AO32)/2))/(AN$7))+(1-(((AN32+AO32)/2)))*LN((1-(((AN32+AO32)/2)))/(1-(AN$7)))-AN$6&lt;0,AO32,((AN32+AO32)/2))</f>
        <v>0.555514159798622</v>
      </c>
      <c r="AP33" s="37" t="n">
        <f aca="false">IF(AP$7*LN(AP$7)-AP$7*((AP32+AQ32)/2)+(1-AP$7)*LN(1-AP$7)-(1-AP$7)*LN(1-EXP(((AP32+AQ32)/2)))-AP$6&gt;0,((AP32+AQ32)/2),AP32)</f>
        <v>-3.68963562939037</v>
      </c>
      <c r="AQ33" s="37" t="n">
        <f aca="false">IF(AP$7*LN(AP$7)-AP$7*((AP32+AQ32)/2)+(1-AP$7)*LN(1-AP$7)-(1-AP$7)*LN(1-EXP(((AP32+AQ32)/2)))-AP$6&gt;0,AQ32,((AP32+AQ32)/2))</f>
        <v>-3.68963169060694</v>
      </c>
      <c r="AR33" s="37" t="n">
        <f aca="false">IF((((AR32+AS32)/2))*LN((((AR32+AS32)/2))/(AR$7))+(1-(((AR32+AS32)/2)))*LN((1-(((AR32+AS32)/2)))/(1-(AR$7)))-AR$6&lt;0,((AR32+AS32)/2),AR32)</f>
        <v>0.0836482644081115</v>
      </c>
      <c r="AS33" s="37" t="n">
        <f aca="false">IF((((AR32+AS32)/2))*LN((((AR32+AS32)/2))/(AR$7))+(1-(((AR32+AS32)/2)))*LN((1-(((AR32+AS32)/2)))/(1-(AR$7)))-AR$6&lt;0,AS32,((AR32+AS32)/2))</f>
        <v>0.0836483210325241</v>
      </c>
    </row>
    <row r="34" customFormat="false" ht="15" hidden="false" customHeight="false" outlineLevel="0" collapsed="false">
      <c r="B34" s="37" t="n">
        <f aca="false">IF(B$7*LN(B$7)-B$7*((B33+C33)/2)+(1-B$7)*LN(1-B$7)-(1-B$7)*LN(1-EXP(((B33+C33)/2)))-B$6&gt;0,((B33+C33)/2),B33)</f>
        <v>-12.741680767245</v>
      </c>
      <c r="C34" s="37" t="n">
        <f aca="false">IF(B$7*LN(B$7)-B$7*((B33+C33)/2)+(1-B$7)*LN(1-B$7)-(1-B$7)*LN(1-EXP(((B33+C33)/2)))-B$6&gt;0,C33,((B33+C33)/2))</f>
        <v>-12.7416787978533</v>
      </c>
      <c r="D34" s="37" t="n">
        <f aca="false">IF(D$7*LN(D$7)-D$7*((D33+E33)/2)+(1-D$7)*LN(1-D$7)-(1-D$7)*LN(1-EXP(((D33+E33)/2)))-D$6&gt;0,((D33+E33)/2),D33)</f>
        <v>-16.0341354451475</v>
      </c>
      <c r="E34" s="37" t="n">
        <f aca="false">IF(D$7*LN(D$7)-D$7*((D33+E33)/2)+(1-D$7)*LN(1-D$7)-(1-D$7)*LN(1-EXP(((D33+E33)/2)))-D$6&gt;0,E33,((D33+E33)/2))</f>
        <v>-16.0341334757558</v>
      </c>
      <c r="F34" s="37" t="n">
        <f aca="false">IF(F$7*LN(F$7)-F$7*((F33+G33)/2)+(1-F$7)*LN(1-F$7)-(1-F$7)*LN(1-EXP(((F33+G33)/2)))-F$6&gt;0,((F33+G33)/2),F33)</f>
        <v>-24.8055678651382</v>
      </c>
      <c r="G34" s="37" t="n">
        <f aca="false">IF(F$7*LN(F$7)-F$7*((F33+G33)/2)+(1-F$7)*LN(1-F$7)-(1-F$7)*LN(1-EXP(((F33+G33)/2)))-F$6&gt;0,G33,((F33+G33)/2))</f>
        <v>-24.8055658957465</v>
      </c>
      <c r="H34" s="37" t="n">
        <f aca="false">IF(H$7*LN(H$7)-H$7*((H33+I33)/2)+(1-H$7)*LN(1-H$7)-(1-H$7)*LN(1-EXP(((H33+I33)/2)))-H$6&gt;0,((H33+I33)/2),H33)</f>
        <v>-3.1978923029002</v>
      </c>
      <c r="I34" s="37" t="n">
        <f aca="false">IF(H$7*LN(H$7)-H$7*((H33+I33)/2)+(1-H$7)*LN(1-H$7)-(1-H$7)*LN(1-EXP(((H33+I33)/2)))-H$6&gt;0,I33,((H33+I33)/2))</f>
        <v>-3.19789033350848</v>
      </c>
      <c r="J34" s="37" t="n">
        <f aca="false">IF(J$7*LN(J$7)-J$7*((J33+K33)/2)+(1-J$7)*LN(1-J$7)-(1-J$7)*LN(1-EXP(((J33+K33)/2)))-J$6&gt;0,((J33+K33)/2),J33)</f>
        <v>-3.28605212320086</v>
      </c>
      <c r="K34" s="37" t="n">
        <f aca="false">IF(J$7*LN(J$7)-J$7*((J33+K33)/2)+(1-J$7)*LN(1-J$7)-(1-J$7)*LN(1-EXP(((J33+K33)/2)))-J$6&gt;0,K33,((J33+K33)/2))</f>
        <v>-3.28605015380914</v>
      </c>
      <c r="L34" s="37" t="n">
        <f aca="false">IF(L$7*LN(L$7)-L$7*((L33+M33)/2)+(1-L$7)*LN(1-L$7)-(1-L$7)*LN(1-EXP(((L33+M33)/2)))-L$6&gt;0,((L33+M33)/2),L33)</f>
        <v>-3.4691976755002</v>
      </c>
      <c r="M34" s="37" t="n">
        <f aca="false">IF(L$7*LN(L$7)-L$7*((L33+M33)/2)+(1-L$7)*LN(1-L$7)-(1-L$7)*LN(1-EXP(((L33+M33)/2)))-L$6&gt;0,M33,((L33+M33)/2))</f>
        <v>-3.46919570610848</v>
      </c>
      <c r="N34" s="37" t="n">
        <f aca="false">IF(N$7*LN(N$7)-N$7*((N33+O33)/2)+(1-N$7)*LN(1-N$7)-(1-N$7)*LN(1-EXP(((N33+O33)/2)))-N$6&gt;0,((N33+O33)/2),N33)</f>
        <v>-3.68963562939037</v>
      </c>
      <c r="O34" s="37" t="n">
        <f aca="false">IF(N$7*LN(N$7)-N$7*((N33+O33)/2)+(1-N$7)*LN(1-N$7)-(1-N$7)*LN(1-EXP(((N33+O33)/2)))-N$6&gt;0,O33,((N33+O33)/2))</f>
        <v>-3.68963365999865</v>
      </c>
      <c r="P34" s="37" t="n">
        <f aca="false">IF(P$7*LN(P$7)-P$7*((P33+Q33)/2)+(1-P$7)*LN(1-P$7)-(1-P$7)*LN(1-EXP(((P33+Q33)/2)))-P$6&gt;0,((P33+Q33)/2),P33)</f>
        <v>-4.0293222212572</v>
      </c>
      <c r="Q34" s="37" t="n">
        <f aca="false">IF(P$7*LN(P$7)-P$7*((P33+Q33)/2)+(1-P$7)*LN(1-P$7)-(1-P$7)*LN(1-EXP(((P33+Q33)/2)))-P$6&gt;0,Q33,((P33+Q33)/2))</f>
        <v>-4.02932025186549</v>
      </c>
      <c r="R34" s="37" t="n">
        <f aca="false">IF(R$7*LN(R$7)-R$7*((R33+S33)/2)+(1-R$7)*LN(1-R$7)-(1-R$7)*LN(1-EXP(((R33+S33)/2)))-R$6&gt;0,((R33+S33)/2),R33)</f>
        <v>-4.31449998912579</v>
      </c>
      <c r="S34" s="37" t="n">
        <f aca="false">IF(R$7*LN(R$7)-R$7*((R33+S33)/2)+(1-R$7)*LN(1-R$7)-(1-R$7)*LN(1-EXP(((R33+S33)/2)))-R$6&gt;0,S33,((R33+S33)/2))</f>
        <v>-4.31449801973407</v>
      </c>
      <c r="T34" s="37" t="n">
        <f aca="false">IF(T$7*LN(T$7)-T$7*((T33+U33)/2)+(1-T$7)*LN(1-T$7)-(1-T$7)*LN(1-EXP(((T33+U33)/2)))-T$6&gt;0,((T33+U33)/2),T33)</f>
        <v>-4.81575744701041</v>
      </c>
      <c r="U34" s="37" t="n">
        <f aca="false">IF(T$7*LN(T$7)-T$7*((T33+U33)/2)+(1-T$7)*LN(1-T$7)-(1-T$7)*LN(1-EXP(((T33+U33)/2)))-T$6&gt;0,U33,((T33+U33)/2))</f>
        <v>-4.81575547761869</v>
      </c>
      <c r="V34" s="37" t="n">
        <f aca="false">IF(V$7*LN(V$7)-V$7*((V33+W33)/2)+(1-V$7)*LN(1-V$7)-(1-V$7)*LN(1-EXP(((V33+W33)/2)))-V$6&gt;0,((V33+W33)/2),V33)</f>
        <v>-5.38280046587623</v>
      </c>
      <c r="W34" s="37" t="n">
        <f aca="false">IF(V$7*LN(V$7)-V$7*((V33+W33)/2)+(1-V$7)*LN(1-V$7)-(1-V$7)*LN(1-EXP(((V33+W33)/2)))-V$6&gt;0,W33,((V33+W33)/2))</f>
        <v>-5.38279849648451</v>
      </c>
      <c r="X34" s="37" t="n">
        <f aca="false">IF(X$7*LN(X$7)-X$7*((X33+Y33)/2)+(1-X$7)*LN(1-X$7)-(1-X$7)*LN(1-EXP(((X33+Y33)/2)))-X$6&gt;0,((X33+Y33)/2),X33)</f>
        <v>-5.91917611689391</v>
      </c>
      <c r="Y34" s="37" t="n">
        <f aca="false">IF(X$7*LN(X$7)-X$7*((X33+Y33)/2)+(1-X$7)*LN(1-X$7)-(1-X$7)*LN(1-EXP(((X33+Y33)/2)))-X$6&gt;0,Y33,((X33+Y33)/2))</f>
        <v>-5.91917414750219</v>
      </c>
      <c r="Z34" s="37" t="n">
        <f aca="false">IF(Z$7*LN(Z$7)-Z$7*((Z33+AA33)/2)+(1-Z$7)*LN(1-Z$7)-(1-Z$7)*LN(1-EXP(((Z33+AA33)/2)))-Z$6&gt;0,((Z33+AA33)/2),Z33)</f>
        <v>-6.95212207350502</v>
      </c>
      <c r="AA34" s="37" t="n">
        <f aca="false">IF(Z$7*LN(Z$7)-Z$7*((Z33+AA33)/2)+(1-Z$7)*LN(1-Z$7)-(1-Z$7)*LN(1-EXP(((Z33+AA33)/2)))-Z$6&gt;0,AA33,((Z33+AA33)/2))</f>
        <v>-6.9521201041133</v>
      </c>
      <c r="AB34" s="37" t="n">
        <f aca="false">IF((((AB33+AC33)/2))*LN((((AB33+AC33)/2))/(AB$7))+(1-(((AB33+AC33)/2)))*LN((1-(((AB33+AC33)/2)))/(1-(AB$7)))-AB$6&lt;0,((AB33+AC33)/2),AB33)</f>
        <v>0.0600408107042312</v>
      </c>
      <c r="AC34" s="37" t="n">
        <f aca="false">IF((((AB33+AC33)/2))*LN((((AB33+AC33)/2))/(AB$7))+(1-(((AB33+AC33)/2)))*LN((1-(((AB33+AC33)/2)))/(1-(AB$7)))-AB$6&lt;0,AC33,((AB33+AC33)/2))</f>
        <v>0.0600408390164375</v>
      </c>
      <c r="AD34" s="37" t="n">
        <f aca="false">IF((((AD33+AE33)/2))*LN((((AD33+AE33)/2))/(AD$7))+(1-(((AD33+AE33)/2)))*LN((1-(((AD33+AE33)/2)))/(1-(AD$7)))-AD$6&lt;0,((AD33+AE33)/2),AD33)</f>
        <v>0.0677518099546432</v>
      </c>
      <c r="AE34" s="37" t="n">
        <f aca="false">IF((((AD33+AE33)/2))*LN((((AD33+AE33)/2))/(AD$7))+(1-(((AD33+AE33)/2)))*LN((1-(((AD33+AE33)/2)))/(1-(AD$7)))-AD$6&lt;0,AE33,((AD33+AE33)/2))</f>
        <v>0.0677518382668495</v>
      </c>
      <c r="AF34" s="37" t="n">
        <f aca="false">IF((((AF33+AG33)/2))*LN((((AF33+AG33)/2))/(AF$7))+(1-(((AF33+AG33)/2)))*LN((1-(((AF33+AG33)/2)))/(1-(AF$7)))-AF$6&lt;0,((AF33+AG33)/2),AF33)</f>
        <v>0.0836482644081115</v>
      </c>
      <c r="AG34" s="37" t="n">
        <f aca="false">IF((((AF33+AG33)/2))*LN((((AF33+AG33)/2))/(AF$7))+(1-(((AF33+AG33)/2)))*LN((1-(((AF33+AG33)/2)))/(1-(AF$7)))-AF$6&lt;0,AG33,((AF33+AG33)/2))</f>
        <v>0.0836482927203178</v>
      </c>
      <c r="AH34" s="37" t="n">
        <f aca="false">IF((((AH33+AI33)/2))*LN((((AH33+AI33)/2))/(AH$7))+(1-(((AH33+AI33)/2)))*LN((1-(((AH33+AI33)/2)))/(1-(AH$7)))-AH$6&lt;0,((AH33+AI33)/2),AH33)</f>
        <v>0.111548046767712</v>
      </c>
      <c r="AI34" s="37" t="n">
        <f aca="false">IF((((AH33+AI33)/2))*LN((((AH33+AI33)/2))/(AH$7))+(1-(((AH33+AI33)/2)))*LN((1-(((AH33+AI33)/2)))/(1-(AH$7)))-AH$6&lt;0,AI33,((AH33+AI33)/2))</f>
        <v>0.111548075079918</v>
      </c>
      <c r="AJ34" s="37" t="n">
        <f aca="false">IF((((AJ33+AK33)/2))*LN((((AJ33+AK33)/2))/(AJ$7))+(1-(((AJ33+AK33)/2)))*LN((1-(((AJ33+AK33)/2)))/(1-(AJ$7)))-AJ$6&lt;0,((AJ33+AK33)/2),AJ33)</f>
        <v>0.172949323058128</v>
      </c>
      <c r="AK34" s="37" t="n">
        <f aca="false">IF((((AJ33+AK33)/2))*LN((((AJ33+AK33)/2))/(AJ$7))+(1-(((AJ33+AK33)/2)))*LN((1-(((AJ33+AK33)/2)))/(1-(AJ$7)))-AJ$6&lt;0,AK33,((AJ33+AK33)/2))</f>
        <v>0.172949351370334</v>
      </c>
      <c r="AL34" s="37" t="n">
        <f aca="false">IF((((AL33+AM33)/2))*LN((((AL33+AM33)/2))/(AL$7))+(1-(((AL33+AM33)/2)))*LN((1-(((AL33+AM33)/2)))/(1-(AL$7)))-AL$6&lt;0,((AL33+AM33)/2),AL33)</f>
        <v>0.288519182801246</v>
      </c>
      <c r="AM34" s="37" t="n">
        <f aca="false">IF((((AL33+AM33)/2))*LN((((AL33+AM33)/2))/(AL$7))+(1-(((AL33+AM33)/2)))*LN((1-(((AL33+AM33)/2)))/(1-(AL$7)))-AL$6&lt;0,AM33,((AL33+AM33)/2))</f>
        <v>0.288519211113453</v>
      </c>
      <c r="AN34" s="37" t="n">
        <f aca="false">IF((((AN33+AO33)/2))*LN((((AN33+AO33)/2))/(AN$7))+(1-(((AN33+AO33)/2)))*LN((1-(((AN33+AO33)/2)))/(1-(AN$7)))-AN$6&lt;0,((AN33+AO33)/2),AN33)</f>
        <v>0.555514131486415</v>
      </c>
      <c r="AO34" s="37" t="n">
        <f aca="false">IF((((AN33+AO33)/2))*LN((((AN33+AO33)/2))/(AN$7))+(1-(((AN33+AO33)/2)))*LN((1-(((AN33+AO33)/2)))/(1-(AN$7)))-AN$6&lt;0,AO33,((AN33+AO33)/2))</f>
        <v>0.555514159798622</v>
      </c>
      <c r="AP34" s="37" t="n">
        <f aca="false">IF(AP$7*LN(AP$7)-AP$7*((AP33+AQ33)/2)+(1-AP$7)*LN(1-AP$7)-(1-AP$7)*LN(1-EXP(((AP33+AQ33)/2)))-AP$6&gt;0,((AP33+AQ33)/2),AP33)</f>
        <v>-3.68963562939037</v>
      </c>
      <c r="AQ34" s="37" t="n">
        <f aca="false">IF(AP$7*LN(AP$7)-AP$7*((AP33+AQ33)/2)+(1-AP$7)*LN(1-AP$7)-(1-AP$7)*LN(1-EXP(((AP33+AQ33)/2)))-AP$6&gt;0,AQ33,((AP33+AQ33)/2))</f>
        <v>-3.68963365999865</v>
      </c>
      <c r="AR34" s="37" t="n">
        <f aca="false">IF((((AR33+AS33)/2))*LN((((AR33+AS33)/2))/(AR$7))+(1-(((AR33+AS33)/2)))*LN((1-(((AR33+AS33)/2)))/(1-(AR$7)))-AR$6&lt;0,((AR33+AS33)/2),AR33)</f>
        <v>0.0836482644081115</v>
      </c>
      <c r="AS34" s="37" t="n">
        <f aca="false">IF((((AR33+AS33)/2))*LN((((AR33+AS33)/2))/(AR$7))+(1-(((AR33+AS33)/2)))*LN((1-(((AR33+AS33)/2)))/(1-(AR$7)))-AR$6&lt;0,AS33,((AR33+AS33)/2))</f>
        <v>0.0836482927203178</v>
      </c>
    </row>
    <row r="35" customFormat="false" ht="15" hidden="false" customHeight="false" outlineLevel="0" collapsed="false">
      <c r="B35" s="37" t="n">
        <f aca="false">IF(B$7*LN(B$7)-B$7*((B34+C34)/2)+(1-B$7)*LN(1-B$7)-(1-B$7)*LN(1-EXP(((B34+C34)/2)))-B$6&gt;0,((B34+C34)/2),B34)</f>
        <v>-12.741680767245</v>
      </c>
      <c r="C35" s="37" t="n">
        <f aca="false">IF(B$7*LN(B$7)-B$7*((B34+C34)/2)+(1-B$7)*LN(1-B$7)-(1-B$7)*LN(1-EXP(((B34+C34)/2)))-B$6&gt;0,C34,((B34+C34)/2))</f>
        <v>-12.7416797825491</v>
      </c>
      <c r="D35" s="37" t="n">
        <f aca="false">IF(D$7*LN(D$7)-D$7*((D34+E34)/2)+(1-D$7)*LN(1-D$7)-(1-D$7)*LN(1-EXP(((D34+E34)/2)))-D$6&gt;0,((D34+E34)/2),D34)</f>
        <v>-16.0341344604517</v>
      </c>
      <c r="E35" s="37" t="n">
        <f aca="false">IF(D$7*LN(D$7)-D$7*((D34+E34)/2)+(1-D$7)*LN(1-D$7)-(1-D$7)*LN(1-EXP(((D34+E34)/2)))-D$6&gt;0,E34,((D34+E34)/2))</f>
        <v>-16.0341334757558</v>
      </c>
      <c r="F35" s="37" t="n">
        <f aca="false">IF(F$7*LN(F$7)-F$7*((F34+G34)/2)+(1-F$7)*LN(1-F$7)-(1-F$7)*LN(1-EXP(((F34+G34)/2)))-F$6&gt;0,((F34+G34)/2),F34)</f>
        <v>-24.8055678651382</v>
      </c>
      <c r="G35" s="37" t="n">
        <f aca="false">IF(F$7*LN(F$7)-F$7*((F34+G34)/2)+(1-F$7)*LN(1-F$7)-(1-F$7)*LN(1-EXP(((F34+G34)/2)))-F$6&gt;0,G34,((F34+G34)/2))</f>
        <v>-24.8055668804424</v>
      </c>
      <c r="H35" s="37" t="n">
        <f aca="false">IF(H$7*LN(H$7)-H$7*((H34+I34)/2)+(1-H$7)*LN(1-H$7)-(1-H$7)*LN(1-EXP(((H34+I34)/2)))-H$6&gt;0,((H34+I34)/2),H34)</f>
        <v>-3.19789131820434</v>
      </c>
      <c r="I35" s="37" t="n">
        <f aca="false">IF(H$7*LN(H$7)-H$7*((H34+I34)/2)+(1-H$7)*LN(1-H$7)-(1-H$7)*LN(1-EXP(((H34+I34)/2)))-H$6&gt;0,I34,((H34+I34)/2))</f>
        <v>-3.19789033350848</v>
      </c>
      <c r="J35" s="37" t="n">
        <f aca="false">IF(J$7*LN(J$7)-J$7*((J34+K34)/2)+(1-J$7)*LN(1-J$7)-(1-J$7)*LN(1-EXP(((J34+K34)/2)))-J$6&gt;0,((J34+K34)/2),J34)</f>
        <v>-3.286051138505</v>
      </c>
      <c r="K35" s="37" t="n">
        <f aca="false">IF(J$7*LN(J$7)-J$7*((J34+K34)/2)+(1-J$7)*LN(1-J$7)-(1-J$7)*LN(1-EXP(((J34+K34)/2)))-J$6&gt;0,K34,((J34+K34)/2))</f>
        <v>-3.28605015380914</v>
      </c>
      <c r="L35" s="37" t="n">
        <f aca="false">IF(L$7*LN(L$7)-L$7*((L34+M34)/2)+(1-L$7)*LN(1-L$7)-(1-L$7)*LN(1-EXP(((L34+M34)/2)))-L$6&gt;0,((L34+M34)/2),L34)</f>
        <v>-3.4691976755002</v>
      </c>
      <c r="M35" s="37" t="n">
        <f aca="false">IF(L$7*LN(L$7)-L$7*((L34+M34)/2)+(1-L$7)*LN(1-L$7)-(1-L$7)*LN(1-EXP(((L34+M34)/2)))-L$6&gt;0,M34,((L34+M34)/2))</f>
        <v>-3.46919669080434</v>
      </c>
      <c r="N35" s="37" t="n">
        <f aca="false">IF(N$7*LN(N$7)-N$7*((N34+O34)/2)+(1-N$7)*LN(1-N$7)-(1-N$7)*LN(1-EXP(((N34+O34)/2)))-N$6&gt;0,((N34+O34)/2),N34)</f>
        <v>-3.68963464469451</v>
      </c>
      <c r="O35" s="37" t="n">
        <f aca="false">IF(N$7*LN(N$7)-N$7*((N34+O34)/2)+(1-N$7)*LN(1-N$7)-(1-N$7)*LN(1-EXP(((N34+O34)/2)))-N$6&gt;0,O34,((N34+O34)/2))</f>
        <v>-3.68963365999865</v>
      </c>
      <c r="P35" s="37" t="n">
        <f aca="false">IF(P$7*LN(P$7)-P$7*((P34+Q34)/2)+(1-P$7)*LN(1-P$7)-(1-P$7)*LN(1-EXP(((P34+Q34)/2)))-P$6&gt;0,((P34+Q34)/2),P34)</f>
        <v>-4.0293222212572</v>
      </c>
      <c r="Q35" s="37" t="n">
        <f aca="false">IF(P$7*LN(P$7)-P$7*((P34+Q34)/2)+(1-P$7)*LN(1-P$7)-(1-P$7)*LN(1-EXP(((P34+Q34)/2)))-P$6&gt;0,Q34,((P34+Q34)/2))</f>
        <v>-4.02932123656134</v>
      </c>
      <c r="R35" s="37" t="n">
        <f aca="false">IF(R$7*LN(R$7)-R$7*((R34+S34)/2)+(1-R$7)*LN(1-R$7)-(1-R$7)*LN(1-EXP(((R34+S34)/2)))-R$6&gt;0,((R34+S34)/2),R34)</f>
        <v>-4.31449900442993</v>
      </c>
      <c r="S35" s="37" t="n">
        <f aca="false">IF(R$7*LN(R$7)-R$7*((R34+S34)/2)+(1-R$7)*LN(1-R$7)-(1-R$7)*LN(1-EXP(((R34+S34)/2)))-R$6&gt;0,S34,((R34+S34)/2))</f>
        <v>-4.31449801973407</v>
      </c>
      <c r="T35" s="37" t="n">
        <f aca="false">IF(T$7*LN(T$7)-T$7*((T34+U34)/2)+(1-T$7)*LN(1-T$7)-(1-T$7)*LN(1-EXP(((T34+U34)/2)))-T$6&gt;0,((T34+U34)/2),T34)</f>
        <v>-4.81575744701041</v>
      </c>
      <c r="U35" s="37" t="n">
        <f aca="false">IF(T$7*LN(T$7)-T$7*((T34+U34)/2)+(1-T$7)*LN(1-T$7)-(1-T$7)*LN(1-EXP(((T34+U34)/2)))-T$6&gt;0,U34,((T34+U34)/2))</f>
        <v>-4.81575646231455</v>
      </c>
      <c r="V35" s="37" t="n">
        <f aca="false">IF(V$7*LN(V$7)-V$7*((V34+W34)/2)+(1-V$7)*LN(1-V$7)-(1-V$7)*LN(1-EXP(((V34+W34)/2)))-V$6&gt;0,((V34+W34)/2),V34)</f>
        <v>-5.38280046587623</v>
      </c>
      <c r="W35" s="37" t="n">
        <f aca="false">IF(V$7*LN(V$7)-V$7*((V34+W34)/2)+(1-V$7)*LN(1-V$7)-(1-V$7)*LN(1-EXP(((V34+W34)/2)))-V$6&gt;0,W34,((V34+W34)/2))</f>
        <v>-5.38279948118037</v>
      </c>
      <c r="X35" s="37" t="n">
        <f aca="false">IF(X$7*LN(X$7)-X$7*((X34+Y34)/2)+(1-X$7)*LN(1-X$7)-(1-X$7)*LN(1-EXP(((X34+Y34)/2)))-X$6&gt;0,((X34+Y34)/2),X34)</f>
        <v>-5.91917611689391</v>
      </c>
      <c r="Y35" s="37" t="n">
        <f aca="false">IF(X$7*LN(X$7)-X$7*((X34+Y34)/2)+(1-X$7)*LN(1-X$7)-(1-X$7)*LN(1-EXP(((X34+Y34)/2)))-X$6&gt;0,Y34,((X34+Y34)/2))</f>
        <v>-5.91917513219805</v>
      </c>
      <c r="Z35" s="37" t="n">
        <f aca="false">IF(Z$7*LN(Z$7)-Z$7*((Z34+AA34)/2)+(1-Z$7)*LN(1-Z$7)-(1-Z$7)*LN(1-EXP(((Z34+AA34)/2)))-Z$6&gt;0,((Z34+AA34)/2),Z34)</f>
        <v>-6.95212108880916</v>
      </c>
      <c r="AA35" s="37" t="n">
        <f aca="false">IF(Z$7*LN(Z$7)-Z$7*((Z34+AA34)/2)+(1-Z$7)*LN(1-Z$7)-(1-Z$7)*LN(1-EXP(((Z34+AA34)/2)))-Z$6&gt;0,AA34,((Z34+AA34)/2))</f>
        <v>-6.9521201041133</v>
      </c>
      <c r="AB35" s="37" t="n">
        <f aca="false">IF((((AB34+AC34)/2))*LN((((AB34+AC34)/2))/(AB$7))+(1-(((AB34+AC34)/2)))*LN((1-(((AB34+AC34)/2)))/(1-(AB$7)))-AB$6&lt;0,((AB34+AC34)/2),AB34)</f>
        <v>0.0600408107042312</v>
      </c>
      <c r="AC35" s="37" t="n">
        <f aca="false">IF((((AB34+AC34)/2))*LN((((AB34+AC34)/2))/(AB$7))+(1-(((AB34+AC34)/2)))*LN((1-(((AB34+AC34)/2)))/(1-(AB$7)))-AB$6&lt;0,AC34,((AB34+AC34)/2))</f>
        <v>0.0600408248603344</v>
      </c>
      <c r="AD35" s="37" t="n">
        <f aca="false">IF((((AD34+AE34)/2))*LN((((AD34+AE34)/2))/(AD$7))+(1-(((AD34+AE34)/2)))*LN((1-(((AD34+AE34)/2)))/(1-(AD$7)))-AD$6&lt;0,((AD34+AE34)/2),AD34)</f>
        <v>0.0677518099546432</v>
      </c>
      <c r="AE35" s="37" t="n">
        <f aca="false">IF((((AD34+AE34)/2))*LN((((AD34+AE34)/2))/(AD$7))+(1-(((AD34+AE34)/2)))*LN((1-(((AD34+AE34)/2)))/(1-(AD$7)))-AD$6&lt;0,AE34,((AD34+AE34)/2))</f>
        <v>0.0677518241107464</v>
      </c>
      <c r="AF35" s="37" t="n">
        <f aca="false">IF((((AF34+AG34)/2))*LN((((AF34+AG34)/2))/(AF$7))+(1-(((AF34+AG34)/2)))*LN((1-(((AF34+AG34)/2)))/(1-(AF$7)))-AF$6&lt;0,((AF34+AG34)/2),AF34)</f>
        <v>0.0836482644081115</v>
      </c>
      <c r="AG35" s="37" t="n">
        <f aca="false">IF((((AF34+AG34)/2))*LN((((AF34+AG34)/2))/(AF$7))+(1-(((AF34+AG34)/2)))*LN((1-(((AF34+AG34)/2)))/(1-(AF$7)))-AF$6&lt;0,AG34,((AF34+AG34)/2))</f>
        <v>0.0836482785642147</v>
      </c>
      <c r="AH35" s="37" t="n">
        <f aca="false">IF((((AH34+AI34)/2))*LN((((AH34+AI34)/2))/(AH$7))+(1-(((AH34+AI34)/2)))*LN((1-(((AH34+AI34)/2)))/(1-(AH$7)))-AH$6&lt;0,((AH34+AI34)/2),AH34)</f>
        <v>0.111548046767712</v>
      </c>
      <c r="AI35" s="37" t="n">
        <f aca="false">IF((((AH34+AI34)/2))*LN((((AH34+AI34)/2))/(AH$7))+(1-(((AH34+AI34)/2)))*LN((1-(((AH34+AI34)/2)))/(1-(AH$7)))-AH$6&lt;0,AI34,((AH34+AI34)/2))</f>
        <v>0.111548060923815</v>
      </c>
      <c r="AJ35" s="37" t="n">
        <f aca="false">IF((((AJ34+AK34)/2))*LN((((AJ34+AK34)/2))/(AJ$7))+(1-(((AJ34+AK34)/2)))*LN((1-(((AJ34+AK34)/2)))/(1-(AJ$7)))-AJ$6&lt;0,((AJ34+AK34)/2),AJ34)</f>
        <v>0.172949337214231</v>
      </c>
      <c r="AK35" s="37" t="n">
        <f aca="false">IF((((AJ34+AK34)/2))*LN((((AJ34+AK34)/2))/(AJ$7))+(1-(((AJ34+AK34)/2)))*LN((1-(((AJ34+AK34)/2)))/(1-(AJ$7)))-AJ$6&lt;0,AK34,((AJ34+AK34)/2))</f>
        <v>0.172949351370334</v>
      </c>
      <c r="AL35" s="37" t="n">
        <f aca="false">IF((((AL34+AM34)/2))*LN((((AL34+AM34)/2))/(AL$7))+(1-(((AL34+AM34)/2)))*LN((1-(((AL34+AM34)/2)))/(1-(AL$7)))-AL$6&lt;0,((AL34+AM34)/2),AL34)</f>
        <v>0.28851919695735</v>
      </c>
      <c r="AM35" s="37" t="n">
        <f aca="false">IF((((AL34+AM34)/2))*LN((((AL34+AM34)/2))/(AL$7))+(1-(((AL34+AM34)/2)))*LN((1-(((AL34+AM34)/2)))/(1-(AL$7)))-AL$6&lt;0,AM34,((AL34+AM34)/2))</f>
        <v>0.288519211113453</v>
      </c>
      <c r="AN35" s="37" t="n">
        <f aca="false">IF((((AN34+AO34)/2))*LN((((AN34+AO34)/2))/(AN$7))+(1-(((AN34+AO34)/2)))*LN((1-(((AN34+AO34)/2)))/(1-(AN$7)))-AN$6&lt;0,((AN34+AO34)/2),AN34)</f>
        <v>0.555514145642518</v>
      </c>
      <c r="AO35" s="37" t="n">
        <f aca="false">IF((((AN34+AO34)/2))*LN((((AN34+AO34)/2))/(AN$7))+(1-(((AN34+AO34)/2)))*LN((1-(((AN34+AO34)/2)))/(1-(AN$7)))-AN$6&lt;0,AO34,((AN34+AO34)/2))</f>
        <v>0.555514159798622</v>
      </c>
      <c r="AP35" s="37" t="n">
        <f aca="false">IF(AP$7*LN(AP$7)-AP$7*((AP34+AQ34)/2)+(1-AP$7)*LN(1-AP$7)-(1-AP$7)*LN(1-EXP(((AP34+AQ34)/2)))-AP$6&gt;0,((AP34+AQ34)/2),AP34)</f>
        <v>-3.68963464469451</v>
      </c>
      <c r="AQ35" s="37" t="n">
        <f aca="false">IF(AP$7*LN(AP$7)-AP$7*((AP34+AQ34)/2)+(1-AP$7)*LN(1-AP$7)-(1-AP$7)*LN(1-EXP(((AP34+AQ34)/2)))-AP$6&gt;0,AQ34,((AP34+AQ34)/2))</f>
        <v>-3.68963365999865</v>
      </c>
      <c r="AR35" s="37" t="n">
        <f aca="false">IF((((AR34+AS34)/2))*LN((((AR34+AS34)/2))/(AR$7))+(1-(((AR34+AS34)/2)))*LN((1-(((AR34+AS34)/2)))/(1-(AR$7)))-AR$6&lt;0,((AR34+AS34)/2),AR34)</f>
        <v>0.0836482644081115</v>
      </c>
      <c r="AS35" s="37" t="n">
        <f aca="false">IF((((AR34+AS34)/2))*LN((((AR34+AS34)/2))/(AR$7))+(1-(((AR34+AS34)/2)))*LN((1-(((AR34+AS34)/2)))/(1-(AR$7)))-AR$6&lt;0,AS34,((AR34+AS34)/2))</f>
        <v>0.0836482785642147</v>
      </c>
    </row>
    <row r="36" customFormat="false" ht="15" hidden="false" customHeight="false" outlineLevel="0" collapsed="false">
      <c r="B36" s="37" t="n">
        <f aca="false">IF(B$7*LN(B$7)-B$7*((B35+C35)/2)+(1-B$7)*LN(1-B$7)-(1-B$7)*LN(1-EXP(((B35+C35)/2)))-B$6&gt;0,((B35+C35)/2),B35)</f>
        <v>-12.741680767245</v>
      </c>
      <c r="C36" s="37" t="n">
        <f aca="false">IF(B$7*LN(B$7)-B$7*((B35+C35)/2)+(1-B$7)*LN(1-B$7)-(1-B$7)*LN(1-EXP(((B35+C35)/2)))-B$6&gt;0,C35,((B35+C35)/2))</f>
        <v>-12.7416802748971</v>
      </c>
      <c r="D36" s="37" t="n">
        <f aca="false">IF(D$7*LN(D$7)-D$7*((D35+E35)/2)+(1-D$7)*LN(1-D$7)-(1-D$7)*LN(1-EXP(((D35+E35)/2)))-D$6&gt;0,((D35+E35)/2),D35)</f>
        <v>-16.0341344604517</v>
      </c>
      <c r="E36" s="37" t="n">
        <f aca="false">IF(D$7*LN(D$7)-D$7*((D35+E35)/2)+(1-D$7)*LN(1-D$7)-(1-D$7)*LN(1-EXP(((D35+E35)/2)))-D$6&gt;0,E35,((D35+E35)/2))</f>
        <v>-16.0341339681037</v>
      </c>
      <c r="F36" s="37" t="n">
        <f aca="false">IF(F$7*LN(F$7)-F$7*((F35+G35)/2)+(1-F$7)*LN(1-F$7)-(1-F$7)*LN(1-EXP(((F35+G35)/2)))-F$6&gt;0,((F35+G35)/2),F35)</f>
        <v>-24.8055678651382</v>
      </c>
      <c r="G36" s="37" t="n">
        <f aca="false">IF(F$7*LN(F$7)-F$7*((F35+G35)/2)+(1-F$7)*LN(1-F$7)-(1-F$7)*LN(1-EXP(((F35+G35)/2)))-F$6&gt;0,G35,((F35+G35)/2))</f>
        <v>-24.8055673727903</v>
      </c>
      <c r="H36" s="37" t="n">
        <f aca="false">IF(H$7*LN(H$7)-H$7*((H35+I35)/2)+(1-H$7)*LN(1-H$7)-(1-H$7)*LN(1-EXP(((H35+I35)/2)))-H$6&gt;0,((H35+I35)/2),H35)</f>
        <v>-3.19789131820434</v>
      </c>
      <c r="I36" s="37" t="n">
        <f aca="false">IF(H$7*LN(H$7)-H$7*((H35+I35)/2)+(1-H$7)*LN(1-H$7)-(1-H$7)*LN(1-EXP(((H35+I35)/2)))-H$6&gt;0,I35,((H35+I35)/2))</f>
        <v>-3.19789082585641</v>
      </c>
      <c r="J36" s="37" t="n">
        <f aca="false">IF(J$7*LN(J$7)-J$7*((J35+K35)/2)+(1-J$7)*LN(1-J$7)-(1-J$7)*LN(1-EXP(((J35+K35)/2)))-J$6&gt;0,((J35+K35)/2),J35)</f>
        <v>-3.286051138505</v>
      </c>
      <c r="K36" s="37" t="n">
        <f aca="false">IF(J$7*LN(J$7)-J$7*((J35+K35)/2)+(1-J$7)*LN(1-J$7)-(1-J$7)*LN(1-EXP(((J35+K35)/2)))-J$6&gt;0,K35,((J35+K35)/2))</f>
        <v>-3.28605064615707</v>
      </c>
      <c r="L36" s="37" t="n">
        <f aca="false">IF(L$7*LN(L$7)-L$7*((L35+M35)/2)+(1-L$7)*LN(1-L$7)-(1-L$7)*LN(1-EXP(((L35+M35)/2)))-L$6&gt;0,((L35+M35)/2),L35)</f>
        <v>-3.4691976755002</v>
      </c>
      <c r="M36" s="37" t="n">
        <f aca="false">IF(L$7*LN(L$7)-L$7*((L35+M35)/2)+(1-L$7)*LN(1-L$7)-(1-L$7)*LN(1-EXP(((L35+M35)/2)))-L$6&gt;0,M35,((L35+M35)/2))</f>
        <v>-3.46919718315227</v>
      </c>
      <c r="N36" s="37" t="n">
        <f aca="false">IF(N$7*LN(N$7)-N$7*((N35+O35)/2)+(1-N$7)*LN(1-N$7)-(1-N$7)*LN(1-EXP(((N35+O35)/2)))-N$6&gt;0,((N35+O35)/2),N35)</f>
        <v>-3.68963415234658</v>
      </c>
      <c r="O36" s="37" t="n">
        <f aca="false">IF(N$7*LN(N$7)-N$7*((N35+O35)/2)+(1-N$7)*LN(1-N$7)-(1-N$7)*LN(1-EXP(((N35+O35)/2)))-N$6&gt;0,O35,((N35+O35)/2))</f>
        <v>-3.68963365999865</v>
      </c>
      <c r="P36" s="37" t="n">
        <f aca="false">IF(P$7*LN(P$7)-P$7*((P35+Q35)/2)+(1-P$7)*LN(1-P$7)-(1-P$7)*LN(1-EXP(((P35+Q35)/2)))-P$6&gt;0,((P35+Q35)/2),P35)</f>
        <v>-4.0293222212572</v>
      </c>
      <c r="Q36" s="37" t="n">
        <f aca="false">IF(P$7*LN(P$7)-P$7*((P35+Q35)/2)+(1-P$7)*LN(1-P$7)-(1-P$7)*LN(1-EXP(((P35+Q35)/2)))-P$6&gt;0,Q35,((P35+Q35)/2))</f>
        <v>-4.02932172890927</v>
      </c>
      <c r="R36" s="37" t="n">
        <f aca="false">IF(R$7*LN(R$7)-R$7*((R35+S35)/2)+(1-R$7)*LN(1-R$7)-(1-R$7)*LN(1-EXP(((R35+S35)/2)))-R$6&gt;0,((R35+S35)/2),R35)</f>
        <v>-4.31449900442993</v>
      </c>
      <c r="S36" s="37" t="n">
        <f aca="false">IF(R$7*LN(R$7)-R$7*((R35+S35)/2)+(1-R$7)*LN(1-R$7)-(1-R$7)*LN(1-EXP(((R35+S35)/2)))-R$6&gt;0,S35,((R35+S35)/2))</f>
        <v>-4.314498512082</v>
      </c>
      <c r="T36" s="37" t="n">
        <f aca="false">IF(T$7*LN(T$7)-T$7*((T35+U35)/2)+(1-T$7)*LN(1-T$7)-(1-T$7)*LN(1-EXP(((T35+U35)/2)))-T$6&gt;0,((T35+U35)/2),T35)</f>
        <v>-4.81575744701041</v>
      </c>
      <c r="U36" s="37" t="n">
        <f aca="false">IF(T$7*LN(T$7)-T$7*((T35+U35)/2)+(1-T$7)*LN(1-T$7)-(1-T$7)*LN(1-EXP(((T35+U35)/2)))-T$6&gt;0,U35,((T35+U35)/2))</f>
        <v>-4.81575695466248</v>
      </c>
      <c r="V36" s="37" t="n">
        <f aca="false">IF(V$7*LN(V$7)-V$7*((V35+W35)/2)+(1-V$7)*LN(1-V$7)-(1-V$7)*LN(1-EXP(((V35+W35)/2)))-V$6&gt;0,((V35+W35)/2),V35)</f>
        <v>-5.3827999735283</v>
      </c>
      <c r="W36" s="37" t="n">
        <f aca="false">IF(V$7*LN(V$7)-V$7*((V35+W35)/2)+(1-V$7)*LN(1-V$7)-(1-V$7)*LN(1-EXP(((V35+W35)/2)))-V$6&gt;0,W35,((V35+W35)/2))</f>
        <v>-5.38279948118037</v>
      </c>
      <c r="X36" s="37" t="n">
        <f aca="false">IF(X$7*LN(X$7)-X$7*((X35+Y35)/2)+(1-X$7)*LN(1-X$7)-(1-X$7)*LN(1-EXP(((X35+Y35)/2)))-X$6&gt;0,((X35+Y35)/2),X35)</f>
        <v>-5.91917562454598</v>
      </c>
      <c r="Y36" s="37" t="n">
        <f aca="false">IF(X$7*LN(X$7)-X$7*((X35+Y35)/2)+(1-X$7)*LN(1-X$7)-(1-X$7)*LN(1-EXP(((X35+Y35)/2)))-X$6&gt;0,Y35,((X35+Y35)/2))</f>
        <v>-5.91917513219805</v>
      </c>
      <c r="Z36" s="37" t="n">
        <f aca="false">IF(Z$7*LN(Z$7)-Z$7*((Z35+AA35)/2)+(1-Z$7)*LN(1-Z$7)-(1-Z$7)*LN(1-EXP(((Z35+AA35)/2)))-Z$6&gt;0,((Z35+AA35)/2),Z35)</f>
        <v>-6.95212108880916</v>
      </c>
      <c r="AA36" s="37" t="n">
        <f aca="false">IF(Z$7*LN(Z$7)-Z$7*((Z35+AA35)/2)+(1-Z$7)*LN(1-Z$7)-(1-Z$7)*LN(1-EXP(((Z35+AA35)/2)))-Z$6&gt;0,AA35,((Z35+AA35)/2))</f>
        <v>-6.95212059646123</v>
      </c>
      <c r="AB36" s="37" t="n">
        <f aca="false">IF((((AB35+AC35)/2))*LN((((AB35+AC35)/2))/(AB$7))+(1-(((AB35+AC35)/2)))*LN((1-(((AB35+AC35)/2)))/(1-(AB$7)))-AB$6&lt;0,((AB35+AC35)/2),AB35)</f>
        <v>0.0600408177822828</v>
      </c>
      <c r="AC36" s="37" t="n">
        <f aca="false">IF((((AB35+AC35)/2))*LN((((AB35+AC35)/2))/(AB$7))+(1-(((AB35+AC35)/2)))*LN((1-(((AB35+AC35)/2)))/(1-(AB$7)))-AB$6&lt;0,AC35,((AB35+AC35)/2))</f>
        <v>0.0600408248603344</v>
      </c>
      <c r="AD36" s="37" t="n">
        <f aca="false">IF((((AD35+AE35)/2))*LN((((AD35+AE35)/2))/(AD$7))+(1-(((AD35+AE35)/2)))*LN((1-(((AD35+AE35)/2)))/(1-(AD$7)))-AD$6&lt;0,((AD35+AE35)/2),AD35)</f>
        <v>0.0677518170326948</v>
      </c>
      <c r="AE36" s="37" t="n">
        <f aca="false">IF((((AD35+AE35)/2))*LN((((AD35+AE35)/2))/(AD$7))+(1-(((AD35+AE35)/2)))*LN((1-(((AD35+AE35)/2)))/(1-(AD$7)))-AD$6&lt;0,AE35,((AD35+AE35)/2))</f>
        <v>0.0677518241107464</v>
      </c>
      <c r="AF36" s="37" t="n">
        <f aca="false">IF((((AF35+AG35)/2))*LN((((AF35+AG35)/2))/(AF$7))+(1-(((AF35+AG35)/2)))*LN((1-(((AF35+AG35)/2)))/(1-(AF$7)))-AF$6&lt;0,((AF35+AG35)/2),AF35)</f>
        <v>0.0836482644081115</v>
      </c>
      <c r="AG36" s="37" t="n">
        <f aca="false">IF((((AF35+AG35)/2))*LN((((AF35+AG35)/2))/(AF$7))+(1-(((AF35+AG35)/2)))*LN((1-(((AF35+AG35)/2)))/(1-(AF$7)))-AF$6&lt;0,AG35,((AF35+AG35)/2))</f>
        <v>0.0836482714861631</v>
      </c>
      <c r="AH36" s="37" t="n">
        <f aca="false">IF((((AH35+AI35)/2))*LN((((AH35+AI35)/2))/(AH$7))+(1-(((AH35+AI35)/2)))*LN((1-(((AH35+AI35)/2)))/(1-(AH$7)))-AH$6&lt;0,((AH35+AI35)/2),AH35)</f>
        <v>0.111548046767712</v>
      </c>
      <c r="AI36" s="37" t="n">
        <f aca="false">IF((((AH35+AI35)/2))*LN((((AH35+AI35)/2))/(AH$7))+(1-(((AH35+AI35)/2)))*LN((1-(((AH35+AI35)/2)))/(1-(AH$7)))-AH$6&lt;0,AI35,((AH35+AI35)/2))</f>
        <v>0.111548053845763</v>
      </c>
      <c r="AJ36" s="37" t="n">
        <f aca="false">IF((((AJ35+AK35)/2))*LN((((AJ35+AK35)/2))/(AJ$7))+(1-(((AJ35+AK35)/2)))*LN((1-(((AJ35+AK35)/2)))/(1-(AJ$7)))-AJ$6&lt;0,((AJ35+AK35)/2),AJ35)</f>
        <v>0.172949344292283</v>
      </c>
      <c r="AK36" s="37" t="n">
        <f aca="false">IF((((AJ35+AK35)/2))*LN((((AJ35+AK35)/2))/(AJ$7))+(1-(((AJ35+AK35)/2)))*LN((1-(((AJ35+AK35)/2)))/(1-(AJ$7)))-AJ$6&lt;0,AK35,((AJ35+AK35)/2))</f>
        <v>0.172949351370334</v>
      </c>
      <c r="AL36" s="37" t="n">
        <f aca="false">IF((((AL35+AM35)/2))*LN((((AL35+AM35)/2))/(AL$7))+(1-(((AL35+AM35)/2)))*LN((1-(((AL35+AM35)/2)))/(1-(AL$7)))-AL$6&lt;0,((AL35+AM35)/2),AL35)</f>
        <v>0.28851919695735</v>
      </c>
      <c r="AM36" s="37" t="n">
        <f aca="false">IF((((AL35+AM35)/2))*LN((((AL35+AM35)/2))/(AL$7))+(1-(((AL35+AM35)/2)))*LN((1-(((AL35+AM35)/2)))/(1-(AL$7)))-AL$6&lt;0,AM35,((AL35+AM35)/2))</f>
        <v>0.288519204035401</v>
      </c>
      <c r="AN36" s="37" t="n">
        <f aca="false">IF((((AN35+AO35)/2))*LN((((AN35+AO35)/2))/(AN$7))+(1-(((AN35+AO35)/2)))*LN((1-(((AN35+AO35)/2)))/(1-(AN$7)))-AN$6&lt;0,((AN35+AO35)/2),AN35)</f>
        <v>0.555514145642518</v>
      </c>
      <c r="AO36" s="37" t="n">
        <f aca="false">IF((((AN35+AO35)/2))*LN((((AN35+AO35)/2))/(AN$7))+(1-(((AN35+AO35)/2)))*LN((1-(((AN35+AO35)/2)))/(1-(AN$7)))-AN$6&lt;0,AO35,((AN35+AO35)/2))</f>
        <v>0.55551415272057</v>
      </c>
      <c r="AP36" s="37" t="n">
        <f aca="false">IF(AP$7*LN(AP$7)-AP$7*((AP35+AQ35)/2)+(1-AP$7)*LN(1-AP$7)-(1-AP$7)*LN(1-EXP(((AP35+AQ35)/2)))-AP$6&gt;0,((AP35+AQ35)/2),AP35)</f>
        <v>-3.68963415234658</v>
      </c>
      <c r="AQ36" s="37" t="n">
        <f aca="false">IF(AP$7*LN(AP$7)-AP$7*((AP35+AQ35)/2)+(1-AP$7)*LN(1-AP$7)-(1-AP$7)*LN(1-EXP(((AP35+AQ35)/2)))-AP$6&gt;0,AQ35,((AP35+AQ35)/2))</f>
        <v>-3.68963365999865</v>
      </c>
      <c r="AR36" s="37" t="n">
        <f aca="false">IF((((AR35+AS35)/2))*LN((((AR35+AS35)/2))/(AR$7))+(1-(((AR35+AS35)/2)))*LN((1-(((AR35+AS35)/2)))/(1-(AR$7)))-AR$6&lt;0,((AR35+AS35)/2),AR35)</f>
        <v>0.0836482644081115</v>
      </c>
      <c r="AS36" s="37" t="n">
        <f aca="false">IF((((AR35+AS35)/2))*LN((((AR35+AS35)/2))/(AR$7))+(1-(((AR35+AS35)/2)))*LN((1-(((AR35+AS35)/2)))/(1-(AR$7)))-AR$6&lt;0,AS35,((AR35+AS35)/2))</f>
        <v>0.0836482714861631</v>
      </c>
    </row>
    <row r="37" customFormat="false" ht="15" hidden="false" customHeight="false" outlineLevel="0" collapsed="false">
      <c r="B37" s="37" t="n">
        <f aca="false">IF(B$7*LN(B$7)-B$7*((B36+C36)/2)+(1-B$7)*LN(1-B$7)-(1-B$7)*LN(1-EXP(((B36+C36)/2)))-B$6&gt;0,((B36+C36)/2),B36)</f>
        <v>-12.741680767245</v>
      </c>
      <c r="C37" s="37" t="n">
        <f aca="false">IF(B$7*LN(B$7)-B$7*((B36+C36)/2)+(1-B$7)*LN(1-B$7)-(1-B$7)*LN(1-EXP(((B36+C36)/2)))-B$6&gt;0,C36,((B36+C36)/2))</f>
        <v>-12.741680521071</v>
      </c>
      <c r="D37" s="37" t="n">
        <f aca="false">IF(D$7*LN(D$7)-D$7*((D36+E36)/2)+(1-D$7)*LN(1-D$7)-(1-D$7)*LN(1-EXP(((D36+E36)/2)))-D$6&gt;0,((D36+E36)/2),D36)</f>
        <v>-16.0341342142777</v>
      </c>
      <c r="E37" s="37" t="n">
        <f aca="false">IF(D$7*LN(D$7)-D$7*((D36+E36)/2)+(1-D$7)*LN(1-D$7)-(1-D$7)*LN(1-EXP(((D36+E36)/2)))-D$6&gt;0,E36,((D36+E36)/2))</f>
        <v>-16.0341339681037</v>
      </c>
      <c r="F37" s="37" t="n">
        <f aca="false">IF(F$7*LN(F$7)-F$7*((F36+G36)/2)+(1-F$7)*LN(1-F$7)-(1-F$7)*LN(1-EXP(((F36+G36)/2)))-F$6&gt;0,((F36+G36)/2),F36)</f>
        <v>-24.8055676189642</v>
      </c>
      <c r="G37" s="37" t="n">
        <f aca="false">IF(F$7*LN(F$7)-F$7*((F36+G36)/2)+(1-F$7)*LN(1-F$7)-(1-F$7)*LN(1-EXP(((F36+G36)/2)))-F$6&gt;0,G36,((F36+G36)/2))</f>
        <v>-24.8055673727903</v>
      </c>
      <c r="H37" s="37" t="n">
        <f aca="false">IF(H$7*LN(H$7)-H$7*((H36+I36)/2)+(1-H$7)*LN(1-H$7)-(1-H$7)*LN(1-EXP(((H36+I36)/2)))-H$6&gt;0,((H36+I36)/2),H36)</f>
        <v>-3.19789131820434</v>
      </c>
      <c r="I37" s="37" t="n">
        <f aca="false">IF(H$7*LN(H$7)-H$7*((H36+I36)/2)+(1-H$7)*LN(1-H$7)-(1-H$7)*LN(1-EXP(((H36+I36)/2)))-H$6&gt;0,I36,((H36+I36)/2))</f>
        <v>-3.19789107203038</v>
      </c>
      <c r="J37" s="37" t="n">
        <f aca="false">IF(J$7*LN(J$7)-J$7*((J36+K36)/2)+(1-J$7)*LN(1-J$7)-(1-J$7)*LN(1-EXP(((J36+K36)/2)))-J$6&gt;0,((J36+K36)/2),J36)</f>
        <v>-3.28605089233103</v>
      </c>
      <c r="K37" s="37" t="n">
        <f aca="false">IF(J$7*LN(J$7)-J$7*((J36+K36)/2)+(1-J$7)*LN(1-J$7)-(1-J$7)*LN(1-EXP(((J36+K36)/2)))-J$6&gt;0,K36,((J36+K36)/2))</f>
        <v>-3.28605064615707</v>
      </c>
      <c r="L37" s="37" t="n">
        <f aca="false">IF(L$7*LN(L$7)-L$7*((L36+M36)/2)+(1-L$7)*LN(1-L$7)-(1-L$7)*LN(1-EXP(((L36+M36)/2)))-L$6&gt;0,((L36+M36)/2),L36)</f>
        <v>-3.46919742932624</v>
      </c>
      <c r="M37" s="37" t="n">
        <f aca="false">IF(L$7*LN(L$7)-L$7*((L36+M36)/2)+(1-L$7)*LN(1-L$7)-(1-L$7)*LN(1-EXP(((L36+M36)/2)))-L$6&gt;0,M36,((L36+M36)/2))</f>
        <v>-3.46919718315227</v>
      </c>
      <c r="N37" s="37" t="n">
        <f aca="false">IF(N$7*LN(N$7)-N$7*((N36+O36)/2)+(1-N$7)*LN(1-N$7)-(1-N$7)*LN(1-EXP(((N36+O36)/2)))-N$6&gt;0,((N36+O36)/2),N36)</f>
        <v>-3.68963415234658</v>
      </c>
      <c r="O37" s="37" t="n">
        <f aca="false">IF(N$7*LN(N$7)-N$7*((N36+O36)/2)+(1-N$7)*LN(1-N$7)-(1-N$7)*LN(1-EXP(((N36+O36)/2)))-N$6&gt;0,O36,((N36+O36)/2))</f>
        <v>-3.68963390617262</v>
      </c>
      <c r="P37" s="37" t="n">
        <f aca="false">IF(P$7*LN(P$7)-P$7*((P36+Q36)/2)+(1-P$7)*LN(1-P$7)-(1-P$7)*LN(1-EXP(((P36+Q36)/2)))-P$6&gt;0,((P36+Q36)/2),P36)</f>
        <v>-4.0293222212572</v>
      </c>
      <c r="Q37" s="37" t="n">
        <f aca="false">IF(P$7*LN(P$7)-P$7*((P36+Q36)/2)+(1-P$7)*LN(1-P$7)-(1-P$7)*LN(1-EXP(((P36+Q36)/2)))-P$6&gt;0,Q36,((P36+Q36)/2))</f>
        <v>-4.02932197508324</v>
      </c>
      <c r="R37" s="37" t="n">
        <f aca="false">IF(R$7*LN(R$7)-R$7*((R36+S36)/2)+(1-R$7)*LN(1-R$7)-(1-R$7)*LN(1-EXP(((R36+S36)/2)))-R$6&gt;0,((R36+S36)/2),R36)</f>
        <v>-4.31449900442993</v>
      </c>
      <c r="S37" s="37" t="n">
        <f aca="false">IF(R$7*LN(R$7)-R$7*((R36+S36)/2)+(1-R$7)*LN(1-R$7)-(1-R$7)*LN(1-EXP(((R36+S36)/2)))-R$6&gt;0,S36,((R36+S36)/2))</f>
        <v>-4.31449875825596</v>
      </c>
      <c r="T37" s="37" t="n">
        <f aca="false">IF(T$7*LN(T$7)-T$7*((T36+U36)/2)+(1-T$7)*LN(1-T$7)-(1-T$7)*LN(1-EXP(((T36+U36)/2)))-T$6&gt;0,((T36+U36)/2),T36)</f>
        <v>-4.81575744701041</v>
      </c>
      <c r="U37" s="37" t="n">
        <f aca="false">IF(T$7*LN(T$7)-T$7*((T36+U36)/2)+(1-T$7)*LN(1-T$7)-(1-T$7)*LN(1-EXP(((T36+U36)/2)))-T$6&gt;0,U36,((T36+U36)/2))</f>
        <v>-4.81575720083644</v>
      </c>
      <c r="V37" s="37" t="n">
        <f aca="false">IF(V$7*LN(V$7)-V$7*((V36+W36)/2)+(1-V$7)*LN(1-V$7)-(1-V$7)*LN(1-EXP(((V36+W36)/2)))-V$6&gt;0,((V36+W36)/2),V36)</f>
        <v>-5.3827999735283</v>
      </c>
      <c r="W37" s="37" t="n">
        <f aca="false">IF(V$7*LN(V$7)-V$7*((V36+W36)/2)+(1-V$7)*LN(1-V$7)-(1-V$7)*LN(1-EXP(((V36+W36)/2)))-V$6&gt;0,W36,((V36+W36)/2))</f>
        <v>-5.38279972735433</v>
      </c>
      <c r="X37" s="37" t="n">
        <f aca="false">IF(X$7*LN(X$7)-X$7*((X36+Y36)/2)+(1-X$7)*LN(1-X$7)-(1-X$7)*LN(1-EXP(((X36+Y36)/2)))-X$6&gt;0,((X36+Y36)/2),X36)</f>
        <v>-5.91917537837202</v>
      </c>
      <c r="Y37" s="37" t="n">
        <f aca="false">IF(X$7*LN(X$7)-X$7*((X36+Y36)/2)+(1-X$7)*LN(1-X$7)-(1-X$7)*LN(1-EXP(((X36+Y36)/2)))-X$6&gt;0,Y36,((X36+Y36)/2))</f>
        <v>-5.91917513219805</v>
      </c>
      <c r="Z37" s="37" t="n">
        <f aca="false">IF(Z$7*LN(Z$7)-Z$7*((Z36+AA36)/2)+(1-Z$7)*LN(1-Z$7)-(1-Z$7)*LN(1-EXP(((Z36+AA36)/2)))-Z$6&gt;0,((Z36+AA36)/2),Z36)</f>
        <v>-6.95212084263519</v>
      </c>
      <c r="AA37" s="37" t="n">
        <f aca="false">IF(Z$7*LN(Z$7)-Z$7*((Z36+AA36)/2)+(1-Z$7)*LN(1-Z$7)-(1-Z$7)*LN(1-EXP(((Z36+AA36)/2)))-Z$6&gt;0,AA36,((Z36+AA36)/2))</f>
        <v>-6.95212059646123</v>
      </c>
      <c r="AB37" s="37" t="n">
        <f aca="false">IF((((AB36+AC36)/2))*LN((((AB36+AC36)/2))/(AB$7))+(1-(((AB36+AC36)/2)))*LN((1-(((AB36+AC36)/2)))/(1-(AB$7)))-AB$6&lt;0,((AB36+AC36)/2),AB36)</f>
        <v>0.0600408213213086</v>
      </c>
      <c r="AC37" s="37" t="n">
        <f aca="false">IF((((AB36+AC36)/2))*LN((((AB36+AC36)/2))/(AB$7))+(1-(((AB36+AC36)/2)))*LN((1-(((AB36+AC36)/2)))/(1-(AB$7)))-AB$6&lt;0,AC36,((AB36+AC36)/2))</f>
        <v>0.0600408248603344</v>
      </c>
      <c r="AD37" s="37" t="n">
        <f aca="false">IF((((AD36+AE36)/2))*LN((((AD36+AE36)/2))/(AD$7))+(1-(((AD36+AE36)/2)))*LN((1-(((AD36+AE36)/2)))/(1-(AD$7)))-AD$6&lt;0,((AD36+AE36)/2),AD36)</f>
        <v>0.0677518170326948</v>
      </c>
      <c r="AE37" s="37" t="n">
        <f aca="false">IF((((AD36+AE36)/2))*LN((((AD36+AE36)/2))/(AD$7))+(1-(((AD36+AE36)/2)))*LN((1-(((AD36+AE36)/2)))/(1-(AD$7)))-AD$6&lt;0,AE36,((AD36+AE36)/2))</f>
        <v>0.0677518205717206</v>
      </c>
      <c r="AF37" s="37" t="n">
        <f aca="false">IF((((AF36+AG36)/2))*LN((((AF36+AG36)/2))/(AF$7))+(1-(((AF36+AG36)/2)))*LN((1-(((AF36+AG36)/2)))/(1-(AF$7)))-AF$6&lt;0,((AF36+AG36)/2),AF36)</f>
        <v>0.0836482644081115</v>
      </c>
      <c r="AG37" s="37" t="n">
        <f aca="false">IF((((AF36+AG36)/2))*LN((((AF36+AG36)/2))/(AF$7))+(1-(((AF36+AG36)/2)))*LN((1-(((AF36+AG36)/2)))/(1-(AF$7)))-AF$6&lt;0,AG36,((AF36+AG36)/2))</f>
        <v>0.0836482679471373</v>
      </c>
      <c r="AH37" s="37" t="n">
        <f aca="false">IF((((AH36+AI36)/2))*LN((((AH36+AI36)/2))/(AH$7))+(1-(((AH36+AI36)/2)))*LN((1-(((AH36+AI36)/2)))/(1-(AH$7)))-AH$6&lt;0,((AH36+AI36)/2),AH36)</f>
        <v>0.111548046767712</v>
      </c>
      <c r="AI37" s="37" t="n">
        <f aca="false">IF((((AH36+AI36)/2))*LN((((AH36+AI36)/2))/(AH$7))+(1-(((AH36+AI36)/2)))*LN((1-(((AH36+AI36)/2)))/(1-(AH$7)))-AH$6&lt;0,AI36,((AH36+AI36)/2))</f>
        <v>0.111548050306737</v>
      </c>
      <c r="AJ37" s="37" t="n">
        <f aca="false">IF((((AJ36+AK36)/2))*LN((((AJ36+AK36)/2))/(AJ$7))+(1-(((AJ36+AK36)/2)))*LN((1-(((AJ36+AK36)/2)))/(1-(AJ$7)))-AJ$6&lt;0,((AJ36+AK36)/2),AJ36)</f>
        <v>0.172949344292283</v>
      </c>
      <c r="AK37" s="37" t="n">
        <f aca="false">IF((((AJ36+AK36)/2))*LN((((AJ36+AK36)/2))/(AJ$7))+(1-(((AJ36+AK36)/2)))*LN((1-(((AJ36+AK36)/2)))/(1-(AJ$7)))-AJ$6&lt;0,AK36,((AJ36+AK36)/2))</f>
        <v>0.172949347831309</v>
      </c>
      <c r="AL37" s="37" t="n">
        <f aca="false">IF((((AL36+AM36)/2))*LN((((AL36+AM36)/2))/(AL$7))+(1-(((AL36+AM36)/2)))*LN((1-(((AL36+AM36)/2)))/(1-(AL$7)))-AL$6&lt;0,((AL36+AM36)/2),AL36)</f>
        <v>0.28851919695735</v>
      </c>
      <c r="AM37" s="37" t="n">
        <f aca="false">IF((((AL36+AM36)/2))*LN((((AL36+AM36)/2))/(AL$7))+(1-(((AL36+AM36)/2)))*LN((1-(((AL36+AM36)/2)))/(1-(AL$7)))-AL$6&lt;0,AM36,((AL36+AM36)/2))</f>
        <v>0.288519200496375</v>
      </c>
      <c r="AN37" s="37" t="n">
        <f aca="false">IF((((AN36+AO36)/2))*LN((((AN36+AO36)/2))/(AN$7))+(1-(((AN36+AO36)/2)))*LN((1-(((AN36+AO36)/2)))/(1-(AN$7)))-AN$6&lt;0,((AN36+AO36)/2),AN36)</f>
        <v>0.555514149181544</v>
      </c>
      <c r="AO37" s="37" t="n">
        <f aca="false">IF((((AN36+AO36)/2))*LN((((AN36+AO36)/2))/(AN$7))+(1-(((AN36+AO36)/2)))*LN((1-(((AN36+AO36)/2)))/(1-(AN$7)))-AN$6&lt;0,AO36,((AN36+AO36)/2))</f>
        <v>0.55551415272057</v>
      </c>
      <c r="AP37" s="37" t="n">
        <f aca="false">IF(AP$7*LN(AP$7)-AP$7*((AP36+AQ36)/2)+(1-AP$7)*LN(1-AP$7)-(1-AP$7)*LN(1-EXP(((AP36+AQ36)/2)))-AP$6&gt;0,((AP36+AQ36)/2),AP36)</f>
        <v>-3.68963415234658</v>
      </c>
      <c r="AQ37" s="37" t="n">
        <f aca="false">IF(AP$7*LN(AP$7)-AP$7*((AP36+AQ36)/2)+(1-AP$7)*LN(1-AP$7)-(1-AP$7)*LN(1-EXP(((AP36+AQ36)/2)))-AP$6&gt;0,AQ36,((AP36+AQ36)/2))</f>
        <v>-3.68963390617262</v>
      </c>
      <c r="AR37" s="37" t="n">
        <f aca="false">IF((((AR36+AS36)/2))*LN((((AR36+AS36)/2))/(AR$7))+(1-(((AR36+AS36)/2)))*LN((1-(((AR36+AS36)/2)))/(1-(AR$7)))-AR$6&lt;0,((AR36+AS36)/2),AR36)</f>
        <v>0.0836482644081115</v>
      </c>
      <c r="AS37" s="37" t="n">
        <f aca="false">IF((((AR36+AS36)/2))*LN((((AR36+AS36)/2))/(AR$7))+(1-(((AR36+AS36)/2)))*LN((1-(((AR36+AS36)/2)))/(1-(AR$7)))-AR$6&lt;0,AS36,((AR36+AS36)/2))</f>
        <v>0.0836482679471373</v>
      </c>
    </row>
    <row r="38" customFormat="false" ht="15" hidden="false" customHeight="false" outlineLevel="0" collapsed="false">
      <c r="B38" s="37" t="n">
        <f aca="false">IF(B$7*LN(B$7)-B$7*((B37+C37)/2)+(1-B$7)*LN(1-B$7)-(1-B$7)*LN(1-EXP(((B37+C37)/2)))-B$6&gt;0,((B37+C37)/2),B37)</f>
        <v>-12.741680644158</v>
      </c>
      <c r="C38" s="37" t="n">
        <f aca="false">IF(B$7*LN(B$7)-B$7*((B37+C37)/2)+(1-B$7)*LN(1-B$7)-(1-B$7)*LN(1-EXP(((B37+C37)/2)))-B$6&gt;0,C37,((B37+C37)/2))</f>
        <v>-12.741680521071</v>
      </c>
      <c r="D38" s="37" t="n">
        <f aca="false">IF(D$7*LN(D$7)-D$7*((D37+E37)/2)+(1-D$7)*LN(1-D$7)-(1-D$7)*LN(1-EXP(((D37+E37)/2)))-D$6&gt;0,((D37+E37)/2),D37)</f>
        <v>-16.0341342142777</v>
      </c>
      <c r="E38" s="37" t="n">
        <f aca="false">IF(D$7*LN(D$7)-D$7*((D37+E37)/2)+(1-D$7)*LN(1-D$7)-(1-D$7)*LN(1-EXP(((D37+E37)/2)))-D$6&gt;0,E37,((D37+E37)/2))</f>
        <v>-16.0341340911907</v>
      </c>
      <c r="F38" s="37" t="n">
        <f aca="false">IF(F$7*LN(F$7)-F$7*((F37+G37)/2)+(1-F$7)*LN(1-F$7)-(1-F$7)*LN(1-EXP(((F37+G37)/2)))-F$6&gt;0,((F37+G37)/2),F37)</f>
        <v>-24.8055676189642</v>
      </c>
      <c r="G38" s="37" t="n">
        <f aca="false">IF(F$7*LN(F$7)-F$7*((F37+G37)/2)+(1-F$7)*LN(1-F$7)-(1-F$7)*LN(1-EXP(((F37+G37)/2)))-F$6&gt;0,G37,((F37+G37)/2))</f>
        <v>-24.8055674958773</v>
      </c>
      <c r="H38" s="37" t="n">
        <f aca="false">IF(H$7*LN(H$7)-H$7*((H37+I37)/2)+(1-H$7)*LN(1-H$7)-(1-H$7)*LN(1-EXP(((H37+I37)/2)))-H$6&gt;0,((H37+I37)/2),H37)</f>
        <v>-3.19789119511736</v>
      </c>
      <c r="I38" s="37" t="n">
        <f aca="false">IF(H$7*LN(H$7)-H$7*((H37+I37)/2)+(1-H$7)*LN(1-H$7)-(1-H$7)*LN(1-EXP(((H37+I37)/2)))-H$6&gt;0,I37,((H37+I37)/2))</f>
        <v>-3.19789107203038</v>
      </c>
      <c r="J38" s="37" t="n">
        <f aca="false">IF(J$7*LN(J$7)-J$7*((J37+K37)/2)+(1-J$7)*LN(1-J$7)-(1-J$7)*LN(1-EXP(((J37+K37)/2)))-J$6&gt;0,((J37+K37)/2),J37)</f>
        <v>-3.28605089233103</v>
      </c>
      <c r="K38" s="37" t="n">
        <f aca="false">IF(J$7*LN(J$7)-J$7*((J37+K37)/2)+(1-J$7)*LN(1-J$7)-(1-J$7)*LN(1-EXP(((J37+K37)/2)))-J$6&gt;0,K37,((J37+K37)/2))</f>
        <v>-3.28605076924405</v>
      </c>
      <c r="L38" s="37" t="n">
        <f aca="false">IF(L$7*LN(L$7)-L$7*((L37+M37)/2)+(1-L$7)*LN(1-L$7)-(1-L$7)*LN(1-EXP(((L37+M37)/2)))-L$6&gt;0,((L37+M37)/2),L37)</f>
        <v>-3.46919742932624</v>
      </c>
      <c r="M38" s="37" t="n">
        <f aca="false">IF(L$7*LN(L$7)-L$7*((L37+M37)/2)+(1-L$7)*LN(1-L$7)-(1-L$7)*LN(1-EXP(((L37+M37)/2)))-L$6&gt;0,M37,((L37+M37)/2))</f>
        <v>-3.46919730623926</v>
      </c>
      <c r="N38" s="37" t="n">
        <f aca="false">IF(N$7*LN(N$7)-N$7*((N37+O37)/2)+(1-N$7)*LN(1-N$7)-(1-N$7)*LN(1-EXP(((N37+O37)/2)))-N$6&gt;0,((N37+O37)/2),N37)</f>
        <v>-3.6896340292596</v>
      </c>
      <c r="O38" s="37" t="n">
        <f aca="false">IF(N$7*LN(N$7)-N$7*((N37+O37)/2)+(1-N$7)*LN(1-N$7)-(1-N$7)*LN(1-EXP(((N37+O37)/2)))-N$6&gt;0,O37,((N37+O37)/2))</f>
        <v>-3.68963390617262</v>
      </c>
      <c r="P38" s="37" t="n">
        <f aca="false">IF(P$7*LN(P$7)-P$7*((P37+Q37)/2)+(1-P$7)*LN(1-P$7)-(1-P$7)*LN(1-EXP(((P37+Q37)/2)))-P$6&gt;0,((P37+Q37)/2),P37)</f>
        <v>-4.02932209817022</v>
      </c>
      <c r="Q38" s="37" t="n">
        <f aca="false">IF(P$7*LN(P$7)-P$7*((P37+Q37)/2)+(1-P$7)*LN(1-P$7)-(1-P$7)*LN(1-EXP(((P37+Q37)/2)))-P$6&gt;0,Q37,((P37+Q37)/2))</f>
        <v>-4.02932197508324</v>
      </c>
      <c r="R38" s="37" t="n">
        <f aca="false">IF(R$7*LN(R$7)-R$7*((R37+S37)/2)+(1-R$7)*LN(1-R$7)-(1-R$7)*LN(1-EXP(((R37+S37)/2)))-R$6&gt;0,((R37+S37)/2),R37)</f>
        <v>-4.31449888134294</v>
      </c>
      <c r="S38" s="37" t="n">
        <f aca="false">IF(R$7*LN(R$7)-R$7*((R37+S37)/2)+(1-R$7)*LN(1-R$7)-(1-R$7)*LN(1-EXP(((R37+S37)/2)))-R$6&gt;0,S37,((R37+S37)/2))</f>
        <v>-4.31449875825596</v>
      </c>
      <c r="T38" s="37" t="n">
        <f aca="false">IF(T$7*LN(T$7)-T$7*((T37+U37)/2)+(1-T$7)*LN(1-T$7)-(1-T$7)*LN(1-EXP(((T37+U37)/2)))-T$6&gt;0,((T37+U37)/2),T37)</f>
        <v>-4.81575744701041</v>
      </c>
      <c r="U38" s="37" t="n">
        <f aca="false">IF(T$7*LN(T$7)-T$7*((T37+U37)/2)+(1-T$7)*LN(1-T$7)-(1-T$7)*LN(1-EXP(((T37+U37)/2)))-T$6&gt;0,U37,((T37+U37)/2))</f>
        <v>-4.81575732392343</v>
      </c>
      <c r="V38" s="37" t="n">
        <f aca="false">IF(V$7*LN(V$7)-V$7*((V37+W37)/2)+(1-V$7)*LN(1-V$7)-(1-V$7)*LN(1-EXP(((V37+W37)/2)))-V$6&gt;0,((V37+W37)/2),V37)</f>
        <v>-5.38279985044132</v>
      </c>
      <c r="W38" s="37" t="n">
        <f aca="false">IF(V$7*LN(V$7)-V$7*((V37+W37)/2)+(1-V$7)*LN(1-V$7)-(1-V$7)*LN(1-EXP(((V37+W37)/2)))-V$6&gt;0,W37,((V37+W37)/2))</f>
        <v>-5.38279972735433</v>
      </c>
      <c r="X38" s="37" t="n">
        <f aca="false">IF(X$7*LN(X$7)-X$7*((X37+Y37)/2)+(1-X$7)*LN(1-X$7)-(1-X$7)*LN(1-EXP(((X37+Y37)/2)))-X$6&gt;0,((X37+Y37)/2),X37)</f>
        <v>-5.91917525528503</v>
      </c>
      <c r="Y38" s="37" t="n">
        <f aca="false">IF(X$7*LN(X$7)-X$7*((X37+Y37)/2)+(1-X$7)*LN(1-X$7)-(1-X$7)*LN(1-EXP(((X37+Y37)/2)))-X$6&gt;0,Y37,((X37+Y37)/2))</f>
        <v>-5.91917513219805</v>
      </c>
      <c r="Z38" s="37" t="n">
        <f aca="false">IF(Z$7*LN(Z$7)-Z$7*((Z37+AA37)/2)+(1-Z$7)*LN(1-Z$7)-(1-Z$7)*LN(1-EXP(((Z37+AA37)/2)))-Z$6&gt;0,((Z37+AA37)/2),Z37)</f>
        <v>-6.95212071954821</v>
      </c>
      <c r="AA38" s="37" t="n">
        <f aca="false">IF(Z$7*LN(Z$7)-Z$7*((Z37+AA37)/2)+(1-Z$7)*LN(1-Z$7)-(1-Z$7)*LN(1-EXP(((Z37+AA37)/2)))-Z$6&gt;0,AA37,((Z37+AA37)/2))</f>
        <v>-6.95212059646123</v>
      </c>
      <c r="AB38" s="37" t="n">
        <f aca="false">IF((((AB37+AC37)/2))*LN((((AB37+AC37)/2))/(AB$7))+(1-(((AB37+AC37)/2)))*LN((1-(((AB37+AC37)/2)))/(1-(AB$7)))-AB$6&lt;0,((AB37+AC37)/2),AB37)</f>
        <v>0.0600408213213086</v>
      </c>
      <c r="AC38" s="37" t="n">
        <f aca="false">IF((((AB37+AC37)/2))*LN((((AB37+AC37)/2))/(AB$7))+(1-(((AB37+AC37)/2)))*LN((1-(((AB37+AC37)/2)))/(1-(AB$7)))-AB$6&lt;0,AC37,((AB37+AC37)/2))</f>
        <v>0.0600408230908215</v>
      </c>
      <c r="AD38" s="37" t="n">
        <f aca="false">IF((((AD37+AE37)/2))*LN((((AD37+AE37)/2))/(AD$7))+(1-(((AD37+AE37)/2)))*LN((1-(((AD37+AE37)/2)))/(1-(AD$7)))-AD$6&lt;0,((AD37+AE37)/2),AD37)</f>
        <v>0.0677518170326948</v>
      </c>
      <c r="AE38" s="37" t="n">
        <f aca="false">IF((((AD37+AE37)/2))*LN((((AD37+AE37)/2))/(AD$7))+(1-(((AD37+AE37)/2)))*LN((1-(((AD37+AE37)/2)))/(1-(AD$7)))-AD$6&lt;0,AE37,((AD37+AE37)/2))</f>
        <v>0.0677518188022077</v>
      </c>
      <c r="AF38" s="37" t="n">
        <f aca="false">IF((((AF37+AG37)/2))*LN((((AF37+AG37)/2))/(AF$7))+(1-(((AF37+AG37)/2)))*LN((1-(((AF37+AG37)/2)))/(1-(AF$7)))-AF$6&lt;0,((AF37+AG37)/2),AF37)</f>
        <v>0.0836482661776244</v>
      </c>
      <c r="AG38" s="37" t="n">
        <f aca="false">IF((((AF37+AG37)/2))*LN((((AF37+AG37)/2))/(AF$7))+(1-(((AF37+AG37)/2)))*LN((1-(((AF37+AG37)/2)))/(1-(AF$7)))-AF$6&lt;0,AG37,((AF37+AG37)/2))</f>
        <v>0.0836482679471373</v>
      </c>
      <c r="AH38" s="37" t="n">
        <f aca="false">IF((((AH37+AI37)/2))*LN((((AH37+AI37)/2))/(AH$7))+(1-(((AH37+AI37)/2)))*LN((1-(((AH37+AI37)/2)))/(1-(AH$7)))-AH$6&lt;0,((AH37+AI37)/2),AH37)</f>
        <v>0.111548046767712</v>
      </c>
      <c r="AI38" s="37" t="n">
        <f aca="false">IF((((AH37+AI37)/2))*LN((((AH37+AI37)/2))/(AH$7))+(1-(((AH37+AI37)/2)))*LN((1-(((AH37+AI37)/2)))/(1-(AH$7)))-AH$6&lt;0,AI37,((AH37+AI37)/2))</f>
        <v>0.111548048537225</v>
      </c>
      <c r="AJ38" s="37" t="n">
        <f aca="false">IF((((AJ37+AK37)/2))*LN((((AJ37+AK37)/2))/(AJ$7))+(1-(((AJ37+AK37)/2)))*LN((1-(((AJ37+AK37)/2)))/(1-(AJ$7)))-AJ$6&lt;0,((AJ37+AK37)/2),AJ37)</f>
        <v>0.172949346061796</v>
      </c>
      <c r="AK38" s="37" t="n">
        <f aca="false">IF((((AJ37+AK37)/2))*LN((((AJ37+AK37)/2))/(AJ$7))+(1-(((AJ37+AK37)/2)))*LN((1-(((AJ37+AK37)/2)))/(1-(AJ$7)))-AJ$6&lt;0,AK37,((AJ37+AK37)/2))</f>
        <v>0.172949347831309</v>
      </c>
      <c r="AL38" s="37" t="n">
        <f aca="false">IF((((AL37+AM37)/2))*LN((((AL37+AM37)/2))/(AL$7))+(1-(((AL37+AM37)/2)))*LN((1-(((AL37+AM37)/2)))/(1-(AL$7)))-AL$6&lt;0,((AL37+AM37)/2),AL37)</f>
        <v>0.28851919695735</v>
      </c>
      <c r="AM38" s="37" t="n">
        <f aca="false">IF((((AL37+AM37)/2))*LN((((AL37+AM37)/2))/(AL$7))+(1-(((AL37+AM37)/2)))*LN((1-(((AL37+AM37)/2)))/(1-(AL$7)))-AL$6&lt;0,AM37,((AL37+AM37)/2))</f>
        <v>0.288519198726862</v>
      </c>
      <c r="AN38" s="37" t="n">
        <f aca="false">IF((((AN37+AO37)/2))*LN((((AN37+AO37)/2))/(AN$7))+(1-(((AN37+AO37)/2)))*LN((1-(((AN37+AO37)/2)))/(1-(AN$7)))-AN$6&lt;0,((AN37+AO37)/2),AN37)</f>
        <v>0.555514149181544</v>
      </c>
      <c r="AO38" s="37" t="n">
        <f aca="false">IF((((AN37+AO37)/2))*LN((((AN37+AO37)/2))/(AN$7))+(1-(((AN37+AO37)/2)))*LN((1-(((AN37+AO37)/2)))/(1-(AN$7)))-AN$6&lt;0,AO37,((AN37+AO37)/2))</f>
        <v>0.555514150951057</v>
      </c>
      <c r="AP38" s="37" t="n">
        <f aca="false">IF(AP$7*LN(AP$7)-AP$7*((AP37+AQ37)/2)+(1-AP$7)*LN(1-AP$7)-(1-AP$7)*LN(1-EXP(((AP37+AQ37)/2)))-AP$6&gt;0,((AP37+AQ37)/2),AP37)</f>
        <v>-3.6896340292596</v>
      </c>
      <c r="AQ38" s="37" t="n">
        <f aca="false">IF(AP$7*LN(AP$7)-AP$7*((AP37+AQ37)/2)+(1-AP$7)*LN(1-AP$7)-(1-AP$7)*LN(1-EXP(((AP37+AQ37)/2)))-AP$6&gt;0,AQ37,((AP37+AQ37)/2))</f>
        <v>-3.68963390617262</v>
      </c>
      <c r="AR38" s="37" t="n">
        <f aca="false">IF((((AR37+AS37)/2))*LN((((AR37+AS37)/2))/(AR$7))+(1-(((AR37+AS37)/2)))*LN((1-(((AR37+AS37)/2)))/(1-(AR$7)))-AR$6&lt;0,((AR37+AS37)/2),AR37)</f>
        <v>0.0836482661776244</v>
      </c>
      <c r="AS38" s="37" t="n">
        <f aca="false">IF((((AR37+AS37)/2))*LN((((AR37+AS37)/2))/(AR$7))+(1-(((AR37+AS37)/2)))*LN((1-(((AR37+AS37)/2)))/(1-(AR$7)))-AR$6&lt;0,AS37,((AR37+AS37)/2))</f>
        <v>0.0836482679471373</v>
      </c>
    </row>
    <row r="39" customFormat="false" ht="15" hidden="false" customHeight="false" outlineLevel="0" collapsed="false">
      <c r="B39" s="37" t="n">
        <f aca="false">IF(B$7*LN(B$7)-B$7*((B38+C38)/2)+(1-B$7)*LN(1-B$7)-(1-B$7)*LN(1-EXP(((B38+C38)/2)))-B$6&gt;0,((B38+C38)/2),B38)</f>
        <v>-12.741680644158</v>
      </c>
      <c r="C39" s="37" t="n">
        <f aca="false">IF(B$7*LN(B$7)-B$7*((B38+C38)/2)+(1-B$7)*LN(1-B$7)-(1-B$7)*LN(1-EXP(((B38+C38)/2)))-B$6&gt;0,C38,((B38+C38)/2))</f>
        <v>-12.7416805826145</v>
      </c>
      <c r="D39" s="37" t="n">
        <f aca="false">IF(D$7*LN(D$7)-D$7*((D38+E38)/2)+(1-D$7)*LN(1-D$7)-(1-D$7)*LN(1-EXP(((D38+E38)/2)))-D$6&gt;0,((D38+E38)/2),D38)</f>
        <v>-16.0341341527342</v>
      </c>
      <c r="E39" s="37" t="n">
        <f aca="false">IF(D$7*LN(D$7)-D$7*((D38+E38)/2)+(1-D$7)*LN(1-D$7)-(1-D$7)*LN(1-EXP(((D38+E38)/2)))-D$6&gt;0,E38,((D38+E38)/2))</f>
        <v>-16.0341340911907</v>
      </c>
      <c r="F39" s="37" t="n">
        <f aca="false">IF(F$7*LN(F$7)-F$7*((F38+G38)/2)+(1-F$7)*LN(1-F$7)-(1-F$7)*LN(1-EXP(((F38+G38)/2)))-F$6&gt;0,((F38+G38)/2),F38)</f>
        <v>-24.8055675574208</v>
      </c>
      <c r="G39" s="37" t="n">
        <f aca="false">IF(F$7*LN(F$7)-F$7*((F38+G38)/2)+(1-F$7)*LN(1-F$7)-(1-F$7)*LN(1-EXP(((F38+G38)/2)))-F$6&gt;0,G38,((F38+G38)/2))</f>
        <v>-24.8055674958773</v>
      </c>
      <c r="H39" s="37" t="n">
        <f aca="false">IF(H$7*LN(H$7)-H$7*((H38+I38)/2)+(1-H$7)*LN(1-H$7)-(1-H$7)*LN(1-EXP(((H38+I38)/2)))-H$6&gt;0,((H38+I38)/2),H38)</f>
        <v>-3.19789119511736</v>
      </c>
      <c r="I39" s="37" t="n">
        <f aca="false">IF(H$7*LN(H$7)-H$7*((H38+I38)/2)+(1-H$7)*LN(1-H$7)-(1-H$7)*LN(1-EXP(((H38+I38)/2)))-H$6&gt;0,I38,((H38+I38)/2))</f>
        <v>-3.19789113357387</v>
      </c>
      <c r="J39" s="37" t="n">
        <f aca="false">IF(J$7*LN(J$7)-J$7*((J38+K38)/2)+(1-J$7)*LN(1-J$7)-(1-J$7)*LN(1-EXP(((J38+K38)/2)))-J$6&gt;0,((J38+K38)/2),J38)</f>
        <v>-3.28605089233103</v>
      </c>
      <c r="K39" s="37" t="n">
        <f aca="false">IF(J$7*LN(J$7)-J$7*((J38+K38)/2)+(1-J$7)*LN(1-J$7)-(1-J$7)*LN(1-EXP(((J38+K38)/2)))-J$6&gt;0,K38,((J38+K38)/2))</f>
        <v>-3.28605083078754</v>
      </c>
      <c r="L39" s="37" t="n">
        <f aca="false">IF(L$7*LN(L$7)-L$7*((L38+M38)/2)+(1-L$7)*LN(1-L$7)-(1-L$7)*LN(1-EXP(((L38+M38)/2)))-L$6&gt;0,((L38+M38)/2),L38)</f>
        <v>-3.46919736778275</v>
      </c>
      <c r="M39" s="37" t="n">
        <f aca="false">IF(L$7*LN(L$7)-L$7*((L38+M38)/2)+(1-L$7)*LN(1-L$7)-(1-L$7)*LN(1-EXP(((L38+M38)/2)))-L$6&gt;0,M38,((L38+M38)/2))</f>
        <v>-3.46919730623926</v>
      </c>
      <c r="N39" s="37" t="n">
        <f aca="false">IF(N$7*LN(N$7)-N$7*((N38+O38)/2)+(1-N$7)*LN(1-N$7)-(1-N$7)*LN(1-EXP(((N38+O38)/2)))-N$6&gt;0,((N38+O38)/2),N38)</f>
        <v>-3.68963396771611</v>
      </c>
      <c r="O39" s="37" t="n">
        <f aca="false">IF(N$7*LN(N$7)-N$7*((N38+O38)/2)+(1-N$7)*LN(1-N$7)-(1-N$7)*LN(1-EXP(((N38+O38)/2)))-N$6&gt;0,O38,((N38+O38)/2))</f>
        <v>-3.68963390617262</v>
      </c>
      <c r="P39" s="37" t="n">
        <f aca="false">IF(P$7*LN(P$7)-P$7*((P38+Q38)/2)+(1-P$7)*LN(1-P$7)-(1-P$7)*LN(1-EXP(((P38+Q38)/2)))-P$6&gt;0,((P38+Q38)/2),P38)</f>
        <v>-4.02932209817022</v>
      </c>
      <c r="Q39" s="37" t="n">
        <f aca="false">IF(P$7*LN(P$7)-P$7*((P38+Q38)/2)+(1-P$7)*LN(1-P$7)-(1-P$7)*LN(1-EXP(((P38+Q38)/2)))-P$6&gt;0,Q38,((P38+Q38)/2))</f>
        <v>-4.02932203662673</v>
      </c>
      <c r="R39" s="37" t="n">
        <f aca="false">IF(R$7*LN(R$7)-R$7*((R38+S38)/2)+(1-R$7)*LN(1-R$7)-(1-R$7)*LN(1-EXP(((R38+S38)/2)))-R$6&gt;0,((R38+S38)/2),R38)</f>
        <v>-4.31449881979945</v>
      </c>
      <c r="S39" s="37" t="n">
        <f aca="false">IF(R$7*LN(R$7)-R$7*((R38+S38)/2)+(1-R$7)*LN(1-R$7)-(1-R$7)*LN(1-EXP(((R38+S38)/2)))-R$6&gt;0,S38,((R38+S38)/2))</f>
        <v>-4.31449875825596</v>
      </c>
      <c r="T39" s="37" t="n">
        <f aca="false">IF(T$7*LN(T$7)-T$7*((T38+U38)/2)+(1-T$7)*LN(1-T$7)-(1-T$7)*LN(1-EXP(((T38+U38)/2)))-T$6&gt;0,((T38+U38)/2),T38)</f>
        <v>-4.81575744701041</v>
      </c>
      <c r="U39" s="37" t="n">
        <f aca="false">IF(T$7*LN(T$7)-T$7*((T38+U38)/2)+(1-T$7)*LN(1-T$7)-(1-T$7)*LN(1-EXP(((T38+U38)/2)))-T$6&gt;0,U38,((T38+U38)/2))</f>
        <v>-4.81575738546692</v>
      </c>
      <c r="V39" s="37" t="n">
        <f aca="false">IF(V$7*LN(V$7)-V$7*((V38+W38)/2)+(1-V$7)*LN(1-V$7)-(1-V$7)*LN(1-EXP(((V38+W38)/2)))-V$6&gt;0,((V38+W38)/2),V38)</f>
        <v>-5.38279985044132</v>
      </c>
      <c r="W39" s="37" t="n">
        <f aca="false">IF(V$7*LN(V$7)-V$7*((V38+W38)/2)+(1-V$7)*LN(1-V$7)-(1-V$7)*LN(1-EXP(((V38+W38)/2)))-V$6&gt;0,W38,((V38+W38)/2))</f>
        <v>-5.38279978889783</v>
      </c>
      <c r="X39" s="37" t="n">
        <f aca="false">IF(X$7*LN(X$7)-X$7*((X38+Y38)/2)+(1-X$7)*LN(1-X$7)-(1-X$7)*LN(1-EXP(((X38+Y38)/2)))-X$6&gt;0,((X38+Y38)/2),X38)</f>
        <v>-5.91917525528503</v>
      </c>
      <c r="Y39" s="37" t="n">
        <f aca="false">IF(X$7*LN(X$7)-X$7*((X38+Y38)/2)+(1-X$7)*LN(1-X$7)-(1-X$7)*LN(1-EXP(((X38+Y38)/2)))-X$6&gt;0,Y38,((X38+Y38)/2))</f>
        <v>-5.91917519374154</v>
      </c>
      <c r="Z39" s="37" t="n">
        <f aca="false">IF(Z$7*LN(Z$7)-Z$7*((Z38+AA38)/2)+(1-Z$7)*LN(1-Z$7)-(1-Z$7)*LN(1-EXP(((Z38+AA38)/2)))-Z$6&gt;0,((Z38+AA38)/2),Z38)</f>
        <v>-6.95212071954821</v>
      </c>
      <c r="AA39" s="37" t="n">
        <f aca="false">IF(Z$7*LN(Z$7)-Z$7*((Z38+AA38)/2)+(1-Z$7)*LN(1-Z$7)-(1-Z$7)*LN(1-EXP(((Z38+AA38)/2)))-Z$6&gt;0,AA38,((Z38+AA38)/2))</f>
        <v>-6.95212065800472</v>
      </c>
      <c r="AB39" s="37" t="n">
        <f aca="false">IF((((AB38+AC38)/2))*LN((((AB38+AC38)/2))/(AB$7))+(1-(((AB38+AC38)/2)))*LN((1-(((AB38+AC38)/2)))/(1-(AB$7)))-AB$6&lt;0,((AB38+AC38)/2),AB38)</f>
        <v>0.0600408213213086</v>
      </c>
      <c r="AC39" s="37" t="n">
        <f aca="false">IF((((AB38+AC38)/2))*LN((((AB38+AC38)/2))/(AB$7))+(1-(((AB38+AC38)/2)))*LN((1-(((AB38+AC38)/2)))/(1-(AB$7)))-AB$6&lt;0,AC38,((AB38+AC38)/2))</f>
        <v>0.0600408222060651</v>
      </c>
      <c r="AD39" s="37" t="n">
        <f aca="false">IF((((AD38+AE38)/2))*LN((((AD38+AE38)/2))/(AD$7))+(1-(((AD38+AE38)/2)))*LN((1-(((AD38+AE38)/2)))/(1-(AD$7)))-AD$6&lt;0,((AD38+AE38)/2),AD38)</f>
        <v>0.0677518170326948</v>
      </c>
      <c r="AE39" s="37" t="n">
        <f aca="false">IF((((AD38+AE38)/2))*LN((((AD38+AE38)/2))/(AD$7))+(1-(((AD38+AE38)/2)))*LN((1-(((AD38+AE38)/2)))/(1-(AD$7)))-AD$6&lt;0,AE38,((AD38+AE38)/2))</f>
        <v>0.0677518179174512</v>
      </c>
      <c r="AF39" s="37" t="n">
        <f aca="false">IF((((AF38+AG38)/2))*LN((((AF38+AG38)/2))/(AF$7))+(1-(((AF38+AG38)/2)))*LN((1-(((AF38+AG38)/2)))/(1-(AF$7)))-AF$6&lt;0,((AF38+AG38)/2),AF38)</f>
        <v>0.0836482670623809</v>
      </c>
      <c r="AG39" s="37" t="n">
        <f aca="false">IF((((AF38+AG38)/2))*LN((((AF38+AG38)/2))/(AF$7))+(1-(((AF38+AG38)/2)))*LN((1-(((AF38+AG38)/2)))/(1-(AF$7)))-AF$6&lt;0,AG38,((AF38+AG38)/2))</f>
        <v>0.0836482679471373</v>
      </c>
      <c r="AH39" s="37" t="n">
        <f aca="false">IF((((AH38+AI38)/2))*LN((((AH38+AI38)/2))/(AH$7))+(1-(((AH38+AI38)/2)))*LN((1-(((AH38+AI38)/2)))/(1-(AH$7)))-AH$6&lt;0,((AH38+AI38)/2),AH38)</f>
        <v>0.111548047652468</v>
      </c>
      <c r="AI39" s="37" t="n">
        <f aca="false">IF((((AH38+AI38)/2))*LN((((AH38+AI38)/2))/(AH$7))+(1-(((AH38+AI38)/2)))*LN((1-(((AH38+AI38)/2)))/(1-(AH$7)))-AH$6&lt;0,AI38,((AH38+AI38)/2))</f>
        <v>0.111548048537225</v>
      </c>
      <c r="AJ39" s="37" t="n">
        <f aca="false">IF((((AJ38+AK38)/2))*LN((((AJ38+AK38)/2))/(AJ$7))+(1-(((AJ38+AK38)/2)))*LN((1-(((AJ38+AK38)/2)))/(1-(AJ$7)))-AJ$6&lt;0,((AJ38+AK38)/2),AJ38)</f>
        <v>0.172949346946552</v>
      </c>
      <c r="AK39" s="37" t="n">
        <f aca="false">IF((((AJ38+AK38)/2))*LN((((AJ38+AK38)/2))/(AJ$7))+(1-(((AJ38+AK38)/2)))*LN((1-(((AJ38+AK38)/2)))/(1-(AJ$7)))-AJ$6&lt;0,AK38,((AJ38+AK38)/2))</f>
        <v>0.172949347831309</v>
      </c>
      <c r="AL39" s="37" t="n">
        <f aca="false">IF((((AL38+AM38)/2))*LN((((AL38+AM38)/2))/(AL$7))+(1-(((AL38+AM38)/2)))*LN((1-(((AL38+AM38)/2)))/(1-(AL$7)))-AL$6&lt;0,((AL38+AM38)/2),AL38)</f>
        <v>0.28851919695735</v>
      </c>
      <c r="AM39" s="37" t="n">
        <f aca="false">IF((((AL38+AM38)/2))*LN((((AL38+AM38)/2))/(AL$7))+(1-(((AL38+AM38)/2)))*LN((1-(((AL38+AM38)/2)))/(1-(AL$7)))-AL$6&lt;0,AM38,((AL38+AM38)/2))</f>
        <v>0.288519197842106</v>
      </c>
      <c r="AN39" s="37" t="n">
        <f aca="false">IF((((AN38+AO38)/2))*LN((((AN38+AO38)/2))/(AN$7))+(1-(((AN38+AO38)/2)))*LN((1-(((AN38+AO38)/2)))/(1-(AN$7)))-AN$6&lt;0,((AN38+AO38)/2),AN38)</f>
        <v>0.555514150066301</v>
      </c>
      <c r="AO39" s="37" t="n">
        <f aca="false">IF((((AN38+AO38)/2))*LN((((AN38+AO38)/2))/(AN$7))+(1-(((AN38+AO38)/2)))*LN((1-(((AN38+AO38)/2)))/(1-(AN$7)))-AN$6&lt;0,AO38,((AN38+AO38)/2))</f>
        <v>0.555514150951057</v>
      </c>
      <c r="AP39" s="37" t="n">
        <f aca="false">IF(AP$7*LN(AP$7)-AP$7*((AP38+AQ38)/2)+(1-AP$7)*LN(1-AP$7)-(1-AP$7)*LN(1-EXP(((AP38+AQ38)/2)))-AP$6&gt;0,((AP38+AQ38)/2),AP38)</f>
        <v>-3.68963396771611</v>
      </c>
      <c r="AQ39" s="37" t="n">
        <f aca="false">IF(AP$7*LN(AP$7)-AP$7*((AP38+AQ38)/2)+(1-AP$7)*LN(1-AP$7)-(1-AP$7)*LN(1-EXP(((AP38+AQ38)/2)))-AP$6&gt;0,AQ38,((AP38+AQ38)/2))</f>
        <v>-3.68963390617262</v>
      </c>
      <c r="AR39" s="37" t="n">
        <f aca="false">IF((((AR38+AS38)/2))*LN((((AR38+AS38)/2))/(AR$7))+(1-(((AR38+AS38)/2)))*LN((1-(((AR38+AS38)/2)))/(1-(AR$7)))-AR$6&lt;0,((AR38+AS38)/2),AR38)</f>
        <v>0.0836482670623809</v>
      </c>
      <c r="AS39" s="37" t="n">
        <f aca="false">IF((((AR38+AS38)/2))*LN((((AR38+AS38)/2))/(AR$7))+(1-(((AR38+AS38)/2)))*LN((1-(((AR38+AS38)/2)))/(1-(AR$7)))-AR$6&lt;0,AS38,((AR38+AS38)/2))</f>
        <v>0.0836482679471373</v>
      </c>
    </row>
    <row r="40" customFormat="false" ht="15" hidden="false" customHeight="false" outlineLevel="0" collapsed="false">
      <c r="B40" s="37" t="n">
        <f aca="false">IF(B$7*LN(B$7)-B$7*((B39+C39)/2)+(1-B$7)*LN(1-B$7)-(1-B$7)*LN(1-EXP(((B39+C39)/2)))-B$6&gt;0,((B39+C39)/2),B39)</f>
        <v>-12.7416806133863</v>
      </c>
      <c r="C40" s="37" t="n">
        <f aca="false">IF(B$7*LN(B$7)-B$7*((B39+C39)/2)+(1-B$7)*LN(1-B$7)-(1-B$7)*LN(1-EXP(((B39+C39)/2)))-B$6&gt;0,C39,((B39+C39)/2))</f>
        <v>-12.7416805826145</v>
      </c>
      <c r="D40" s="37" t="n">
        <f aca="false">IF(D$7*LN(D$7)-D$7*((D39+E39)/2)+(1-D$7)*LN(1-D$7)-(1-D$7)*LN(1-EXP(((D39+E39)/2)))-D$6&gt;0,((D39+E39)/2),D39)</f>
        <v>-16.0341341219625</v>
      </c>
      <c r="E40" s="37" t="n">
        <f aca="false">IF(D$7*LN(D$7)-D$7*((D39+E39)/2)+(1-D$7)*LN(1-D$7)-(1-D$7)*LN(1-EXP(((D39+E39)/2)))-D$6&gt;0,E39,((D39+E39)/2))</f>
        <v>-16.0341340911907</v>
      </c>
      <c r="F40" s="37" t="n">
        <f aca="false">IF(F$7*LN(F$7)-F$7*((F39+G39)/2)+(1-F$7)*LN(1-F$7)-(1-F$7)*LN(1-EXP(((F39+G39)/2)))-F$6&gt;0,((F39+G39)/2),F39)</f>
        <v>-24.8055675574208</v>
      </c>
      <c r="G40" s="37" t="n">
        <f aca="false">IF(F$7*LN(F$7)-F$7*((F39+G39)/2)+(1-F$7)*LN(1-F$7)-(1-F$7)*LN(1-EXP(((F39+G39)/2)))-F$6&gt;0,G39,((F39+G39)/2))</f>
        <v>-24.805567526649</v>
      </c>
      <c r="H40" s="37" t="n">
        <f aca="false">IF(H$7*LN(H$7)-H$7*((H39+I39)/2)+(1-H$7)*LN(1-H$7)-(1-H$7)*LN(1-EXP(((H39+I39)/2)))-H$6&gt;0,((H39+I39)/2),H39)</f>
        <v>-3.19789116434561</v>
      </c>
      <c r="I40" s="37" t="n">
        <f aca="false">IF(H$7*LN(H$7)-H$7*((H39+I39)/2)+(1-H$7)*LN(1-H$7)-(1-H$7)*LN(1-EXP(((H39+I39)/2)))-H$6&gt;0,I39,((H39+I39)/2))</f>
        <v>-3.19789113357387</v>
      </c>
      <c r="J40" s="37" t="n">
        <f aca="false">IF(J$7*LN(J$7)-J$7*((J39+K39)/2)+(1-J$7)*LN(1-J$7)-(1-J$7)*LN(1-EXP(((J39+K39)/2)))-J$6&gt;0,((J39+K39)/2),J39)</f>
        <v>-3.28605086155929</v>
      </c>
      <c r="K40" s="37" t="n">
        <f aca="false">IF(J$7*LN(J$7)-J$7*((J39+K39)/2)+(1-J$7)*LN(1-J$7)-(1-J$7)*LN(1-EXP(((J39+K39)/2)))-J$6&gt;0,K39,((J39+K39)/2))</f>
        <v>-3.28605083078754</v>
      </c>
      <c r="L40" s="37" t="n">
        <f aca="false">IF(L$7*LN(L$7)-L$7*((L39+M39)/2)+(1-L$7)*LN(1-L$7)-(1-L$7)*LN(1-EXP(((L39+M39)/2)))-L$6&gt;0,((L39+M39)/2),L39)</f>
        <v>-3.46919736778275</v>
      </c>
      <c r="M40" s="37" t="n">
        <f aca="false">IF(L$7*LN(L$7)-L$7*((L39+M39)/2)+(1-L$7)*LN(1-L$7)-(1-L$7)*LN(1-EXP(((L39+M39)/2)))-L$6&gt;0,M39,((L39+M39)/2))</f>
        <v>-3.469197337011</v>
      </c>
      <c r="N40" s="37" t="n">
        <f aca="false">IF(N$7*LN(N$7)-N$7*((N39+O39)/2)+(1-N$7)*LN(1-N$7)-(1-N$7)*LN(1-EXP(((N39+O39)/2)))-N$6&gt;0,((N39+O39)/2),N39)</f>
        <v>-3.68963396771611</v>
      </c>
      <c r="O40" s="37" t="n">
        <f aca="false">IF(N$7*LN(N$7)-N$7*((N39+O39)/2)+(1-N$7)*LN(1-N$7)-(1-N$7)*LN(1-EXP(((N39+O39)/2)))-N$6&gt;0,O39,((N39+O39)/2))</f>
        <v>-3.68963393694437</v>
      </c>
      <c r="P40" s="37" t="n">
        <f aca="false">IF(P$7*LN(P$7)-P$7*((P39+Q39)/2)+(1-P$7)*LN(1-P$7)-(1-P$7)*LN(1-EXP(((P39+Q39)/2)))-P$6&gt;0,((P39+Q39)/2),P39)</f>
        <v>-4.02932209817022</v>
      </c>
      <c r="Q40" s="37" t="n">
        <f aca="false">IF(P$7*LN(P$7)-P$7*((P39+Q39)/2)+(1-P$7)*LN(1-P$7)-(1-P$7)*LN(1-EXP(((P39+Q39)/2)))-P$6&gt;0,Q39,((P39+Q39)/2))</f>
        <v>-4.02932206739848</v>
      </c>
      <c r="R40" s="37" t="n">
        <f aca="false">IF(R$7*LN(R$7)-R$7*((R39+S39)/2)+(1-R$7)*LN(1-R$7)-(1-R$7)*LN(1-EXP(((R39+S39)/2)))-R$6&gt;0,((R39+S39)/2),R39)</f>
        <v>-4.31449878902771</v>
      </c>
      <c r="S40" s="37" t="n">
        <f aca="false">IF(R$7*LN(R$7)-R$7*((R39+S39)/2)+(1-R$7)*LN(1-R$7)-(1-R$7)*LN(1-EXP(((R39+S39)/2)))-R$6&gt;0,S39,((R39+S39)/2))</f>
        <v>-4.31449875825596</v>
      </c>
      <c r="T40" s="37" t="n">
        <f aca="false">IF(T$7*LN(T$7)-T$7*((T39+U39)/2)+(1-T$7)*LN(1-T$7)-(1-T$7)*LN(1-EXP(((T39+U39)/2)))-T$6&gt;0,((T39+U39)/2),T39)</f>
        <v>-4.81575744701041</v>
      </c>
      <c r="U40" s="37" t="n">
        <f aca="false">IF(T$7*LN(T$7)-T$7*((T39+U39)/2)+(1-T$7)*LN(1-T$7)-(1-T$7)*LN(1-EXP(((T39+U39)/2)))-T$6&gt;0,U39,((T39+U39)/2))</f>
        <v>-4.81575741623866</v>
      </c>
      <c r="V40" s="37" t="n">
        <f aca="false">IF(V$7*LN(V$7)-V$7*((V39+W39)/2)+(1-V$7)*LN(1-V$7)-(1-V$7)*LN(1-EXP(((V39+W39)/2)))-V$6&gt;0,((V39+W39)/2),V39)</f>
        <v>-5.38279985044132</v>
      </c>
      <c r="W40" s="37" t="n">
        <f aca="false">IF(V$7*LN(V$7)-V$7*((V39+W39)/2)+(1-V$7)*LN(1-V$7)-(1-V$7)*LN(1-EXP(((V39+W39)/2)))-V$6&gt;0,W39,((V39+W39)/2))</f>
        <v>-5.38279981966957</v>
      </c>
      <c r="X40" s="37" t="n">
        <f aca="false">IF(X$7*LN(X$7)-X$7*((X39+Y39)/2)+(1-X$7)*LN(1-X$7)-(1-X$7)*LN(1-EXP(((X39+Y39)/2)))-X$6&gt;0,((X39+Y39)/2),X39)</f>
        <v>-5.91917525528503</v>
      </c>
      <c r="Y40" s="37" t="n">
        <f aca="false">IF(X$7*LN(X$7)-X$7*((X39+Y39)/2)+(1-X$7)*LN(1-X$7)-(1-X$7)*LN(1-EXP(((X39+Y39)/2)))-X$6&gt;0,Y39,((X39+Y39)/2))</f>
        <v>-5.91917522451329</v>
      </c>
      <c r="Z40" s="37" t="n">
        <f aca="false">IF(Z$7*LN(Z$7)-Z$7*((Z39+AA39)/2)+(1-Z$7)*LN(1-Z$7)-(1-Z$7)*LN(1-EXP(((Z39+AA39)/2)))-Z$6&gt;0,((Z39+AA39)/2),Z39)</f>
        <v>-6.95212068877646</v>
      </c>
      <c r="AA40" s="37" t="n">
        <f aca="false">IF(Z$7*LN(Z$7)-Z$7*((Z39+AA39)/2)+(1-Z$7)*LN(1-Z$7)-(1-Z$7)*LN(1-EXP(((Z39+AA39)/2)))-Z$6&gt;0,AA39,((Z39+AA39)/2))</f>
        <v>-6.95212065800472</v>
      </c>
      <c r="AB40" s="37" t="n">
        <f aca="false">IF((((AB39+AC39)/2))*LN((((AB39+AC39)/2))/(AB$7))+(1-(((AB39+AC39)/2)))*LN((1-(((AB39+AC39)/2)))/(1-(AB$7)))-AB$6&lt;0,((AB39+AC39)/2),AB39)</f>
        <v>0.0600408213213086</v>
      </c>
      <c r="AC40" s="37" t="n">
        <f aca="false">IF((((AB39+AC39)/2))*LN((((AB39+AC39)/2))/(AB$7))+(1-(((AB39+AC39)/2)))*LN((1-(((AB39+AC39)/2)))/(1-(AB$7)))-AB$6&lt;0,AC39,((AB39+AC39)/2))</f>
        <v>0.0600408217636868</v>
      </c>
      <c r="AD40" s="37" t="n">
        <f aca="false">IF((((AD39+AE39)/2))*LN((((AD39+AE39)/2))/(AD$7))+(1-(((AD39+AE39)/2)))*LN((1-(((AD39+AE39)/2)))/(1-(AD$7)))-AD$6&lt;0,((AD39+AE39)/2),AD39)</f>
        <v>0.067751817475073</v>
      </c>
      <c r="AE40" s="37" t="n">
        <f aca="false">IF((((AD39+AE39)/2))*LN((((AD39+AE39)/2))/(AD$7))+(1-(((AD39+AE39)/2)))*LN((1-(((AD39+AE39)/2)))/(1-(AD$7)))-AD$6&lt;0,AE39,((AD39+AE39)/2))</f>
        <v>0.0677518179174512</v>
      </c>
      <c r="AF40" s="37" t="n">
        <f aca="false">IF((((AF39+AG39)/2))*LN((((AF39+AG39)/2))/(AF$7))+(1-(((AF39+AG39)/2)))*LN((1-(((AF39+AG39)/2)))/(1-(AF$7)))-AF$6&lt;0,((AF39+AG39)/2),AF39)</f>
        <v>0.0836482670623809</v>
      </c>
      <c r="AG40" s="37" t="n">
        <f aca="false">IF((((AF39+AG39)/2))*LN((((AF39+AG39)/2))/(AF$7))+(1-(((AF39+AG39)/2)))*LN((1-(((AF39+AG39)/2)))/(1-(AF$7)))-AF$6&lt;0,AG39,((AF39+AG39)/2))</f>
        <v>0.0836482675047591</v>
      </c>
      <c r="AH40" s="37" t="n">
        <f aca="false">IF((((AH39+AI39)/2))*LN((((AH39+AI39)/2))/(AH$7))+(1-(((AH39+AI39)/2)))*LN((1-(((AH39+AI39)/2)))/(1-(AH$7)))-AH$6&lt;0,((AH39+AI39)/2),AH39)</f>
        <v>0.111548048094846</v>
      </c>
      <c r="AI40" s="37" t="n">
        <f aca="false">IF((((AH39+AI39)/2))*LN((((AH39+AI39)/2))/(AH$7))+(1-(((AH39+AI39)/2)))*LN((1-(((AH39+AI39)/2)))/(1-(AH$7)))-AH$6&lt;0,AI39,((AH39+AI39)/2))</f>
        <v>0.111548048537225</v>
      </c>
      <c r="AJ40" s="37" t="n">
        <f aca="false">IF((((AJ39+AK39)/2))*LN((((AJ39+AK39)/2))/(AJ$7))+(1-(((AJ39+AK39)/2)))*LN((1-(((AJ39+AK39)/2)))/(1-(AJ$7)))-AJ$6&lt;0,((AJ39+AK39)/2),AJ39)</f>
        <v>0.17294934738893</v>
      </c>
      <c r="AK40" s="37" t="n">
        <f aca="false">IF((((AJ39+AK39)/2))*LN((((AJ39+AK39)/2))/(AJ$7))+(1-(((AJ39+AK39)/2)))*LN((1-(((AJ39+AK39)/2)))/(1-(AJ$7)))-AJ$6&lt;0,AK39,((AJ39+AK39)/2))</f>
        <v>0.172949347831309</v>
      </c>
      <c r="AL40" s="37" t="n">
        <f aca="false">IF((((AL39+AM39)/2))*LN((((AL39+AM39)/2))/(AL$7))+(1-(((AL39+AM39)/2)))*LN((1-(((AL39+AM39)/2)))/(1-(AL$7)))-AL$6&lt;0,((AL39+AM39)/2),AL39)</f>
        <v>0.28851919695735</v>
      </c>
      <c r="AM40" s="37" t="n">
        <f aca="false">IF((((AL39+AM39)/2))*LN((((AL39+AM39)/2))/(AL$7))+(1-(((AL39+AM39)/2)))*LN((1-(((AL39+AM39)/2)))/(1-(AL$7)))-AL$6&lt;0,AM39,((AL39+AM39)/2))</f>
        <v>0.288519197399728</v>
      </c>
      <c r="AN40" s="37" t="n">
        <f aca="false">IF((((AN39+AO39)/2))*LN((((AN39+AO39)/2))/(AN$7))+(1-(((AN39+AO39)/2)))*LN((1-(((AN39+AO39)/2)))/(1-(AN$7)))-AN$6&lt;0,((AN39+AO39)/2),AN39)</f>
        <v>0.555514150066301</v>
      </c>
      <c r="AO40" s="37" t="n">
        <f aca="false">IF((((AN39+AO39)/2))*LN((((AN39+AO39)/2))/(AN$7))+(1-(((AN39+AO39)/2)))*LN((1-(((AN39+AO39)/2)))/(1-(AN$7)))-AN$6&lt;0,AO39,((AN39+AO39)/2))</f>
        <v>0.555514150508679</v>
      </c>
      <c r="AP40" s="37" t="n">
        <f aca="false">IF(AP$7*LN(AP$7)-AP$7*((AP39+AQ39)/2)+(1-AP$7)*LN(1-AP$7)-(1-AP$7)*LN(1-EXP(((AP39+AQ39)/2)))-AP$6&gt;0,((AP39+AQ39)/2),AP39)</f>
        <v>-3.68963396771611</v>
      </c>
      <c r="AQ40" s="37" t="n">
        <f aca="false">IF(AP$7*LN(AP$7)-AP$7*((AP39+AQ39)/2)+(1-AP$7)*LN(1-AP$7)-(1-AP$7)*LN(1-EXP(((AP39+AQ39)/2)))-AP$6&gt;0,AQ39,((AP39+AQ39)/2))</f>
        <v>-3.68963393694437</v>
      </c>
      <c r="AR40" s="37" t="n">
        <f aca="false">IF((((AR39+AS39)/2))*LN((((AR39+AS39)/2))/(AR$7))+(1-(((AR39+AS39)/2)))*LN((1-(((AR39+AS39)/2)))/(1-(AR$7)))-AR$6&lt;0,((AR39+AS39)/2),AR39)</f>
        <v>0.0836482670623809</v>
      </c>
      <c r="AS40" s="37" t="n">
        <f aca="false">IF((((AR39+AS39)/2))*LN((((AR39+AS39)/2))/(AR$7))+(1-(((AR39+AS39)/2)))*LN((1-(((AR39+AS39)/2)))/(1-(AR$7)))-AR$6&lt;0,AS39,((AR39+AS39)/2))</f>
        <v>0.0836482675047591</v>
      </c>
    </row>
    <row r="41" customFormat="false" ht="15" hidden="false" customHeight="false" outlineLevel="0" collapsed="false">
      <c r="B41" s="37" t="n">
        <f aca="false">IF(B$7*LN(B$7)-B$7*((B40+C40)/2)+(1-B$7)*LN(1-B$7)-(1-B$7)*LN(1-EXP(((B40+C40)/2)))-B$6&gt;0,((B40+C40)/2),B40)</f>
        <v>-12.7416806133863</v>
      </c>
      <c r="C41" s="37" t="n">
        <f aca="false">IF(B$7*LN(B$7)-B$7*((B40+C40)/2)+(1-B$7)*LN(1-B$7)-(1-B$7)*LN(1-EXP(((B40+C40)/2)))-B$6&gt;0,C40,((B40+C40)/2))</f>
        <v>-12.7416805980004</v>
      </c>
      <c r="D41" s="37" t="n">
        <f aca="false">IF(D$7*LN(D$7)-D$7*((D40+E40)/2)+(1-D$7)*LN(1-D$7)-(1-D$7)*LN(1-EXP(((D40+E40)/2)))-D$6&gt;0,((D40+E40)/2),D40)</f>
        <v>-16.0341341219625</v>
      </c>
      <c r="E41" s="37" t="n">
        <f aca="false">IF(D$7*LN(D$7)-D$7*((D40+E40)/2)+(1-D$7)*LN(1-D$7)-(1-D$7)*LN(1-EXP(((D40+E40)/2)))-D$6&gt;0,E40,((D40+E40)/2))</f>
        <v>-16.0341341065766</v>
      </c>
      <c r="F41" s="37" t="n">
        <f aca="false">IF(F$7*LN(F$7)-F$7*((F40+G40)/2)+(1-F$7)*LN(1-F$7)-(1-F$7)*LN(1-EXP(((F40+G40)/2)))-F$6&gt;0,((F40+G40)/2),F40)</f>
        <v>-24.8055675420349</v>
      </c>
      <c r="G41" s="37" t="n">
        <f aca="false">IF(F$7*LN(F$7)-F$7*((F40+G40)/2)+(1-F$7)*LN(1-F$7)-(1-F$7)*LN(1-EXP(((F40+G40)/2)))-F$6&gt;0,G40,((F40+G40)/2))</f>
        <v>-24.805567526649</v>
      </c>
      <c r="H41" s="37" t="n">
        <f aca="false">IF(H$7*LN(H$7)-H$7*((H40+I40)/2)+(1-H$7)*LN(1-H$7)-(1-H$7)*LN(1-EXP(((H40+I40)/2)))-H$6&gt;0,((H40+I40)/2),H40)</f>
        <v>-3.19789114895974</v>
      </c>
      <c r="I41" s="37" t="n">
        <f aca="false">IF(H$7*LN(H$7)-H$7*((H40+I40)/2)+(1-H$7)*LN(1-H$7)-(1-H$7)*LN(1-EXP(((H40+I40)/2)))-H$6&gt;0,I40,((H40+I40)/2))</f>
        <v>-3.19789113357387</v>
      </c>
      <c r="J41" s="37" t="n">
        <f aca="false">IF(J$7*LN(J$7)-J$7*((J40+K40)/2)+(1-J$7)*LN(1-J$7)-(1-J$7)*LN(1-EXP(((J40+K40)/2)))-J$6&gt;0,((J40+K40)/2),J40)</f>
        <v>-3.28605086155929</v>
      </c>
      <c r="K41" s="37" t="n">
        <f aca="false">IF(J$7*LN(J$7)-J$7*((J40+K40)/2)+(1-J$7)*LN(1-J$7)-(1-J$7)*LN(1-EXP(((J40+K40)/2)))-J$6&gt;0,K40,((J40+K40)/2))</f>
        <v>-3.28605084617342</v>
      </c>
      <c r="L41" s="37" t="n">
        <f aca="false">IF(L$7*LN(L$7)-L$7*((L40+M40)/2)+(1-L$7)*LN(1-L$7)-(1-L$7)*LN(1-EXP(((L40+M40)/2)))-L$6&gt;0,((L40+M40)/2),L40)</f>
        <v>-3.46919735239687</v>
      </c>
      <c r="M41" s="37" t="n">
        <f aca="false">IF(L$7*LN(L$7)-L$7*((L40+M40)/2)+(1-L$7)*LN(1-L$7)-(1-L$7)*LN(1-EXP(((L40+M40)/2)))-L$6&gt;0,M40,((L40+M40)/2))</f>
        <v>-3.469197337011</v>
      </c>
      <c r="N41" s="37" t="n">
        <f aca="false">IF(N$7*LN(N$7)-N$7*((N40+O40)/2)+(1-N$7)*LN(1-N$7)-(1-N$7)*LN(1-EXP(((N40+O40)/2)))-N$6&gt;0,((N40+O40)/2),N40)</f>
        <v>-3.68963395233024</v>
      </c>
      <c r="O41" s="37" t="n">
        <f aca="false">IF(N$7*LN(N$7)-N$7*((N40+O40)/2)+(1-N$7)*LN(1-N$7)-(1-N$7)*LN(1-EXP(((N40+O40)/2)))-N$6&gt;0,O40,((N40+O40)/2))</f>
        <v>-3.68963393694437</v>
      </c>
      <c r="P41" s="37" t="n">
        <f aca="false">IF(P$7*LN(P$7)-P$7*((P40+Q40)/2)+(1-P$7)*LN(1-P$7)-(1-P$7)*LN(1-EXP(((P40+Q40)/2)))-P$6&gt;0,((P40+Q40)/2),P40)</f>
        <v>-4.02932209817022</v>
      </c>
      <c r="Q41" s="37" t="n">
        <f aca="false">IF(P$7*LN(P$7)-P$7*((P40+Q40)/2)+(1-P$7)*LN(1-P$7)-(1-P$7)*LN(1-EXP(((P40+Q40)/2)))-P$6&gt;0,Q40,((P40+Q40)/2))</f>
        <v>-4.02932208278435</v>
      </c>
      <c r="R41" s="37" t="n">
        <f aca="false">IF(R$7*LN(R$7)-R$7*((R40+S40)/2)+(1-R$7)*LN(1-R$7)-(1-R$7)*LN(1-EXP(((R40+S40)/2)))-R$6&gt;0,((R40+S40)/2),R40)</f>
        <v>-4.31449878902771</v>
      </c>
      <c r="S41" s="37" t="n">
        <f aca="false">IF(R$7*LN(R$7)-R$7*((R40+S40)/2)+(1-R$7)*LN(1-R$7)-(1-R$7)*LN(1-EXP(((R40+S40)/2)))-R$6&gt;0,S40,((R40+S40)/2))</f>
        <v>-4.31449877364183</v>
      </c>
      <c r="T41" s="37" t="n">
        <f aca="false">IF(T$7*LN(T$7)-T$7*((T40+U40)/2)+(1-T$7)*LN(1-T$7)-(1-T$7)*LN(1-EXP(((T40+U40)/2)))-T$6&gt;0,((T40+U40)/2),T40)</f>
        <v>-4.81575743162454</v>
      </c>
      <c r="U41" s="37" t="n">
        <f aca="false">IF(T$7*LN(T$7)-T$7*((T40+U40)/2)+(1-T$7)*LN(1-T$7)-(1-T$7)*LN(1-EXP(((T40+U40)/2)))-T$6&gt;0,U40,((T40+U40)/2))</f>
        <v>-4.81575741623866</v>
      </c>
      <c r="V41" s="37" t="n">
        <f aca="false">IF(V$7*LN(V$7)-V$7*((V40+W40)/2)+(1-V$7)*LN(1-V$7)-(1-V$7)*LN(1-EXP(((V40+W40)/2)))-V$6&gt;0,((V40+W40)/2),V40)</f>
        <v>-5.38279983505544</v>
      </c>
      <c r="W41" s="37" t="n">
        <f aca="false">IF(V$7*LN(V$7)-V$7*((V40+W40)/2)+(1-V$7)*LN(1-V$7)-(1-V$7)*LN(1-EXP(((V40+W40)/2)))-V$6&gt;0,W40,((V40+W40)/2))</f>
        <v>-5.38279981966957</v>
      </c>
      <c r="X41" s="37" t="n">
        <f aca="false">IF(X$7*LN(X$7)-X$7*((X40+Y40)/2)+(1-X$7)*LN(1-X$7)-(1-X$7)*LN(1-EXP(((X40+Y40)/2)))-X$6&gt;0,((X40+Y40)/2),X40)</f>
        <v>-5.91917523989916</v>
      </c>
      <c r="Y41" s="37" t="n">
        <f aca="false">IF(X$7*LN(X$7)-X$7*((X40+Y40)/2)+(1-X$7)*LN(1-X$7)-(1-X$7)*LN(1-EXP(((X40+Y40)/2)))-X$6&gt;0,Y40,((X40+Y40)/2))</f>
        <v>-5.91917522451329</v>
      </c>
      <c r="Z41" s="37" t="n">
        <f aca="false">IF(Z$7*LN(Z$7)-Z$7*((Z40+AA40)/2)+(1-Z$7)*LN(1-Z$7)-(1-Z$7)*LN(1-EXP(((Z40+AA40)/2)))-Z$6&gt;0,((Z40+AA40)/2),Z40)</f>
        <v>-6.95212068877646</v>
      </c>
      <c r="AA41" s="37" t="n">
        <f aca="false">IF(Z$7*LN(Z$7)-Z$7*((Z40+AA40)/2)+(1-Z$7)*LN(1-Z$7)-(1-Z$7)*LN(1-EXP(((Z40+AA40)/2)))-Z$6&gt;0,AA40,((Z40+AA40)/2))</f>
        <v>-6.95212067339059</v>
      </c>
      <c r="AB41" s="37" t="n">
        <f aca="false">IF((((AB40+AC40)/2))*LN((((AB40+AC40)/2))/(AB$7))+(1-(((AB40+AC40)/2)))*LN((1-(((AB40+AC40)/2)))/(1-(AB$7)))-AB$6&lt;0,((AB40+AC40)/2),AB40)</f>
        <v>0.0600408213213086</v>
      </c>
      <c r="AC41" s="37" t="n">
        <f aca="false">IF((((AB40+AC40)/2))*LN((((AB40+AC40)/2))/(AB$7))+(1-(((AB40+AC40)/2)))*LN((1-(((AB40+AC40)/2)))/(1-(AB$7)))-AB$6&lt;0,AC40,((AB40+AC40)/2))</f>
        <v>0.0600408215424977</v>
      </c>
      <c r="AD41" s="37" t="n">
        <f aca="false">IF((((AD40+AE40)/2))*LN((((AD40+AE40)/2))/(AD$7))+(1-(((AD40+AE40)/2)))*LN((1-(((AD40+AE40)/2)))/(1-(AD$7)))-AD$6&lt;0,((AD40+AE40)/2),AD40)</f>
        <v>0.0677518176962621</v>
      </c>
      <c r="AE41" s="37" t="n">
        <f aca="false">IF((((AD40+AE40)/2))*LN((((AD40+AE40)/2))/(AD$7))+(1-(((AD40+AE40)/2)))*LN((1-(((AD40+AE40)/2)))/(1-(AD$7)))-AD$6&lt;0,AE40,((AD40+AE40)/2))</f>
        <v>0.0677518179174512</v>
      </c>
      <c r="AF41" s="37" t="n">
        <f aca="false">IF((((AF40+AG40)/2))*LN((((AF40+AG40)/2))/(AF$7))+(1-(((AF40+AG40)/2)))*LN((1-(((AF40+AG40)/2)))/(1-(AF$7)))-AF$6&lt;0,((AF40+AG40)/2),AF40)</f>
        <v>0.08364826728357</v>
      </c>
      <c r="AG41" s="37" t="n">
        <f aca="false">IF((((AF40+AG40)/2))*LN((((AF40+AG40)/2))/(AF$7))+(1-(((AF40+AG40)/2)))*LN((1-(((AF40+AG40)/2)))/(1-(AF$7)))-AF$6&lt;0,AG40,((AF40+AG40)/2))</f>
        <v>0.0836482675047591</v>
      </c>
      <c r="AH41" s="37" t="n">
        <f aca="false">IF((((AH40+AI40)/2))*LN((((AH40+AI40)/2))/(AH$7))+(1-(((AH40+AI40)/2)))*LN((1-(((AH40+AI40)/2)))/(1-(AH$7)))-AH$6&lt;0,((AH40+AI40)/2),AH40)</f>
        <v>0.111548048094846</v>
      </c>
      <c r="AI41" s="37" t="n">
        <f aca="false">IF((((AH40+AI40)/2))*LN((((AH40+AI40)/2))/(AH$7))+(1-(((AH40+AI40)/2)))*LN((1-(((AH40+AI40)/2)))/(1-(AH$7)))-AH$6&lt;0,AI40,((AH40+AI40)/2))</f>
        <v>0.111548048316035</v>
      </c>
      <c r="AJ41" s="37" t="n">
        <f aca="false">IF((((AJ40+AK40)/2))*LN((((AJ40+AK40)/2))/(AJ$7))+(1-(((AJ40+AK40)/2)))*LN((1-(((AJ40+AK40)/2)))/(1-(AJ$7)))-AJ$6&lt;0,((AJ40+AK40)/2),AJ40)</f>
        <v>0.17294934761012</v>
      </c>
      <c r="AK41" s="37" t="n">
        <f aca="false">IF((((AJ40+AK40)/2))*LN((((AJ40+AK40)/2))/(AJ$7))+(1-(((AJ40+AK40)/2)))*LN((1-(((AJ40+AK40)/2)))/(1-(AJ$7)))-AJ$6&lt;0,AK40,((AJ40+AK40)/2))</f>
        <v>0.172949347831309</v>
      </c>
      <c r="AL41" s="37" t="n">
        <f aca="false">IF((((AL40+AM40)/2))*LN((((AL40+AM40)/2))/(AL$7))+(1-(((AL40+AM40)/2)))*LN((1-(((AL40+AM40)/2)))/(1-(AL$7)))-AL$6&lt;0,((AL40+AM40)/2),AL40)</f>
        <v>0.288519197178539</v>
      </c>
      <c r="AM41" s="37" t="n">
        <f aca="false">IF((((AL40+AM40)/2))*LN((((AL40+AM40)/2))/(AL$7))+(1-(((AL40+AM40)/2)))*LN((1-(((AL40+AM40)/2)))/(1-(AL$7)))-AL$6&lt;0,AM40,((AL40+AM40)/2))</f>
        <v>0.288519197399728</v>
      </c>
      <c r="AN41" s="37" t="n">
        <f aca="false">IF((((AN40+AO40)/2))*LN((((AN40+AO40)/2))/(AN$7))+(1-(((AN40+AO40)/2)))*LN((1-(((AN40+AO40)/2)))/(1-(AN$7)))-AN$6&lt;0,((AN40+AO40)/2),AN40)</f>
        <v>0.55551415028749</v>
      </c>
      <c r="AO41" s="37" t="n">
        <f aca="false">IF((((AN40+AO40)/2))*LN((((AN40+AO40)/2))/(AN$7))+(1-(((AN40+AO40)/2)))*LN((1-(((AN40+AO40)/2)))/(1-(AN$7)))-AN$6&lt;0,AO40,((AN40+AO40)/2))</f>
        <v>0.555514150508679</v>
      </c>
      <c r="AP41" s="37" t="n">
        <f aca="false">IF(AP$7*LN(AP$7)-AP$7*((AP40+AQ40)/2)+(1-AP$7)*LN(1-AP$7)-(1-AP$7)*LN(1-EXP(((AP40+AQ40)/2)))-AP$6&gt;0,((AP40+AQ40)/2),AP40)</f>
        <v>-3.68963395233024</v>
      </c>
      <c r="AQ41" s="37" t="n">
        <f aca="false">IF(AP$7*LN(AP$7)-AP$7*((AP40+AQ40)/2)+(1-AP$7)*LN(1-AP$7)-(1-AP$7)*LN(1-EXP(((AP40+AQ40)/2)))-AP$6&gt;0,AQ40,((AP40+AQ40)/2))</f>
        <v>-3.68963393694437</v>
      </c>
      <c r="AR41" s="37" t="n">
        <f aca="false">IF((((AR40+AS40)/2))*LN((((AR40+AS40)/2))/(AR$7))+(1-(((AR40+AS40)/2)))*LN((1-(((AR40+AS40)/2)))/(1-(AR$7)))-AR$6&lt;0,((AR40+AS40)/2),AR40)</f>
        <v>0.08364826728357</v>
      </c>
      <c r="AS41" s="37" t="n">
        <f aca="false">IF((((AR40+AS40)/2))*LN((((AR40+AS40)/2))/(AR$7))+(1-(((AR40+AS40)/2)))*LN((1-(((AR40+AS40)/2)))/(1-(AR$7)))-AR$6&lt;0,AS40,((AR40+AS40)/2))</f>
        <v>0.0836482675047591</v>
      </c>
    </row>
    <row r="42" customFormat="false" ht="15" hidden="false" customHeight="false" outlineLevel="0" collapsed="false">
      <c r="B42" s="37" t="n">
        <f aca="false">IF(B$7*LN(B$7)-B$7*((B41+C41)/2)+(1-B$7)*LN(1-B$7)-(1-B$7)*LN(1-EXP(((B41+C41)/2)))-B$6&gt;0,((B41+C41)/2),B41)</f>
        <v>-12.7416806133863</v>
      </c>
      <c r="C42" s="37" t="n">
        <f aca="false">IF(B$7*LN(B$7)-B$7*((B41+C41)/2)+(1-B$7)*LN(1-B$7)-(1-B$7)*LN(1-EXP(((B41+C41)/2)))-B$6&gt;0,C41,((B41+C41)/2))</f>
        <v>-12.7416806056933</v>
      </c>
      <c r="D42" s="37" t="n">
        <f aca="false">IF(D$7*LN(D$7)-D$7*((D41+E41)/2)+(1-D$7)*LN(1-D$7)-(1-D$7)*LN(1-EXP(((D41+E41)/2)))-D$6&gt;0,((D41+E41)/2),D41)</f>
        <v>-16.0341341219625</v>
      </c>
      <c r="E42" s="37" t="n">
        <f aca="false">IF(D$7*LN(D$7)-D$7*((D41+E41)/2)+(1-D$7)*LN(1-D$7)-(1-D$7)*LN(1-EXP(((D41+E41)/2)))-D$6&gt;0,E41,((D41+E41)/2))</f>
        <v>-16.0341341142695</v>
      </c>
      <c r="F42" s="37" t="n">
        <f aca="false">IF(F$7*LN(F$7)-F$7*((F41+G41)/2)+(1-F$7)*LN(1-F$7)-(1-F$7)*LN(1-EXP(((F41+G41)/2)))-F$6&gt;0,((F41+G41)/2),F41)</f>
        <v>-24.8055675343419</v>
      </c>
      <c r="G42" s="37" t="n">
        <f aca="false">IF(F$7*LN(F$7)-F$7*((F41+G41)/2)+(1-F$7)*LN(1-F$7)-(1-F$7)*LN(1-EXP(((F41+G41)/2)))-F$6&gt;0,G41,((F41+G41)/2))</f>
        <v>-24.805567526649</v>
      </c>
      <c r="H42" s="37" t="n">
        <f aca="false">IF(H$7*LN(H$7)-H$7*((H41+I41)/2)+(1-H$7)*LN(1-H$7)-(1-H$7)*LN(1-EXP(((H41+I41)/2)))-H$6&gt;0,((H41+I41)/2),H41)</f>
        <v>-3.19789114895974</v>
      </c>
      <c r="I42" s="37" t="n">
        <f aca="false">IF(H$7*LN(H$7)-H$7*((H41+I41)/2)+(1-H$7)*LN(1-H$7)-(1-H$7)*LN(1-EXP(((H41+I41)/2)))-H$6&gt;0,I41,((H41+I41)/2))</f>
        <v>-3.1978911412668</v>
      </c>
      <c r="J42" s="37" t="n">
        <f aca="false">IF(J$7*LN(J$7)-J$7*((J41+K41)/2)+(1-J$7)*LN(1-J$7)-(1-J$7)*LN(1-EXP(((J41+K41)/2)))-J$6&gt;0,((J41+K41)/2),J41)</f>
        <v>-3.28605085386635</v>
      </c>
      <c r="K42" s="37" t="n">
        <f aca="false">IF(J$7*LN(J$7)-J$7*((J41+K41)/2)+(1-J$7)*LN(1-J$7)-(1-J$7)*LN(1-EXP(((J41+K41)/2)))-J$6&gt;0,K41,((J41+K41)/2))</f>
        <v>-3.28605084617342</v>
      </c>
      <c r="L42" s="37" t="n">
        <f aca="false">IF(L$7*LN(L$7)-L$7*((L41+M41)/2)+(1-L$7)*LN(1-L$7)-(1-L$7)*LN(1-EXP(((L41+M41)/2)))-L$6&gt;0,((L41+M41)/2),L41)</f>
        <v>-3.46919734470394</v>
      </c>
      <c r="M42" s="37" t="n">
        <f aca="false">IF(L$7*LN(L$7)-L$7*((L41+M41)/2)+(1-L$7)*LN(1-L$7)-(1-L$7)*LN(1-EXP(((L41+M41)/2)))-L$6&gt;0,M41,((L41+M41)/2))</f>
        <v>-3.469197337011</v>
      </c>
      <c r="N42" s="37" t="n">
        <f aca="false">IF(N$7*LN(N$7)-N$7*((N41+O41)/2)+(1-N$7)*LN(1-N$7)-(1-N$7)*LN(1-EXP(((N41+O41)/2)))-N$6&gt;0,((N41+O41)/2),N41)</f>
        <v>-3.68963395233024</v>
      </c>
      <c r="O42" s="37" t="n">
        <f aca="false">IF(N$7*LN(N$7)-N$7*((N41+O41)/2)+(1-N$7)*LN(1-N$7)-(1-N$7)*LN(1-EXP(((N41+O41)/2)))-N$6&gt;0,O41,((N41+O41)/2))</f>
        <v>-3.6896339446373</v>
      </c>
      <c r="P42" s="37" t="n">
        <f aca="false">IF(P$7*LN(P$7)-P$7*((P41+Q41)/2)+(1-P$7)*LN(1-P$7)-(1-P$7)*LN(1-EXP(((P41+Q41)/2)))-P$6&gt;0,((P41+Q41)/2),P41)</f>
        <v>-4.02932209047729</v>
      </c>
      <c r="Q42" s="37" t="n">
        <f aca="false">IF(P$7*LN(P$7)-P$7*((P41+Q41)/2)+(1-P$7)*LN(1-P$7)-(1-P$7)*LN(1-EXP(((P41+Q41)/2)))-P$6&gt;0,Q41,((P41+Q41)/2))</f>
        <v>-4.02932208278435</v>
      </c>
      <c r="R42" s="37" t="n">
        <f aca="false">IF(R$7*LN(R$7)-R$7*((R41+S41)/2)+(1-R$7)*LN(1-R$7)-(1-R$7)*LN(1-EXP(((R41+S41)/2)))-R$6&gt;0,((R41+S41)/2),R41)</f>
        <v>-4.31449878902771</v>
      </c>
      <c r="S42" s="37" t="n">
        <f aca="false">IF(R$7*LN(R$7)-R$7*((R41+S41)/2)+(1-R$7)*LN(1-R$7)-(1-R$7)*LN(1-EXP(((R41+S41)/2)))-R$6&gt;0,S41,((R41+S41)/2))</f>
        <v>-4.31449878133477</v>
      </c>
      <c r="T42" s="37" t="n">
        <f aca="false">IF(T$7*LN(T$7)-T$7*((T41+U41)/2)+(1-T$7)*LN(1-T$7)-(1-T$7)*LN(1-EXP(((T41+U41)/2)))-T$6&gt;0,((T41+U41)/2),T41)</f>
        <v>-4.81575743162454</v>
      </c>
      <c r="U42" s="37" t="n">
        <f aca="false">IF(T$7*LN(T$7)-T$7*((T41+U41)/2)+(1-T$7)*LN(1-T$7)-(1-T$7)*LN(1-EXP(((T41+U41)/2)))-T$6&gt;0,U41,((T41+U41)/2))</f>
        <v>-4.8157574239316</v>
      </c>
      <c r="V42" s="37" t="n">
        <f aca="false">IF(V$7*LN(V$7)-V$7*((V41+W41)/2)+(1-V$7)*LN(1-V$7)-(1-V$7)*LN(1-EXP(((V41+W41)/2)))-V$6&gt;0,((V41+W41)/2),V41)</f>
        <v>-5.38279983505544</v>
      </c>
      <c r="W42" s="37" t="n">
        <f aca="false">IF(V$7*LN(V$7)-V$7*((V41+W41)/2)+(1-V$7)*LN(1-V$7)-(1-V$7)*LN(1-EXP(((V41+W41)/2)))-V$6&gt;0,W41,((V41+W41)/2))</f>
        <v>-5.38279982736251</v>
      </c>
      <c r="X42" s="37" t="n">
        <f aca="false">IF(X$7*LN(X$7)-X$7*((X41+Y41)/2)+(1-X$7)*LN(1-X$7)-(1-X$7)*LN(1-EXP(((X41+Y41)/2)))-X$6&gt;0,((X41+Y41)/2),X41)</f>
        <v>-5.91917523989916</v>
      </c>
      <c r="Y42" s="37" t="n">
        <f aca="false">IF(X$7*LN(X$7)-X$7*((X41+Y41)/2)+(1-X$7)*LN(1-X$7)-(1-X$7)*LN(1-EXP(((X41+Y41)/2)))-X$6&gt;0,Y41,((X41+Y41)/2))</f>
        <v>-5.91917523220622</v>
      </c>
      <c r="Z42" s="37" t="n">
        <f aca="false">IF(Z$7*LN(Z$7)-Z$7*((Z41+AA41)/2)+(1-Z$7)*LN(1-Z$7)-(1-Z$7)*LN(1-EXP(((Z41+AA41)/2)))-Z$6&gt;0,((Z41+AA41)/2),Z41)</f>
        <v>-6.95212068877646</v>
      </c>
      <c r="AA42" s="37" t="n">
        <f aca="false">IF(Z$7*LN(Z$7)-Z$7*((Z41+AA41)/2)+(1-Z$7)*LN(1-Z$7)-(1-Z$7)*LN(1-EXP(((Z41+AA41)/2)))-Z$6&gt;0,AA41,((Z41+AA41)/2))</f>
        <v>-6.95212068108353</v>
      </c>
      <c r="AB42" s="37" t="n">
        <f aca="false">IF((((AB41+AC41)/2))*LN((((AB41+AC41)/2))/(AB$7))+(1-(((AB41+AC41)/2)))*LN((1-(((AB41+AC41)/2)))/(1-(AB$7)))-AB$6&lt;0,((AB41+AC41)/2),AB41)</f>
        <v>0.0600408213213086</v>
      </c>
      <c r="AC42" s="37" t="n">
        <f aca="false">IF((((AB41+AC41)/2))*LN((((AB41+AC41)/2))/(AB$7))+(1-(((AB41+AC41)/2)))*LN((1-(((AB41+AC41)/2)))/(1-(AB$7)))-AB$6&lt;0,AC41,((AB41+AC41)/2))</f>
        <v>0.0600408214319032</v>
      </c>
      <c r="AD42" s="37" t="n">
        <f aca="false">IF((((AD41+AE41)/2))*LN((((AD41+AE41)/2))/(AD$7))+(1-(((AD41+AE41)/2)))*LN((1-(((AD41+AE41)/2)))/(1-(AD$7)))-AD$6&lt;0,((AD41+AE41)/2),AD41)</f>
        <v>0.0677518178068567</v>
      </c>
      <c r="AE42" s="37" t="n">
        <f aca="false">IF((((AD41+AE41)/2))*LN((((AD41+AE41)/2))/(AD$7))+(1-(((AD41+AE41)/2)))*LN((1-(((AD41+AE41)/2)))/(1-(AD$7)))-AD$6&lt;0,AE41,((AD41+AE41)/2))</f>
        <v>0.0677518179174512</v>
      </c>
      <c r="AF42" s="37" t="n">
        <f aca="false">IF((((AF41+AG41)/2))*LN((((AF41+AG41)/2))/(AF$7))+(1-(((AF41+AG41)/2)))*LN((1-(((AF41+AG41)/2)))/(1-(AF$7)))-AF$6&lt;0,((AF41+AG41)/2),AF41)</f>
        <v>0.0836482673941645</v>
      </c>
      <c r="AG42" s="37" t="n">
        <f aca="false">IF((((AF41+AG41)/2))*LN((((AF41+AG41)/2))/(AF$7))+(1-(((AF41+AG41)/2)))*LN((1-(((AF41+AG41)/2)))/(1-(AF$7)))-AF$6&lt;0,AG41,((AF41+AG41)/2))</f>
        <v>0.0836482675047591</v>
      </c>
      <c r="AH42" s="37" t="n">
        <f aca="false">IF((((AH41+AI41)/2))*LN((((AH41+AI41)/2))/(AH$7))+(1-(((AH41+AI41)/2)))*LN((1-(((AH41+AI41)/2)))/(1-(AH$7)))-AH$6&lt;0,((AH41+AI41)/2),AH41)</f>
        <v>0.111548048205441</v>
      </c>
      <c r="AI42" s="37" t="n">
        <f aca="false">IF((((AH41+AI41)/2))*LN((((AH41+AI41)/2))/(AH$7))+(1-(((AH41+AI41)/2)))*LN((1-(((AH41+AI41)/2)))/(1-(AH$7)))-AH$6&lt;0,AI41,((AH41+AI41)/2))</f>
        <v>0.111548048316035</v>
      </c>
      <c r="AJ42" s="37" t="n">
        <f aca="false">IF((((AJ41+AK41)/2))*LN((((AJ41+AK41)/2))/(AJ$7))+(1-(((AJ41+AK41)/2)))*LN((1-(((AJ41+AK41)/2)))/(1-(AJ$7)))-AJ$6&lt;0,((AJ41+AK41)/2),AJ41)</f>
        <v>0.17294934761012</v>
      </c>
      <c r="AK42" s="37" t="n">
        <f aca="false">IF((((AJ41+AK41)/2))*LN((((AJ41+AK41)/2))/(AJ$7))+(1-(((AJ41+AK41)/2)))*LN((1-(((AJ41+AK41)/2)))/(1-(AJ$7)))-AJ$6&lt;0,AK41,((AJ41+AK41)/2))</f>
        <v>0.172949347720714</v>
      </c>
      <c r="AL42" s="37" t="n">
        <f aca="false">IF((((AL41+AM41)/2))*LN((((AL41+AM41)/2))/(AL$7))+(1-(((AL41+AM41)/2)))*LN((1-(((AL41+AM41)/2)))/(1-(AL$7)))-AL$6&lt;0,((AL41+AM41)/2),AL41)</f>
        <v>0.288519197289133</v>
      </c>
      <c r="AM42" s="37" t="n">
        <f aca="false">IF((((AL41+AM41)/2))*LN((((AL41+AM41)/2))/(AL$7))+(1-(((AL41+AM41)/2)))*LN((1-(((AL41+AM41)/2)))/(1-(AL$7)))-AL$6&lt;0,AM41,((AL41+AM41)/2))</f>
        <v>0.288519197399728</v>
      </c>
      <c r="AN42" s="37" t="n">
        <f aca="false">IF((((AN41+AO41)/2))*LN((((AN41+AO41)/2))/(AN$7))+(1-(((AN41+AO41)/2)))*LN((1-(((AN41+AO41)/2)))/(1-(AN$7)))-AN$6&lt;0,((AN41+AO41)/2),AN41)</f>
        <v>0.555514150398084</v>
      </c>
      <c r="AO42" s="37" t="n">
        <f aca="false">IF((((AN41+AO41)/2))*LN((((AN41+AO41)/2))/(AN$7))+(1-(((AN41+AO41)/2)))*LN((1-(((AN41+AO41)/2)))/(1-(AN$7)))-AN$6&lt;0,AO41,((AN41+AO41)/2))</f>
        <v>0.555514150508679</v>
      </c>
      <c r="AP42" s="37" t="n">
        <f aca="false">IF(AP$7*LN(AP$7)-AP$7*((AP41+AQ41)/2)+(1-AP$7)*LN(1-AP$7)-(1-AP$7)*LN(1-EXP(((AP41+AQ41)/2)))-AP$6&gt;0,((AP41+AQ41)/2),AP41)</f>
        <v>-3.68963395233024</v>
      </c>
      <c r="AQ42" s="37" t="n">
        <f aca="false">IF(AP$7*LN(AP$7)-AP$7*((AP41+AQ41)/2)+(1-AP$7)*LN(1-AP$7)-(1-AP$7)*LN(1-EXP(((AP41+AQ41)/2)))-AP$6&gt;0,AQ41,((AP41+AQ41)/2))</f>
        <v>-3.6896339446373</v>
      </c>
      <c r="AR42" s="37" t="n">
        <f aca="false">IF((((AR41+AS41)/2))*LN((((AR41+AS41)/2))/(AR$7))+(1-(((AR41+AS41)/2)))*LN((1-(((AR41+AS41)/2)))/(1-(AR$7)))-AR$6&lt;0,((AR41+AS41)/2),AR41)</f>
        <v>0.0836482673941645</v>
      </c>
      <c r="AS42" s="37" t="n">
        <f aca="false">IF((((AR41+AS41)/2))*LN((((AR41+AS41)/2))/(AR$7))+(1-(((AR41+AS41)/2)))*LN((1-(((AR41+AS41)/2)))/(1-(AR$7)))-AR$6&lt;0,AS41,((AR41+AS41)/2))</f>
        <v>0.0836482675047591</v>
      </c>
    </row>
    <row r="43" customFormat="false" ht="15" hidden="false" customHeight="false" outlineLevel="0" collapsed="false">
      <c r="B43" s="37" t="n">
        <f aca="false">IF(B$7*LN(B$7)-B$7*((B42+C42)/2)+(1-B$7)*LN(1-B$7)-(1-B$7)*LN(1-EXP(((B42+C42)/2)))-B$6&gt;0,((B42+C42)/2),B42)</f>
        <v>-12.7416806095398</v>
      </c>
      <c r="C43" s="37" t="n">
        <f aca="false">IF(B$7*LN(B$7)-B$7*((B42+C42)/2)+(1-B$7)*LN(1-B$7)-(1-B$7)*LN(1-EXP(((B42+C42)/2)))-B$6&gt;0,C42,((B42+C42)/2))</f>
        <v>-12.7416806056933</v>
      </c>
      <c r="D43" s="37" t="n">
        <f aca="false">IF(D$7*LN(D$7)-D$7*((D42+E42)/2)+(1-D$7)*LN(1-D$7)-(1-D$7)*LN(1-EXP(((D42+E42)/2)))-D$6&gt;0,((D42+E42)/2),D42)</f>
        <v>-16.0341341219625</v>
      </c>
      <c r="E43" s="37" t="n">
        <f aca="false">IF(D$7*LN(D$7)-D$7*((D42+E42)/2)+(1-D$7)*LN(1-D$7)-(1-D$7)*LN(1-EXP(((D42+E42)/2)))-D$6&gt;0,E42,((D42+E42)/2))</f>
        <v>-16.034134118116</v>
      </c>
      <c r="F43" s="37" t="n">
        <f aca="false">IF(F$7*LN(F$7)-F$7*((F42+G42)/2)+(1-F$7)*LN(1-F$7)-(1-F$7)*LN(1-EXP(((F42+G42)/2)))-F$6&gt;0,((F42+G42)/2),F42)</f>
        <v>-24.8055675343419</v>
      </c>
      <c r="G43" s="37" t="n">
        <f aca="false">IF(F$7*LN(F$7)-F$7*((F42+G42)/2)+(1-F$7)*LN(1-F$7)-(1-F$7)*LN(1-EXP(((F42+G42)/2)))-F$6&gt;0,G42,((F42+G42)/2))</f>
        <v>-24.8055675304955</v>
      </c>
      <c r="H43" s="37" t="n">
        <f aca="false">IF(H$7*LN(H$7)-H$7*((H42+I42)/2)+(1-H$7)*LN(1-H$7)-(1-H$7)*LN(1-EXP(((H42+I42)/2)))-H$6&gt;0,((H42+I42)/2),H42)</f>
        <v>-3.19789114511327</v>
      </c>
      <c r="I43" s="37" t="n">
        <f aca="false">IF(H$7*LN(H$7)-H$7*((H42+I42)/2)+(1-H$7)*LN(1-H$7)-(1-H$7)*LN(1-EXP(((H42+I42)/2)))-H$6&gt;0,I42,((H42+I42)/2))</f>
        <v>-3.1978911412668</v>
      </c>
      <c r="J43" s="37" t="n">
        <f aca="false">IF(J$7*LN(J$7)-J$7*((J42+K42)/2)+(1-J$7)*LN(1-J$7)-(1-J$7)*LN(1-EXP(((J42+K42)/2)))-J$6&gt;0,((J42+K42)/2),J42)</f>
        <v>-3.28605085386635</v>
      </c>
      <c r="K43" s="37" t="n">
        <f aca="false">IF(J$7*LN(J$7)-J$7*((J42+K42)/2)+(1-J$7)*LN(1-J$7)-(1-J$7)*LN(1-EXP(((J42+K42)/2)))-J$6&gt;0,K42,((J42+K42)/2))</f>
        <v>-3.28605085001988</v>
      </c>
      <c r="L43" s="37" t="n">
        <f aca="false">IF(L$7*LN(L$7)-L$7*((L42+M42)/2)+(1-L$7)*LN(1-L$7)-(1-L$7)*LN(1-EXP(((L42+M42)/2)))-L$6&gt;0,((L42+M42)/2),L42)</f>
        <v>-3.46919734085747</v>
      </c>
      <c r="M43" s="37" t="n">
        <f aca="false">IF(L$7*LN(L$7)-L$7*((L42+M42)/2)+(1-L$7)*LN(1-L$7)-(1-L$7)*LN(1-EXP(((L42+M42)/2)))-L$6&gt;0,M42,((L42+M42)/2))</f>
        <v>-3.469197337011</v>
      </c>
      <c r="N43" s="37" t="n">
        <f aca="false">IF(N$7*LN(N$7)-N$7*((N42+O42)/2)+(1-N$7)*LN(1-N$7)-(1-N$7)*LN(1-EXP(((N42+O42)/2)))-N$6&gt;0,((N42+O42)/2),N42)</f>
        <v>-3.68963394848377</v>
      </c>
      <c r="O43" s="37" t="n">
        <f aca="false">IF(N$7*LN(N$7)-N$7*((N42+O42)/2)+(1-N$7)*LN(1-N$7)-(1-N$7)*LN(1-EXP(((N42+O42)/2)))-N$6&gt;0,O42,((N42+O42)/2))</f>
        <v>-3.6896339446373</v>
      </c>
      <c r="P43" s="37" t="n">
        <f aca="false">IF(P$7*LN(P$7)-P$7*((P42+Q42)/2)+(1-P$7)*LN(1-P$7)-(1-P$7)*LN(1-EXP(((P42+Q42)/2)))-P$6&gt;0,((P42+Q42)/2),P42)</f>
        <v>-4.02932208663082</v>
      </c>
      <c r="Q43" s="37" t="n">
        <f aca="false">IF(P$7*LN(P$7)-P$7*((P42+Q42)/2)+(1-P$7)*LN(1-P$7)-(1-P$7)*LN(1-EXP(((P42+Q42)/2)))-P$6&gt;0,Q42,((P42+Q42)/2))</f>
        <v>-4.02932208278435</v>
      </c>
      <c r="R43" s="37" t="n">
        <f aca="false">IF(R$7*LN(R$7)-R$7*((R42+S42)/2)+(1-R$7)*LN(1-R$7)-(1-R$7)*LN(1-EXP(((R42+S42)/2)))-R$6&gt;0,((R42+S42)/2),R42)</f>
        <v>-4.31449878902771</v>
      </c>
      <c r="S43" s="37" t="n">
        <f aca="false">IF(R$7*LN(R$7)-R$7*((R42+S42)/2)+(1-R$7)*LN(1-R$7)-(1-R$7)*LN(1-EXP(((R42+S42)/2)))-R$6&gt;0,S42,((R42+S42)/2))</f>
        <v>-4.31449878518124</v>
      </c>
      <c r="T43" s="37" t="n">
        <f aca="false">IF(T$7*LN(T$7)-T$7*((T42+U42)/2)+(1-T$7)*LN(1-T$7)-(1-T$7)*LN(1-EXP(((T42+U42)/2)))-T$6&gt;0,((T42+U42)/2),T42)</f>
        <v>-4.81575742777807</v>
      </c>
      <c r="U43" s="37" t="n">
        <f aca="false">IF(T$7*LN(T$7)-T$7*((T42+U42)/2)+(1-T$7)*LN(1-T$7)-(1-T$7)*LN(1-EXP(((T42+U42)/2)))-T$6&gt;0,U42,((T42+U42)/2))</f>
        <v>-4.8157574239316</v>
      </c>
      <c r="V43" s="37" t="n">
        <f aca="false">IF(V$7*LN(V$7)-V$7*((V42+W42)/2)+(1-V$7)*LN(1-V$7)-(1-V$7)*LN(1-EXP(((V42+W42)/2)))-V$6&gt;0,((V42+W42)/2),V42)</f>
        <v>-5.38279983505544</v>
      </c>
      <c r="W43" s="37" t="n">
        <f aca="false">IF(V$7*LN(V$7)-V$7*((V42+W42)/2)+(1-V$7)*LN(1-V$7)-(1-V$7)*LN(1-EXP(((V42+W42)/2)))-V$6&gt;0,W42,((V42+W42)/2))</f>
        <v>-5.38279983120897</v>
      </c>
      <c r="X43" s="37" t="n">
        <f aca="false">IF(X$7*LN(X$7)-X$7*((X42+Y42)/2)+(1-X$7)*LN(1-X$7)-(1-X$7)*LN(1-EXP(((X42+Y42)/2)))-X$6&gt;0,((X42+Y42)/2),X42)</f>
        <v>-5.91917523605269</v>
      </c>
      <c r="Y43" s="37" t="n">
        <f aca="false">IF(X$7*LN(X$7)-X$7*((X42+Y42)/2)+(1-X$7)*LN(1-X$7)-(1-X$7)*LN(1-EXP(((X42+Y42)/2)))-X$6&gt;0,Y42,((X42+Y42)/2))</f>
        <v>-5.91917523220622</v>
      </c>
      <c r="Z43" s="37" t="n">
        <f aca="false">IF(Z$7*LN(Z$7)-Z$7*((Z42+AA42)/2)+(1-Z$7)*LN(1-Z$7)-(1-Z$7)*LN(1-EXP(((Z42+AA42)/2)))-Z$6&gt;0,((Z42+AA42)/2),Z42)</f>
        <v>-6.95212068877646</v>
      </c>
      <c r="AA43" s="37" t="n">
        <f aca="false">IF(Z$7*LN(Z$7)-Z$7*((Z42+AA42)/2)+(1-Z$7)*LN(1-Z$7)-(1-Z$7)*LN(1-EXP(((Z42+AA42)/2)))-Z$6&gt;0,AA42,((Z42+AA42)/2))</f>
        <v>-6.95212068492999</v>
      </c>
      <c r="AB43" s="37" t="n">
        <f aca="false">IF((((AB42+AC42)/2))*LN((((AB42+AC42)/2))/(AB$7))+(1-(((AB42+AC42)/2)))*LN((1-(((AB42+AC42)/2)))/(1-(AB$7)))-AB$6&lt;0,((AB42+AC42)/2),AB42)</f>
        <v>0.0600408213766059</v>
      </c>
      <c r="AC43" s="37" t="n">
        <f aca="false">IF((((AB42+AC42)/2))*LN((((AB42+AC42)/2))/(AB$7))+(1-(((AB42+AC42)/2)))*LN((1-(((AB42+AC42)/2)))/(1-(AB$7)))-AB$6&lt;0,AC42,((AB42+AC42)/2))</f>
        <v>0.0600408214319032</v>
      </c>
      <c r="AD43" s="37" t="n">
        <f aca="false">IF((((AD42+AE42)/2))*LN((((AD42+AE42)/2))/(AD$7))+(1-(((AD42+AE42)/2)))*LN((1-(((AD42+AE42)/2)))/(1-(AD$7)))-AD$6&lt;0,((AD42+AE42)/2),AD42)</f>
        <v>0.067751817862154</v>
      </c>
      <c r="AE43" s="37" t="n">
        <f aca="false">IF((((AD42+AE42)/2))*LN((((AD42+AE42)/2))/(AD$7))+(1-(((AD42+AE42)/2)))*LN((1-(((AD42+AE42)/2)))/(1-(AD$7)))-AD$6&lt;0,AE42,((AD42+AE42)/2))</f>
        <v>0.0677518179174512</v>
      </c>
      <c r="AF43" s="37" t="n">
        <f aca="false">IF((((AF42+AG42)/2))*LN((((AF42+AG42)/2))/(AF$7))+(1-(((AF42+AG42)/2)))*LN((1-(((AF42+AG42)/2)))/(1-(AF$7)))-AF$6&lt;0,((AF42+AG42)/2),AF42)</f>
        <v>0.0836482674494618</v>
      </c>
      <c r="AG43" s="37" t="n">
        <f aca="false">IF((((AF42+AG42)/2))*LN((((AF42+AG42)/2))/(AF$7))+(1-(((AF42+AG42)/2)))*LN((1-(((AF42+AG42)/2)))/(1-(AF$7)))-AF$6&lt;0,AG42,((AF42+AG42)/2))</f>
        <v>0.0836482675047591</v>
      </c>
      <c r="AH43" s="37" t="n">
        <f aca="false">IF((((AH42+AI42)/2))*LN((((AH42+AI42)/2))/(AH$7))+(1-(((AH42+AI42)/2)))*LN((1-(((AH42+AI42)/2)))/(1-(AH$7)))-AH$6&lt;0,((AH42+AI42)/2),AH42)</f>
        <v>0.111548048205441</v>
      </c>
      <c r="AI43" s="37" t="n">
        <f aca="false">IF((((AH42+AI42)/2))*LN((((AH42+AI42)/2))/(AH$7))+(1-(((AH42+AI42)/2)))*LN((1-(((AH42+AI42)/2)))/(1-(AH$7)))-AH$6&lt;0,AI42,((AH42+AI42)/2))</f>
        <v>0.111548048260738</v>
      </c>
      <c r="AJ43" s="37" t="n">
        <f aca="false">IF((((AJ42+AK42)/2))*LN((((AJ42+AK42)/2))/(AJ$7))+(1-(((AJ42+AK42)/2)))*LN((1-(((AJ42+AK42)/2)))/(1-(AJ$7)))-AJ$6&lt;0,((AJ42+AK42)/2),AJ42)</f>
        <v>0.172949347665417</v>
      </c>
      <c r="AK43" s="37" t="n">
        <f aca="false">IF((((AJ42+AK42)/2))*LN((((AJ42+AK42)/2))/(AJ$7))+(1-(((AJ42+AK42)/2)))*LN((1-(((AJ42+AK42)/2)))/(1-(AJ$7)))-AJ$6&lt;0,AK42,((AJ42+AK42)/2))</f>
        <v>0.172949347720714</v>
      </c>
      <c r="AL43" s="37" t="n">
        <f aca="false">IF((((AL42+AM42)/2))*LN((((AL42+AM42)/2))/(AL$7))+(1-(((AL42+AM42)/2)))*LN((1-(((AL42+AM42)/2)))/(1-(AL$7)))-AL$6&lt;0,((AL42+AM42)/2),AL42)</f>
        <v>0.288519197289133</v>
      </c>
      <c r="AM43" s="37" t="n">
        <f aca="false">IF((((AL42+AM42)/2))*LN((((AL42+AM42)/2))/(AL$7))+(1-(((AL42+AM42)/2)))*LN((1-(((AL42+AM42)/2)))/(1-(AL$7)))-AL$6&lt;0,AM42,((AL42+AM42)/2))</f>
        <v>0.288519197344431</v>
      </c>
      <c r="AN43" s="37" t="n">
        <f aca="false">IF((((AN42+AO42)/2))*LN((((AN42+AO42)/2))/(AN$7))+(1-(((AN42+AO42)/2)))*LN((1-(((AN42+AO42)/2)))/(1-(AN$7)))-AN$6&lt;0,((AN42+AO42)/2),AN42)</f>
        <v>0.555514150398084</v>
      </c>
      <c r="AO43" s="37" t="n">
        <f aca="false">IF((((AN42+AO42)/2))*LN((((AN42+AO42)/2))/(AN$7))+(1-(((AN42+AO42)/2)))*LN((1-(((AN42+AO42)/2)))/(1-(AN$7)))-AN$6&lt;0,AO42,((AN42+AO42)/2))</f>
        <v>0.555514150453382</v>
      </c>
      <c r="AP43" s="37" t="n">
        <f aca="false">IF(AP$7*LN(AP$7)-AP$7*((AP42+AQ42)/2)+(1-AP$7)*LN(1-AP$7)-(1-AP$7)*LN(1-EXP(((AP42+AQ42)/2)))-AP$6&gt;0,((AP42+AQ42)/2),AP42)</f>
        <v>-3.68963394848377</v>
      </c>
      <c r="AQ43" s="37" t="n">
        <f aca="false">IF(AP$7*LN(AP$7)-AP$7*((AP42+AQ42)/2)+(1-AP$7)*LN(1-AP$7)-(1-AP$7)*LN(1-EXP(((AP42+AQ42)/2)))-AP$6&gt;0,AQ42,((AP42+AQ42)/2))</f>
        <v>-3.6896339446373</v>
      </c>
      <c r="AR43" s="37" t="n">
        <f aca="false">IF((((AR42+AS42)/2))*LN((((AR42+AS42)/2))/(AR$7))+(1-(((AR42+AS42)/2)))*LN((1-(((AR42+AS42)/2)))/(1-(AR$7)))-AR$6&lt;0,((AR42+AS42)/2),AR42)</f>
        <v>0.0836482674494618</v>
      </c>
      <c r="AS43" s="37" t="n">
        <f aca="false">IF((((AR42+AS42)/2))*LN((((AR42+AS42)/2))/(AR$7))+(1-(((AR42+AS42)/2)))*LN((1-(((AR42+AS42)/2)))/(1-(AR$7)))-AR$6&lt;0,AS42,((AR42+AS42)/2))</f>
        <v>0.0836482675047591</v>
      </c>
    </row>
    <row r="44" customFormat="false" ht="15" hidden="false" customHeight="false" outlineLevel="0" collapsed="false">
      <c r="B44" s="37" t="n">
        <f aca="false">IF(B$7*LN(B$7)-B$7*((B43+C43)/2)+(1-B$7)*LN(1-B$7)-(1-B$7)*LN(1-EXP(((B43+C43)/2)))-B$6&gt;0,((B43+C43)/2),B43)</f>
        <v>-12.7416806095398</v>
      </c>
      <c r="C44" s="37" t="n">
        <f aca="false">IF(B$7*LN(B$7)-B$7*((B43+C43)/2)+(1-B$7)*LN(1-B$7)-(1-B$7)*LN(1-EXP(((B43+C43)/2)))-B$6&gt;0,C43,((B43+C43)/2))</f>
        <v>-12.7416806076166</v>
      </c>
      <c r="D44" s="37" t="n">
        <f aca="false">IF(D$7*LN(D$7)-D$7*((D43+E43)/2)+(1-D$7)*LN(1-D$7)-(1-D$7)*LN(1-EXP(((D43+E43)/2)))-D$6&gt;0,((D43+E43)/2),D43)</f>
        <v>-16.0341341200392</v>
      </c>
      <c r="E44" s="37" t="n">
        <f aca="false">IF(D$7*LN(D$7)-D$7*((D43+E43)/2)+(1-D$7)*LN(1-D$7)-(1-D$7)*LN(1-EXP(((D43+E43)/2)))-D$6&gt;0,E43,((D43+E43)/2))</f>
        <v>-16.034134118116</v>
      </c>
      <c r="F44" s="37" t="n">
        <f aca="false">IF(F$7*LN(F$7)-F$7*((F43+G43)/2)+(1-F$7)*LN(1-F$7)-(1-F$7)*LN(1-EXP(((F43+G43)/2)))-F$6&gt;0,((F43+G43)/2),F43)</f>
        <v>-24.8055675324187</v>
      </c>
      <c r="G44" s="37" t="n">
        <f aca="false">IF(F$7*LN(F$7)-F$7*((F43+G43)/2)+(1-F$7)*LN(1-F$7)-(1-F$7)*LN(1-EXP(((F43+G43)/2)))-F$6&gt;0,G43,((F43+G43)/2))</f>
        <v>-24.8055675304955</v>
      </c>
      <c r="H44" s="37" t="n">
        <f aca="false">IF(H$7*LN(H$7)-H$7*((H43+I43)/2)+(1-H$7)*LN(1-H$7)-(1-H$7)*LN(1-EXP(((H43+I43)/2)))-H$6&gt;0,((H43+I43)/2),H43)</f>
        <v>-3.19789114319004</v>
      </c>
      <c r="I44" s="37" t="n">
        <f aca="false">IF(H$7*LN(H$7)-H$7*((H43+I43)/2)+(1-H$7)*LN(1-H$7)-(1-H$7)*LN(1-EXP(((H43+I43)/2)))-H$6&gt;0,I43,((H43+I43)/2))</f>
        <v>-3.1978911412668</v>
      </c>
      <c r="J44" s="37" t="n">
        <f aca="false">IF(J$7*LN(J$7)-J$7*((J43+K43)/2)+(1-J$7)*LN(1-J$7)-(1-J$7)*LN(1-EXP(((J43+K43)/2)))-J$6&gt;0,((J43+K43)/2),J43)</f>
        <v>-3.28605085386635</v>
      </c>
      <c r="K44" s="37" t="n">
        <f aca="false">IF(J$7*LN(J$7)-J$7*((J43+K43)/2)+(1-J$7)*LN(1-J$7)-(1-J$7)*LN(1-EXP(((J43+K43)/2)))-J$6&gt;0,K43,((J43+K43)/2))</f>
        <v>-3.28605085194312</v>
      </c>
      <c r="L44" s="37" t="n">
        <f aca="false">IF(L$7*LN(L$7)-L$7*((L43+M43)/2)+(1-L$7)*LN(1-L$7)-(1-L$7)*LN(1-EXP(((L43+M43)/2)))-L$6&gt;0,((L43+M43)/2),L43)</f>
        <v>-3.46919733893424</v>
      </c>
      <c r="M44" s="37" t="n">
        <f aca="false">IF(L$7*LN(L$7)-L$7*((L43+M43)/2)+(1-L$7)*LN(1-L$7)-(1-L$7)*LN(1-EXP(((L43+M43)/2)))-L$6&gt;0,M43,((L43+M43)/2))</f>
        <v>-3.469197337011</v>
      </c>
      <c r="N44" s="37" t="n">
        <f aca="false">IF(N$7*LN(N$7)-N$7*((N43+O43)/2)+(1-N$7)*LN(1-N$7)-(1-N$7)*LN(1-EXP(((N43+O43)/2)))-N$6&gt;0,((N43+O43)/2),N43)</f>
        <v>-3.68963394656054</v>
      </c>
      <c r="O44" s="37" t="n">
        <f aca="false">IF(N$7*LN(N$7)-N$7*((N43+O43)/2)+(1-N$7)*LN(1-N$7)-(1-N$7)*LN(1-EXP(((N43+O43)/2)))-N$6&gt;0,O43,((N43+O43)/2))</f>
        <v>-3.6896339446373</v>
      </c>
      <c r="P44" s="37" t="n">
        <f aca="false">IF(P$7*LN(P$7)-P$7*((P43+Q43)/2)+(1-P$7)*LN(1-P$7)-(1-P$7)*LN(1-EXP(((P43+Q43)/2)))-P$6&gt;0,((P43+Q43)/2),P43)</f>
        <v>-4.02932208470758</v>
      </c>
      <c r="Q44" s="37" t="n">
        <f aca="false">IF(P$7*LN(P$7)-P$7*((P43+Q43)/2)+(1-P$7)*LN(1-P$7)-(1-P$7)*LN(1-EXP(((P43+Q43)/2)))-P$6&gt;0,Q43,((P43+Q43)/2))</f>
        <v>-4.02932208278435</v>
      </c>
      <c r="R44" s="37" t="n">
        <f aca="false">IF(R$7*LN(R$7)-R$7*((R43+S43)/2)+(1-R$7)*LN(1-R$7)-(1-R$7)*LN(1-EXP(((R43+S43)/2)))-R$6&gt;0,((R43+S43)/2),R43)</f>
        <v>-4.31449878710447</v>
      </c>
      <c r="S44" s="37" t="n">
        <f aca="false">IF(R$7*LN(R$7)-R$7*((R43+S43)/2)+(1-R$7)*LN(1-R$7)-(1-R$7)*LN(1-EXP(((R43+S43)/2)))-R$6&gt;0,S43,((R43+S43)/2))</f>
        <v>-4.31449878518124</v>
      </c>
      <c r="T44" s="37" t="n">
        <f aca="false">IF(T$7*LN(T$7)-T$7*((T43+U43)/2)+(1-T$7)*LN(1-T$7)-(1-T$7)*LN(1-EXP(((T43+U43)/2)))-T$6&gt;0,((T43+U43)/2),T43)</f>
        <v>-4.81575742585483</v>
      </c>
      <c r="U44" s="37" t="n">
        <f aca="false">IF(T$7*LN(T$7)-T$7*((T43+U43)/2)+(1-T$7)*LN(1-T$7)-(1-T$7)*LN(1-EXP(((T43+U43)/2)))-T$6&gt;0,U43,((T43+U43)/2))</f>
        <v>-4.8157574239316</v>
      </c>
      <c r="V44" s="37" t="n">
        <f aca="false">IF(V$7*LN(V$7)-V$7*((V43+W43)/2)+(1-V$7)*LN(1-V$7)-(1-V$7)*LN(1-EXP(((V43+W43)/2)))-V$6&gt;0,((V43+W43)/2),V43)</f>
        <v>-5.38279983505544</v>
      </c>
      <c r="W44" s="37" t="n">
        <f aca="false">IF(V$7*LN(V$7)-V$7*((V43+W43)/2)+(1-V$7)*LN(1-V$7)-(1-V$7)*LN(1-EXP(((V43+W43)/2)))-V$6&gt;0,W43,((V43+W43)/2))</f>
        <v>-5.38279983313221</v>
      </c>
      <c r="X44" s="37" t="n">
        <f aca="false">IF(X$7*LN(X$7)-X$7*((X43+Y43)/2)+(1-X$7)*LN(1-X$7)-(1-X$7)*LN(1-EXP(((X43+Y43)/2)))-X$6&gt;0,((X43+Y43)/2),X43)</f>
        <v>-5.91917523412946</v>
      </c>
      <c r="Y44" s="37" t="n">
        <f aca="false">IF(X$7*LN(X$7)-X$7*((X43+Y43)/2)+(1-X$7)*LN(1-X$7)-(1-X$7)*LN(1-EXP(((X43+Y43)/2)))-X$6&gt;0,Y43,((X43+Y43)/2))</f>
        <v>-5.91917523220622</v>
      </c>
      <c r="Z44" s="37" t="n">
        <f aca="false">IF(Z$7*LN(Z$7)-Z$7*((Z43+AA43)/2)+(1-Z$7)*LN(1-Z$7)-(1-Z$7)*LN(1-EXP(((Z43+AA43)/2)))-Z$6&gt;0,((Z43+AA43)/2),Z43)</f>
        <v>-6.95212068685323</v>
      </c>
      <c r="AA44" s="37" t="n">
        <f aca="false">IF(Z$7*LN(Z$7)-Z$7*((Z43+AA43)/2)+(1-Z$7)*LN(1-Z$7)-(1-Z$7)*LN(1-EXP(((Z43+AA43)/2)))-Z$6&gt;0,AA43,((Z43+AA43)/2))</f>
        <v>-6.95212068492999</v>
      </c>
      <c r="AB44" s="37" t="n">
        <f aca="false">IF((((AB43+AC43)/2))*LN((((AB43+AC43)/2))/(AB$7))+(1-(((AB43+AC43)/2)))*LN((1-(((AB43+AC43)/2)))/(1-(AB$7)))-AB$6&lt;0,((AB43+AC43)/2),AB43)</f>
        <v>0.0600408213766059</v>
      </c>
      <c r="AC44" s="37" t="n">
        <f aca="false">IF((((AB43+AC43)/2))*LN((((AB43+AC43)/2))/(AB$7))+(1-(((AB43+AC43)/2)))*LN((1-(((AB43+AC43)/2)))/(1-(AB$7)))-AB$6&lt;0,AC43,((AB43+AC43)/2))</f>
        <v>0.0600408214042545</v>
      </c>
      <c r="AD44" s="37" t="n">
        <f aca="false">IF((((AD43+AE43)/2))*LN((((AD43+AE43)/2))/(AD$7))+(1-(((AD43+AE43)/2)))*LN((1-(((AD43+AE43)/2)))/(1-(AD$7)))-AD$6&lt;0,((AD43+AE43)/2),AD43)</f>
        <v>0.067751817862154</v>
      </c>
      <c r="AE44" s="37" t="n">
        <f aca="false">IF((((AD43+AE43)/2))*LN((((AD43+AE43)/2))/(AD$7))+(1-(((AD43+AE43)/2)))*LN((1-(((AD43+AE43)/2)))/(1-(AD$7)))-AD$6&lt;0,AE43,((AD43+AE43)/2))</f>
        <v>0.0677518178898026</v>
      </c>
      <c r="AF44" s="37" t="n">
        <f aca="false">IF((((AF43+AG43)/2))*LN((((AF43+AG43)/2))/(AF$7))+(1-(((AF43+AG43)/2)))*LN((1-(((AF43+AG43)/2)))/(1-(AF$7)))-AF$6&lt;0,((AF43+AG43)/2),AF43)</f>
        <v>0.0836482674771105</v>
      </c>
      <c r="AG44" s="37" t="n">
        <f aca="false">IF((((AF43+AG43)/2))*LN((((AF43+AG43)/2))/(AF$7))+(1-(((AF43+AG43)/2)))*LN((1-(((AF43+AG43)/2)))/(1-(AF$7)))-AF$6&lt;0,AG43,((AF43+AG43)/2))</f>
        <v>0.0836482675047591</v>
      </c>
      <c r="AH44" s="37" t="n">
        <f aca="false">IF((((AH43+AI43)/2))*LN((((AH43+AI43)/2))/(AH$7))+(1-(((AH43+AI43)/2)))*LN((1-(((AH43+AI43)/2)))/(1-(AH$7)))-AH$6&lt;0,((AH43+AI43)/2),AH43)</f>
        <v>0.111548048205441</v>
      </c>
      <c r="AI44" s="37" t="n">
        <f aca="false">IF((((AH43+AI43)/2))*LN((((AH43+AI43)/2))/(AH$7))+(1-(((AH43+AI43)/2)))*LN((1-(((AH43+AI43)/2)))/(1-(AH$7)))-AH$6&lt;0,AI43,((AH43+AI43)/2))</f>
        <v>0.111548048233089</v>
      </c>
      <c r="AJ44" s="37" t="n">
        <f aca="false">IF((((AJ43+AK43)/2))*LN((((AJ43+AK43)/2))/(AJ$7))+(1-(((AJ43+AK43)/2)))*LN((1-(((AJ43+AK43)/2)))/(1-(AJ$7)))-AJ$6&lt;0,((AJ43+AK43)/2),AJ43)</f>
        <v>0.172949347693065</v>
      </c>
      <c r="AK44" s="37" t="n">
        <f aca="false">IF((((AJ43+AK43)/2))*LN((((AJ43+AK43)/2))/(AJ$7))+(1-(((AJ43+AK43)/2)))*LN((1-(((AJ43+AK43)/2)))/(1-(AJ$7)))-AJ$6&lt;0,AK43,((AJ43+AK43)/2))</f>
        <v>0.172949347720714</v>
      </c>
      <c r="AL44" s="37" t="n">
        <f aca="false">IF((((AL43+AM43)/2))*LN((((AL43+AM43)/2))/(AL$7))+(1-(((AL43+AM43)/2)))*LN((1-(((AL43+AM43)/2)))/(1-(AL$7)))-AL$6&lt;0,((AL43+AM43)/2),AL43)</f>
        <v>0.288519197316782</v>
      </c>
      <c r="AM44" s="37" t="n">
        <f aca="false">IF((((AL43+AM43)/2))*LN((((AL43+AM43)/2))/(AL$7))+(1-(((AL43+AM43)/2)))*LN((1-(((AL43+AM43)/2)))/(1-(AL$7)))-AL$6&lt;0,AM43,((AL43+AM43)/2))</f>
        <v>0.288519197344431</v>
      </c>
      <c r="AN44" s="37" t="n">
        <f aca="false">IF((((AN43+AO43)/2))*LN((((AN43+AO43)/2))/(AN$7))+(1-(((AN43+AO43)/2)))*LN((1-(((AN43+AO43)/2)))/(1-(AN$7)))-AN$6&lt;0,((AN43+AO43)/2),AN43)</f>
        <v>0.555514150425733</v>
      </c>
      <c r="AO44" s="37" t="n">
        <f aca="false">IF((((AN43+AO43)/2))*LN((((AN43+AO43)/2))/(AN$7))+(1-(((AN43+AO43)/2)))*LN((1-(((AN43+AO43)/2)))/(1-(AN$7)))-AN$6&lt;0,AO43,((AN43+AO43)/2))</f>
        <v>0.555514150453382</v>
      </c>
      <c r="AP44" s="37" t="n">
        <f aca="false">IF(AP$7*LN(AP$7)-AP$7*((AP43+AQ43)/2)+(1-AP$7)*LN(1-AP$7)-(1-AP$7)*LN(1-EXP(((AP43+AQ43)/2)))-AP$6&gt;0,((AP43+AQ43)/2),AP43)</f>
        <v>-3.68963394656054</v>
      </c>
      <c r="AQ44" s="37" t="n">
        <f aca="false">IF(AP$7*LN(AP$7)-AP$7*((AP43+AQ43)/2)+(1-AP$7)*LN(1-AP$7)-(1-AP$7)*LN(1-EXP(((AP43+AQ43)/2)))-AP$6&gt;0,AQ43,((AP43+AQ43)/2))</f>
        <v>-3.6896339446373</v>
      </c>
      <c r="AR44" s="37" t="n">
        <f aca="false">IF((((AR43+AS43)/2))*LN((((AR43+AS43)/2))/(AR$7))+(1-(((AR43+AS43)/2)))*LN((1-(((AR43+AS43)/2)))/(1-(AR$7)))-AR$6&lt;0,((AR43+AS43)/2),AR43)</f>
        <v>0.0836482674771105</v>
      </c>
      <c r="AS44" s="37" t="n">
        <f aca="false">IF((((AR43+AS43)/2))*LN((((AR43+AS43)/2))/(AR$7))+(1-(((AR43+AS43)/2)))*LN((1-(((AR43+AS43)/2)))/(1-(AR$7)))-AR$6&lt;0,AS43,((AR43+AS43)/2))</f>
        <v>0.0836482675047591</v>
      </c>
    </row>
    <row r="45" customFormat="false" ht="15" hidden="false" customHeight="false" outlineLevel="0" collapsed="false">
      <c r="B45" s="37" t="n">
        <f aca="false">IF(B$7*LN(B$7)-B$7*((B44+C44)/2)+(1-B$7)*LN(1-B$7)-(1-B$7)*LN(1-EXP(((B44+C44)/2)))-B$6&gt;0,((B44+C44)/2),B44)</f>
        <v>-12.7416806095398</v>
      </c>
      <c r="C45" s="37" t="n">
        <f aca="false">IF(B$7*LN(B$7)-B$7*((B44+C44)/2)+(1-B$7)*LN(1-B$7)-(1-B$7)*LN(1-EXP(((B44+C44)/2)))-B$6&gt;0,C44,((B44+C44)/2))</f>
        <v>-12.7416806085782</v>
      </c>
      <c r="D45" s="37" t="n">
        <f aca="false">IF(D$7*LN(D$7)-D$7*((D44+E44)/2)+(1-D$7)*LN(1-D$7)-(1-D$7)*LN(1-EXP(((D44+E44)/2)))-D$6&gt;0,((D44+E44)/2),D44)</f>
        <v>-16.0341341200392</v>
      </c>
      <c r="E45" s="37" t="n">
        <f aca="false">IF(D$7*LN(D$7)-D$7*((D44+E44)/2)+(1-D$7)*LN(1-D$7)-(1-D$7)*LN(1-EXP(((D44+E44)/2)))-D$6&gt;0,E44,((D44+E44)/2))</f>
        <v>-16.0341341190776</v>
      </c>
      <c r="F45" s="37" t="n">
        <f aca="false">IF(F$7*LN(F$7)-F$7*((F44+G44)/2)+(1-F$7)*LN(1-F$7)-(1-F$7)*LN(1-EXP(((F44+G44)/2)))-F$6&gt;0,((F44+G44)/2),F44)</f>
        <v>-24.8055675324187</v>
      </c>
      <c r="G45" s="37" t="n">
        <f aca="false">IF(F$7*LN(F$7)-F$7*((F44+G44)/2)+(1-F$7)*LN(1-F$7)-(1-F$7)*LN(1-EXP(((F44+G44)/2)))-F$6&gt;0,G44,((F44+G44)/2))</f>
        <v>-24.8055675314571</v>
      </c>
      <c r="H45" s="37" t="n">
        <f aca="false">IF(H$7*LN(H$7)-H$7*((H44+I44)/2)+(1-H$7)*LN(1-H$7)-(1-H$7)*LN(1-EXP(((H44+I44)/2)))-H$6&gt;0,((H44+I44)/2),H44)</f>
        <v>-3.19789114222842</v>
      </c>
      <c r="I45" s="37" t="n">
        <f aca="false">IF(H$7*LN(H$7)-H$7*((H44+I44)/2)+(1-H$7)*LN(1-H$7)-(1-H$7)*LN(1-EXP(((H44+I44)/2)))-H$6&gt;0,I44,((H44+I44)/2))</f>
        <v>-3.1978911412668</v>
      </c>
      <c r="J45" s="37" t="n">
        <f aca="false">IF(J$7*LN(J$7)-J$7*((J44+K44)/2)+(1-J$7)*LN(1-J$7)-(1-J$7)*LN(1-EXP(((J44+K44)/2)))-J$6&gt;0,((J44+K44)/2),J44)</f>
        <v>-3.28605085290474</v>
      </c>
      <c r="K45" s="37" t="n">
        <f aca="false">IF(J$7*LN(J$7)-J$7*((J44+K44)/2)+(1-J$7)*LN(1-J$7)-(1-J$7)*LN(1-EXP(((J44+K44)/2)))-J$6&gt;0,K44,((J44+K44)/2))</f>
        <v>-3.28605085194312</v>
      </c>
      <c r="L45" s="37" t="n">
        <f aca="false">IF(L$7*LN(L$7)-L$7*((L44+M44)/2)+(1-L$7)*LN(1-L$7)-(1-L$7)*LN(1-EXP(((L44+M44)/2)))-L$6&gt;0,((L44+M44)/2),L44)</f>
        <v>-3.46919733893424</v>
      </c>
      <c r="M45" s="37" t="n">
        <f aca="false">IF(L$7*LN(L$7)-L$7*((L44+M44)/2)+(1-L$7)*LN(1-L$7)-(1-L$7)*LN(1-EXP(((L44+M44)/2)))-L$6&gt;0,M44,((L44+M44)/2))</f>
        <v>-3.46919733797262</v>
      </c>
      <c r="N45" s="37" t="n">
        <f aca="false">IF(N$7*LN(N$7)-N$7*((N44+O44)/2)+(1-N$7)*LN(1-N$7)-(1-N$7)*LN(1-EXP(((N44+O44)/2)))-N$6&gt;0,((N44+O44)/2),N44)</f>
        <v>-3.68963394656054</v>
      </c>
      <c r="O45" s="37" t="n">
        <f aca="false">IF(N$7*LN(N$7)-N$7*((N44+O44)/2)+(1-N$7)*LN(1-N$7)-(1-N$7)*LN(1-EXP(((N44+O44)/2)))-N$6&gt;0,O44,((N44+O44)/2))</f>
        <v>-3.68963394559892</v>
      </c>
      <c r="P45" s="37" t="n">
        <f aca="false">IF(P$7*LN(P$7)-P$7*((P44+Q44)/2)+(1-P$7)*LN(1-P$7)-(1-P$7)*LN(1-EXP(((P44+Q44)/2)))-P$6&gt;0,((P44+Q44)/2),P44)</f>
        <v>-4.02932208470758</v>
      </c>
      <c r="Q45" s="37" t="n">
        <f aca="false">IF(P$7*LN(P$7)-P$7*((P44+Q44)/2)+(1-P$7)*LN(1-P$7)-(1-P$7)*LN(1-EXP(((P44+Q44)/2)))-P$6&gt;0,Q44,((P44+Q44)/2))</f>
        <v>-4.02932208374597</v>
      </c>
      <c r="R45" s="37" t="n">
        <f aca="false">IF(R$7*LN(R$7)-R$7*((R44+S44)/2)+(1-R$7)*LN(1-R$7)-(1-R$7)*LN(1-EXP(((R44+S44)/2)))-R$6&gt;0,((R44+S44)/2),R44)</f>
        <v>-4.31449878710447</v>
      </c>
      <c r="S45" s="37" t="n">
        <f aca="false">IF(R$7*LN(R$7)-R$7*((R44+S44)/2)+(1-R$7)*LN(1-R$7)-(1-R$7)*LN(1-EXP(((R44+S44)/2)))-R$6&gt;0,S44,((R44+S44)/2))</f>
        <v>-4.31449878614286</v>
      </c>
      <c r="T45" s="37" t="n">
        <f aca="false">IF(T$7*LN(T$7)-T$7*((T44+U44)/2)+(1-T$7)*LN(1-T$7)-(1-T$7)*LN(1-EXP(((T44+U44)/2)))-T$6&gt;0,((T44+U44)/2),T44)</f>
        <v>-4.81575742585483</v>
      </c>
      <c r="U45" s="37" t="n">
        <f aca="false">IF(T$7*LN(T$7)-T$7*((T44+U44)/2)+(1-T$7)*LN(1-T$7)-(1-T$7)*LN(1-EXP(((T44+U44)/2)))-T$6&gt;0,U44,((T44+U44)/2))</f>
        <v>-4.81575742489322</v>
      </c>
      <c r="V45" s="37" t="n">
        <f aca="false">IF(V$7*LN(V$7)-V$7*((V44+W44)/2)+(1-V$7)*LN(1-V$7)-(1-V$7)*LN(1-EXP(((V44+W44)/2)))-V$6&gt;0,((V44+W44)/2),V44)</f>
        <v>-5.38279983505544</v>
      </c>
      <c r="W45" s="37" t="n">
        <f aca="false">IF(V$7*LN(V$7)-V$7*((V44+W44)/2)+(1-V$7)*LN(1-V$7)-(1-V$7)*LN(1-EXP(((V44+W44)/2)))-V$6&gt;0,W44,((V44+W44)/2))</f>
        <v>-5.38279983409383</v>
      </c>
      <c r="X45" s="37" t="n">
        <f aca="false">IF(X$7*LN(X$7)-X$7*((X44+Y44)/2)+(1-X$7)*LN(1-X$7)-(1-X$7)*LN(1-EXP(((X44+Y44)/2)))-X$6&gt;0,((X44+Y44)/2),X44)</f>
        <v>-5.91917523412946</v>
      </c>
      <c r="Y45" s="37" t="n">
        <f aca="false">IF(X$7*LN(X$7)-X$7*((X44+Y44)/2)+(1-X$7)*LN(1-X$7)-(1-X$7)*LN(1-EXP(((X44+Y44)/2)))-X$6&gt;0,Y44,((X44+Y44)/2))</f>
        <v>-5.91917523316784</v>
      </c>
      <c r="Z45" s="37" t="n">
        <f aca="false">IF(Z$7*LN(Z$7)-Z$7*((Z44+AA44)/2)+(1-Z$7)*LN(1-Z$7)-(1-Z$7)*LN(1-EXP(((Z44+AA44)/2)))-Z$6&gt;0,((Z44+AA44)/2),Z44)</f>
        <v>-6.95212068589161</v>
      </c>
      <c r="AA45" s="37" t="n">
        <f aca="false">IF(Z$7*LN(Z$7)-Z$7*((Z44+AA44)/2)+(1-Z$7)*LN(1-Z$7)-(1-Z$7)*LN(1-EXP(((Z44+AA44)/2)))-Z$6&gt;0,AA44,((Z44+AA44)/2))</f>
        <v>-6.95212068492999</v>
      </c>
      <c r="AB45" s="37" t="n">
        <f aca="false">IF((((AB44+AC44)/2))*LN((((AB44+AC44)/2))/(AB$7))+(1-(((AB44+AC44)/2)))*LN((1-(((AB44+AC44)/2)))/(1-(AB$7)))-AB$6&lt;0,((AB44+AC44)/2),AB44)</f>
        <v>0.0600408213766059</v>
      </c>
      <c r="AC45" s="37" t="n">
        <f aca="false">IF((((AB44+AC44)/2))*LN((((AB44+AC44)/2))/(AB$7))+(1-(((AB44+AC44)/2)))*LN((1-(((AB44+AC44)/2)))/(1-(AB$7)))-AB$6&lt;0,AC44,((AB44+AC44)/2))</f>
        <v>0.0600408213904302</v>
      </c>
      <c r="AD45" s="37" t="n">
        <f aca="false">IF((((AD44+AE44)/2))*LN((((AD44+AE44)/2))/(AD$7))+(1-(((AD44+AE44)/2)))*LN((1-(((AD44+AE44)/2)))/(1-(AD$7)))-AD$6&lt;0,((AD44+AE44)/2),AD44)</f>
        <v>0.0677518178759783</v>
      </c>
      <c r="AE45" s="37" t="n">
        <f aca="false">IF((((AD44+AE44)/2))*LN((((AD44+AE44)/2))/(AD$7))+(1-(((AD44+AE44)/2)))*LN((1-(((AD44+AE44)/2)))/(1-(AD$7)))-AD$6&lt;0,AE44,((AD44+AE44)/2))</f>
        <v>0.0677518178898026</v>
      </c>
      <c r="AF45" s="37" t="n">
        <f aca="false">IF((((AF44+AG44)/2))*LN((((AF44+AG44)/2))/(AF$7))+(1-(((AF44+AG44)/2)))*LN((1-(((AF44+AG44)/2)))/(1-(AF$7)))-AF$6&lt;0,((AF44+AG44)/2),AF44)</f>
        <v>0.0836482674771105</v>
      </c>
      <c r="AG45" s="37" t="n">
        <f aca="false">IF((((AF44+AG44)/2))*LN((((AF44+AG44)/2))/(AF$7))+(1-(((AF44+AG44)/2)))*LN((1-(((AF44+AG44)/2)))/(1-(AF$7)))-AF$6&lt;0,AG44,((AF44+AG44)/2))</f>
        <v>0.0836482674909348</v>
      </c>
      <c r="AH45" s="37" t="n">
        <f aca="false">IF((((AH44+AI44)/2))*LN((((AH44+AI44)/2))/(AH$7))+(1-(((AH44+AI44)/2)))*LN((1-(((AH44+AI44)/2)))/(1-(AH$7)))-AH$6&lt;0,((AH44+AI44)/2),AH44)</f>
        <v>0.111548048219265</v>
      </c>
      <c r="AI45" s="37" t="n">
        <f aca="false">IF((((AH44+AI44)/2))*LN((((AH44+AI44)/2))/(AH$7))+(1-(((AH44+AI44)/2)))*LN((1-(((AH44+AI44)/2)))/(1-(AH$7)))-AH$6&lt;0,AI44,((AH44+AI44)/2))</f>
        <v>0.111548048233089</v>
      </c>
      <c r="AJ45" s="37" t="n">
        <f aca="false">IF((((AJ44+AK44)/2))*LN((((AJ44+AK44)/2))/(AJ$7))+(1-(((AJ44+AK44)/2)))*LN((1-(((AJ44+AK44)/2)))/(1-(AJ$7)))-AJ$6&lt;0,((AJ44+AK44)/2),AJ44)</f>
        <v>0.17294934770689</v>
      </c>
      <c r="AK45" s="37" t="n">
        <f aca="false">IF((((AJ44+AK44)/2))*LN((((AJ44+AK44)/2))/(AJ$7))+(1-(((AJ44+AK44)/2)))*LN((1-(((AJ44+AK44)/2)))/(1-(AJ$7)))-AJ$6&lt;0,AK44,((AJ44+AK44)/2))</f>
        <v>0.172949347720714</v>
      </c>
      <c r="AL45" s="37" t="n">
        <f aca="false">IF((((AL44+AM44)/2))*LN((((AL44+AM44)/2))/(AL$7))+(1-(((AL44+AM44)/2)))*LN((1-(((AL44+AM44)/2)))/(1-(AL$7)))-AL$6&lt;0,((AL44+AM44)/2),AL44)</f>
        <v>0.288519197330606</v>
      </c>
      <c r="AM45" s="37" t="n">
        <f aca="false">IF((((AL44+AM44)/2))*LN((((AL44+AM44)/2))/(AL$7))+(1-(((AL44+AM44)/2)))*LN((1-(((AL44+AM44)/2)))/(1-(AL$7)))-AL$6&lt;0,AM44,((AL44+AM44)/2))</f>
        <v>0.288519197344431</v>
      </c>
      <c r="AN45" s="37" t="n">
        <f aca="false">IF((((AN44+AO44)/2))*LN((((AN44+AO44)/2))/(AN$7))+(1-(((AN44+AO44)/2)))*LN((1-(((AN44+AO44)/2)))/(1-(AN$7)))-AN$6&lt;0,((AN44+AO44)/2),AN44)</f>
        <v>0.555514150425733</v>
      </c>
      <c r="AO45" s="37" t="n">
        <f aca="false">IF((((AN44+AO44)/2))*LN((((AN44+AO44)/2))/(AN$7))+(1-(((AN44+AO44)/2)))*LN((1-(((AN44+AO44)/2)))/(1-(AN$7)))-AN$6&lt;0,AO44,((AN44+AO44)/2))</f>
        <v>0.555514150439557</v>
      </c>
      <c r="AP45" s="37" t="n">
        <f aca="false">IF(AP$7*LN(AP$7)-AP$7*((AP44+AQ44)/2)+(1-AP$7)*LN(1-AP$7)-(1-AP$7)*LN(1-EXP(((AP44+AQ44)/2)))-AP$6&gt;0,((AP44+AQ44)/2),AP44)</f>
        <v>-3.68963394656054</v>
      </c>
      <c r="AQ45" s="37" t="n">
        <f aca="false">IF(AP$7*LN(AP$7)-AP$7*((AP44+AQ44)/2)+(1-AP$7)*LN(1-AP$7)-(1-AP$7)*LN(1-EXP(((AP44+AQ44)/2)))-AP$6&gt;0,AQ44,((AP44+AQ44)/2))</f>
        <v>-3.68963394559892</v>
      </c>
      <c r="AR45" s="37" t="n">
        <f aca="false">IF((((AR44+AS44)/2))*LN((((AR44+AS44)/2))/(AR$7))+(1-(((AR44+AS44)/2)))*LN((1-(((AR44+AS44)/2)))/(1-(AR$7)))-AR$6&lt;0,((AR44+AS44)/2),AR44)</f>
        <v>0.0836482674771105</v>
      </c>
      <c r="AS45" s="37" t="n">
        <f aca="false">IF((((AR44+AS44)/2))*LN((((AR44+AS44)/2))/(AR$7))+(1-(((AR44+AS44)/2)))*LN((1-(((AR44+AS44)/2)))/(1-(AR$7)))-AR$6&lt;0,AS44,((AR44+AS44)/2))</f>
        <v>0.0836482674909348</v>
      </c>
    </row>
    <row r="46" customFormat="false" ht="15" hidden="false" customHeight="false" outlineLevel="0" collapsed="false">
      <c r="B46" s="37" t="n">
        <f aca="false">IF(B$7*LN(B$7)-B$7*((B45+C45)/2)+(1-B$7)*LN(1-B$7)-(1-B$7)*LN(1-EXP(((B45+C45)/2)))-B$6&gt;0,((B45+C45)/2),B45)</f>
        <v>-12.741680609059</v>
      </c>
      <c r="C46" s="37" t="n">
        <f aca="false">IF(B$7*LN(B$7)-B$7*((B45+C45)/2)+(1-B$7)*LN(1-B$7)-(1-B$7)*LN(1-EXP(((B45+C45)/2)))-B$6&gt;0,C45,((B45+C45)/2))</f>
        <v>-12.7416806085782</v>
      </c>
      <c r="D46" s="37" t="n">
        <f aca="false">IF(D$7*LN(D$7)-D$7*((D45+E45)/2)+(1-D$7)*LN(1-D$7)-(1-D$7)*LN(1-EXP(((D45+E45)/2)))-D$6&gt;0,((D45+E45)/2),D45)</f>
        <v>-16.0341341195584</v>
      </c>
      <c r="E46" s="37" t="n">
        <f aca="false">IF(D$7*LN(D$7)-D$7*((D45+E45)/2)+(1-D$7)*LN(1-D$7)-(1-D$7)*LN(1-EXP(((D45+E45)/2)))-D$6&gt;0,E45,((D45+E45)/2))</f>
        <v>-16.0341341190776</v>
      </c>
      <c r="F46" s="37" t="n">
        <f aca="false">IF(F$7*LN(F$7)-F$7*((F45+G45)/2)+(1-F$7)*LN(1-F$7)-(1-F$7)*LN(1-EXP(((F45+G45)/2)))-F$6&gt;0,((F45+G45)/2),F45)</f>
        <v>-24.8055675324187</v>
      </c>
      <c r="G46" s="37" t="n">
        <f aca="false">IF(F$7*LN(F$7)-F$7*((F45+G45)/2)+(1-F$7)*LN(1-F$7)-(1-F$7)*LN(1-EXP(((F45+G45)/2)))-F$6&gt;0,G45,((F45+G45)/2))</f>
        <v>-24.8055675319379</v>
      </c>
      <c r="H46" s="37" t="n">
        <f aca="false">IF(H$7*LN(H$7)-H$7*((H45+I45)/2)+(1-H$7)*LN(1-H$7)-(1-H$7)*LN(1-EXP(((H45+I45)/2)))-H$6&gt;0,((H45+I45)/2),H45)</f>
        <v>-3.19789114222842</v>
      </c>
      <c r="I46" s="37" t="n">
        <f aca="false">IF(H$7*LN(H$7)-H$7*((H45+I45)/2)+(1-H$7)*LN(1-H$7)-(1-H$7)*LN(1-EXP(((H45+I45)/2)))-H$6&gt;0,I45,((H45+I45)/2))</f>
        <v>-3.19789114174761</v>
      </c>
      <c r="J46" s="37" t="n">
        <f aca="false">IF(J$7*LN(J$7)-J$7*((J45+K45)/2)+(1-J$7)*LN(1-J$7)-(1-J$7)*LN(1-EXP(((J45+K45)/2)))-J$6&gt;0,((J45+K45)/2),J45)</f>
        <v>-3.28605085242393</v>
      </c>
      <c r="K46" s="37" t="n">
        <f aca="false">IF(J$7*LN(J$7)-J$7*((J45+K45)/2)+(1-J$7)*LN(1-J$7)-(1-J$7)*LN(1-EXP(((J45+K45)/2)))-J$6&gt;0,K45,((J45+K45)/2))</f>
        <v>-3.28605085194312</v>
      </c>
      <c r="L46" s="37" t="n">
        <f aca="false">IF(L$7*LN(L$7)-L$7*((L45+M45)/2)+(1-L$7)*LN(1-L$7)-(1-L$7)*LN(1-EXP(((L45+M45)/2)))-L$6&gt;0,((L45+M45)/2),L45)</f>
        <v>-3.46919733893424</v>
      </c>
      <c r="M46" s="37" t="n">
        <f aca="false">IF(L$7*LN(L$7)-L$7*((L45+M45)/2)+(1-L$7)*LN(1-L$7)-(1-L$7)*LN(1-EXP(((L45+M45)/2)))-L$6&gt;0,M45,((L45+M45)/2))</f>
        <v>-3.46919733845343</v>
      </c>
      <c r="N46" s="37" t="n">
        <f aca="false">IF(N$7*LN(N$7)-N$7*((N45+O45)/2)+(1-N$7)*LN(1-N$7)-(1-N$7)*LN(1-EXP(((N45+O45)/2)))-N$6&gt;0,((N45+O45)/2),N45)</f>
        <v>-3.68963394607973</v>
      </c>
      <c r="O46" s="37" t="n">
        <f aca="false">IF(N$7*LN(N$7)-N$7*((N45+O45)/2)+(1-N$7)*LN(1-N$7)-(1-N$7)*LN(1-EXP(((N45+O45)/2)))-N$6&gt;0,O45,((N45+O45)/2))</f>
        <v>-3.68963394559892</v>
      </c>
      <c r="P46" s="37" t="n">
        <f aca="false">IF(P$7*LN(P$7)-P$7*((P45+Q45)/2)+(1-P$7)*LN(1-P$7)-(1-P$7)*LN(1-EXP(((P45+Q45)/2)))-P$6&gt;0,((P45+Q45)/2),P45)</f>
        <v>-4.02932208470758</v>
      </c>
      <c r="Q46" s="37" t="n">
        <f aca="false">IF(P$7*LN(P$7)-P$7*((P45+Q45)/2)+(1-P$7)*LN(1-P$7)-(1-P$7)*LN(1-EXP(((P45+Q45)/2)))-P$6&gt;0,Q45,((P45+Q45)/2))</f>
        <v>-4.02932208422677</v>
      </c>
      <c r="R46" s="37" t="n">
        <f aca="false">IF(R$7*LN(R$7)-R$7*((R45+S45)/2)+(1-R$7)*LN(1-R$7)-(1-R$7)*LN(1-EXP(((R45+S45)/2)))-R$6&gt;0,((R45+S45)/2),R45)</f>
        <v>-4.31449878710447</v>
      </c>
      <c r="S46" s="37" t="n">
        <f aca="false">IF(R$7*LN(R$7)-R$7*((R45+S45)/2)+(1-R$7)*LN(1-R$7)-(1-R$7)*LN(1-EXP(((R45+S45)/2)))-R$6&gt;0,S45,((R45+S45)/2))</f>
        <v>-4.31449878662366</v>
      </c>
      <c r="T46" s="37" t="n">
        <f aca="false">IF(T$7*LN(T$7)-T$7*((T45+U45)/2)+(1-T$7)*LN(1-T$7)-(1-T$7)*LN(1-EXP(((T45+U45)/2)))-T$6&gt;0,((T45+U45)/2),T45)</f>
        <v>-4.81575742585483</v>
      </c>
      <c r="U46" s="37" t="n">
        <f aca="false">IF(T$7*LN(T$7)-T$7*((T45+U45)/2)+(1-T$7)*LN(1-T$7)-(1-T$7)*LN(1-EXP(((T45+U45)/2)))-T$6&gt;0,U45,((T45+U45)/2))</f>
        <v>-4.81575742537402</v>
      </c>
      <c r="V46" s="37" t="n">
        <f aca="false">IF(V$7*LN(V$7)-V$7*((V45+W45)/2)+(1-V$7)*LN(1-V$7)-(1-V$7)*LN(1-EXP(((V45+W45)/2)))-V$6&gt;0,((V45+W45)/2),V45)</f>
        <v>-5.38279983505544</v>
      </c>
      <c r="W46" s="37" t="n">
        <f aca="false">IF(V$7*LN(V$7)-V$7*((V45+W45)/2)+(1-V$7)*LN(1-V$7)-(1-V$7)*LN(1-EXP(((V45+W45)/2)))-V$6&gt;0,W45,((V45+W45)/2))</f>
        <v>-5.38279983457463</v>
      </c>
      <c r="X46" s="37" t="n">
        <f aca="false">IF(X$7*LN(X$7)-X$7*((X45+Y45)/2)+(1-X$7)*LN(1-X$7)-(1-X$7)*LN(1-EXP(((X45+Y45)/2)))-X$6&gt;0,((X45+Y45)/2),X45)</f>
        <v>-5.91917523364865</v>
      </c>
      <c r="Y46" s="37" t="n">
        <f aca="false">IF(X$7*LN(X$7)-X$7*((X45+Y45)/2)+(1-X$7)*LN(1-X$7)-(1-X$7)*LN(1-EXP(((X45+Y45)/2)))-X$6&gt;0,Y45,((X45+Y45)/2))</f>
        <v>-5.91917523316784</v>
      </c>
      <c r="Z46" s="37" t="n">
        <f aca="false">IF(Z$7*LN(Z$7)-Z$7*((Z45+AA45)/2)+(1-Z$7)*LN(1-Z$7)-(1-Z$7)*LN(1-EXP(((Z45+AA45)/2)))-Z$6&gt;0,((Z45+AA45)/2),Z45)</f>
        <v>-6.95212068589161</v>
      </c>
      <c r="AA46" s="37" t="n">
        <f aca="false">IF(Z$7*LN(Z$7)-Z$7*((Z45+AA45)/2)+(1-Z$7)*LN(1-Z$7)-(1-Z$7)*LN(1-EXP(((Z45+AA45)/2)))-Z$6&gt;0,AA45,((Z45+AA45)/2))</f>
        <v>-6.9521206854108</v>
      </c>
      <c r="AB46" s="37" t="n">
        <f aca="false">IF((((AB45+AC45)/2))*LN((((AB45+AC45)/2))/(AB$7))+(1-(((AB45+AC45)/2)))*LN((1-(((AB45+AC45)/2)))/(1-(AB$7)))-AB$6&lt;0,((AB45+AC45)/2),AB45)</f>
        <v>0.0600408213766059</v>
      </c>
      <c r="AC46" s="37" t="n">
        <f aca="false">IF((((AB45+AC45)/2))*LN((((AB45+AC45)/2))/(AB$7))+(1-(((AB45+AC45)/2)))*LN((1-(((AB45+AC45)/2)))/(1-(AB$7)))-AB$6&lt;0,AC45,((AB45+AC45)/2))</f>
        <v>0.060040821383518</v>
      </c>
      <c r="AD46" s="37" t="n">
        <f aca="false">IF((((AD45+AE45)/2))*LN((((AD45+AE45)/2))/(AD$7))+(1-(((AD45+AE45)/2)))*LN((1-(((AD45+AE45)/2)))/(1-(AD$7)))-AD$6&lt;0,((AD45+AE45)/2),AD45)</f>
        <v>0.0677518178828904</v>
      </c>
      <c r="AE46" s="37" t="n">
        <f aca="false">IF((((AD45+AE45)/2))*LN((((AD45+AE45)/2))/(AD$7))+(1-(((AD45+AE45)/2)))*LN((1-(((AD45+AE45)/2)))/(1-(AD$7)))-AD$6&lt;0,AE45,((AD45+AE45)/2))</f>
        <v>0.0677518178898026</v>
      </c>
      <c r="AF46" s="37" t="n">
        <f aca="false">IF((((AF45+AG45)/2))*LN((((AF45+AG45)/2))/(AF$7))+(1-(((AF45+AG45)/2)))*LN((1-(((AF45+AG45)/2)))/(1-(AF$7)))-AF$6&lt;0,((AF45+AG45)/2),AF45)</f>
        <v>0.0836482674840226</v>
      </c>
      <c r="AG46" s="37" t="n">
        <f aca="false">IF((((AF45+AG45)/2))*LN((((AF45+AG45)/2))/(AF$7))+(1-(((AF45+AG45)/2)))*LN((1-(((AF45+AG45)/2)))/(1-(AF$7)))-AF$6&lt;0,AG45,((AF45+AG45)/2))</f>
        <v>0.0836482674909348</v>
      </c>
      <c r="AH46" s="37" t="n">
        <f aca="false">IF((((AH45+AI45)/2))*LN((((AH45+AI45)/2))/(AH$7))+(1-(((AH45+AI45)/2)))*LN((1-(((AH45+AI45)/2)))/(1-(AH$7)))-AH$6&lt;0,((AH45+AI45)/2),AH45)</f>
        <v>0.111548048226177</v>
      </c>
      <c r="AI46" s="37" t="n">
        <f aca="false">IF((((AH45+AI45)/2))*LN((((AH45+AI45)/2))/(AH$7))+(1-(((AH45+AI45)/2)))*LN((1-(((AH45+AI45)/2)))/(1-(AH$7)))-AH$6&lt;0,AI45,((AH45+AI45)/2))</f>
        <v>0.111548048233089</v>
      </c>
      <c r="AJ46" s="37" t="n">
        <f aca="false">IF((((AJ45+AK45)/2))*LN((((AJ45+AK45)/2))/(AJ$7))+(1-(((AJ45+AK45)/2)))*LN((1-(((AJ45+AK45)/2)))/(1-(AJ$7)))-AJ$6&lt;0,((AJ45+AK45)/2),AJ45)</f>
        <v>0.17294934770689</v>
      </c>
      <c r="AK46" s="37" t="n">
        <f aca="false">IF((((AJ45+AK45)/2))*LN((((AJ45+AK45)/2))/(AJ$7))+(1-(((AJ45+AK45)/2)))*LN((1-(((AJ45+AK45)/2)))/(1-(AJ$7)))-AJ$6&lt;0,AK45,((AJ45+AK45)/2))</f>
        <v>0.172949347713802</v>
      </c>
      <c r="AL46" s="37" t="n">
        <f aca="false">IF((((AL45+AM45)/2))*LN((((AL45+AM45)/2))/(AL$7))+(1-(((AL45+AM45)/2)))*LN((1-(((AL45+AM45)/2)))/(1-(AL$7)))-AL$6&lt;0,((AL45+AM45)/2),AL45)</f>
        <v>0.288519197337518</v>
      </c>
      <c r="AM46" s="37" t="n">
        <f aca="false">IF((((AL45+AM45)/2))*LN((((AL45+AM45)/2))/(AL$7))+(1-(((AL45+AM45)/2)))*LN((1-(((AL45+AM45)/2)))/(1-(AL$7)))-AL$6&lt;0,AM45,((AL45+AM45)/2))</f>
        <v>0.288519197344431</v>
      </c>
      <c r="AN46" s="37" t="n">
        <f aca="false">IF((((AN45+AO45)/2))*LN((((AN45+AO45)/2))/(AN$7))+(1-(((AN45+AO45)/2)))*LN((1-(((AN45+AO45)/2)))/(1-(AN$7)))-AN$6&lt;0,((AN45+AO45)/2),AN45)</f>
        <v>0.555514150432645</v>
      </c>
      <c r="AO46" s="37" t="n">
        <f aca="false">IF((((AN45+AO45)/2))*LN((((AN45+AO45)/2))/(AN$7))+(1-(((AN45+AO45)/2)))*LN((1-(((AN45+AO45)/2)))/(1-(AN$7)))-AN$6&lt;0,AO45,((AN45+AO45)/2))</f>
        <v>0.555514150439557</v>
      </c>
      <c r="AP46" s="37" t="n">
        <f aca="false">IF(AP$7*LN(AP$7)-AP$7*((AP45+AQ45)/2)+(1-AP$7)*LN(1-AP$7)-(1-AP$7)*LN(1-EXP(((AP45+AQ45)/2)))-AP$6&gt;0,((AP45+AQ45)/2),AP45)</f>
        <v>-3.68963394607973</v>
      </c>
      <c r="AQ46" s="37" t="n">
        <f aca="false">IF(AP$7*LN(AP$7)-AP$7*((AP45+AQ45)/2)+(1-AP$7)*LN(1-AP$7)-(1-AP$7)*LN(1-EXP(((AP45+AQ45)/2)))-AP$6&gt;0,AQ45,((AP45+AQ45)/2))</f>
        <v>-3.68963394559892</v>
      </c>
      <c r="AR46" s="37" t="n">
        <f aca="false">IF((((AR45+AS45)/2))*LN((((AR45+AS45)/2))/(AR$7))+(1-(((AR45+AS45)/2)))*LN((1-(((AR45+AS45)/2)))/(1-(AR$7)))-AR$6&lt;0,((AR45+AS45)/2),AR45)</f>
        <v>0.0836482674840226</v>
      </c>
      <c r="AS46" s="37" t="n">
        <f aca="false">IF((((AR45+AS45)/2))*LN((((AR45+AS45)/2))/(AR$7))+(1-(((AR45+AS45)/2)))*LN((1-(((AR45+AS45)/2)))/(1-(AR$7)))-AR$6&lt;0,AS45,((AR45+AS45)/2))</f>
        <v>0.0836482674909348</v>
      </c>
    </row>
    <row r="47" customFormat="false" ht="15" hidden="false" customHeight="false" outlineLevel="0" collapsed="false">
      <c r="B47" s="37" t="n">
        <f aca="false">IF(B$7*LN(B$7)-B$7*((B46+C46)/2)+(1-B$7)*LN(1-B$7)-(1-B$7)*LN(1-EXP(((B46+C46)/2)))-B$6&gt;0,((B46+C46)/2),B46)</f>
        <v>-12.7416806088186</v>
      </c>
      <c r="C47" s="37" t="n">
        <f aca="false">IF(B$7*LN(B$7)-B$7*((B46+C46)/2)+(1-B$7)*LN(1-B$7)-(1-B$7)*LN(1-EXP(((B46+C46)/2)))-B$6&gt;0,C46,((B46+C46)/2))</f>
        <v>-12.7416806085782</v>
      </c>
      <c r="D47" s="37" t="n">
        <f aca="false">IF(D$7*LN(D$7)-D$7*((D46+E46)/2)+(1-D$7)*LN(1-D$7)-(1-D$7)*LN(1-EXP(((D46+E46)/2)))-D$6&gt;0,((D46+E46)/2),D46)</f>
        <v>-16.0341341195584</v>
      </c>
      <c r="E47" s="37" t="n">
        <f aca="false">IF(D$7*LN(D$7)-D$7*((D46+E46)/2)+(1-D$7)*LN(1-D$7)-(1-D$7)*LN(1-EXP(((D46+E46)/2)))-D$6&gt;0,E46,((D46+E46)/2))</f>
        <v>-16.034134119318</v>
      </c>
      <c r="F47" s="37" t="n">
        <f aca="false">IF(F$7*LN(F$7)-F$7*((F46+G46)/2)+(1-F$7)*LN(1-F$7)-(1-F$7)*LN(1-EXP(((F46+G46)/2)))-F$6&gt;0,((F46+G46)/2),F46)</f>
        <v>-24.8055675324187</v>
      </c>
      <c r="G47" s="37" t="n">
        <f aca="false">IF(F$7*LN(F$7)-F$7*((F46+G46)/2)+(1-F$7)*LN(1-F$7)-(1-F$7)*LN(1-EXP(((F46+G46)/2)))-F$6&gt;0,G46,((F46+G46)/2))</f>
        <v>-24.8055675321783</v>
      </c>
      <c r="H47" s="37" t="n">
        <f aca="false">IF(H$7*LN(H$7)-H$7*((H46+I46)/2)+(1-H$7)*LN(1-H$7)-(1-H$7)*LN(1-EXP(((H46+I46)/2)))-H$6&gt;0,((H46+I46)/2),H46)</f>
        <v>-3.19789114198802</v>
      </c>
      <c r="I47" s="37" t="n">
        <f aca="false">IF(H$7*LN(H$7)-H$7*((H46+I46)/2)+(1-H$7)*LN(1-H$7)-(1-H$7)*LN(1-EXP(((H46+I46)/2)))-H$6&gt;0,I46,((H46+I46)/2))</f>
        <v>-3.19789114174761</v>
      </c>
      <c r="J47" s="37" t="n">
        <f aca="false">IF(J$7*LN(J$7)-J$7*((J46+K46)/2)+(1-J$7)*LN(1-J$7)-(1-J$7)*LN(1-EXP(((J46+K46)/2)))-J$6&gt;0,((J46+K46)/2),J46)</f>
        <v>-3.28605085218352</v>
      </c>
      <c r="K47" s="37" t="n">
        <f aca="false">IF(J$7*LN(J$7)-J$7*((J46+K46)/2)+(1-J$7)*LN(1-J$7)-(1-J$7)*LN(1-EXP(((J46+K46)/2)))-J$6&gt;0,K46,((J46+K46)/2))</f>
        <v>-3.28605085194312</v>
      </c>
      <c r="L47" s="37" t="n">
        <f aca="false">IF(L$7*LN(L$7)-L$7*((L46+M46)/2)+(1-L$7)*LN(1-L$7)-(1-L$7)*LN(1-EXP(((L46+M46)/2)))-L$6&gt;0,((L46+M46)/2),L46)</f>
        <v>-3.46919733869383</v>
      </c>
      <c r="M47" s="37" t="n">
        <f aca="false">IF(L$7*LN(L$7)-L$7*((L46+M46)/2)+(1-L$7)*LN(1-L$7)-(1-L$7)*LN(1-EXP(((L46+M46)/2)))-L$6&gt;0,M46,((L46+M46)/2))</f>
        <v>-3.46919733845343</v>
      </c>
      <c r="N47" s="37" t="n">
        <f aca="false">IF(N$7*LN(N$7)-N$7*((N46+O46)/2)+(1-N$7)*LN(1-N$7)-(1-N$7)*LN(1-EXP(((N46+O46)/2)))-N$6&gt;0,((N46+O46)/2),N46)</f>
        <v>-3.68963394607973</v>
      </c>
      <c r="O47" s="37" t="n">
        <f aca="false">IF(N$7*LN(N$7)-N$7*((N46+O46)/2)+(1-N$7)*LN(1-N$7)-(1-N$7)*LN(1-EXP(((N46+O46)/2)))-N$6&gt;0,O46,((N46+O46)/2))</f>
        <v>-3.68963394583932</v>
      </c>
      <c r="P47" s="37" t="n">
        <f aca="false">IF(P$7*LN(P$7)-P$7*((P46+Q46)/2)+(1-P$7)*LN(1-P$7)-(1-P$7)*LN(1-EXP(((P46+Q46)/2)))-P$6&gt;0,((P46+Q46)/2),P46)</f>
        <v>-4.02932208446718</v>
      </c>
      <c r="Q47" s="37" t="n">
        <f aca="false">IF(P$7*LN(P$7)-P$7*((P46+Q46)/2)+(1-P$7)*LN(1-P$7)-(1-P$7)*LN(1-EXP(((P46+Q46)/2)))-P$6&gt;0,Q46,((P46+Q46)/2))</f>
        <v>-4.02932208422677</v>
      </c>
      <c r="R47" s="37" t="n">
        <f aca="false">IF(R$7*LN(R$7)-R$7*((R46+S46)/2)+(1-R$7)*LN(1-R$7)-(1-R$7)*LN(1-EXP(((R46+S46)/2)))-R$6&gt;0,((R46+S46)/2),R46)</f>
        <v>-4.31449878710447</v>
      </c>
      <c r="S47" s="37" t="n">
        <f aca="false">IF(R$7*LN(R$7)-R$7*((R46+S46)/2)+(1-R$7)*LN(1-R$7)-(1-R$7)*LN(1-EXP(((R46+S46)/2)))-R$6&gt;0,S46,((R46+S46)/2))</f>
        <v>-4.31449878686407</v>
      </c>
      <c r="T47" s="37" t="n">
        <f aca="false">IF(T$7*LN(T$7)-T$7*((T46+U46)/2)+(1-T$7)*LN(1-T$7)-(1-T$7)*LN(1-EXP(((T46+U46)/2)))-T$6&gt;0,((T46+U46)/2),T46)</f>
        <v>-4.81575742561443</v>
      </c>
      <c r="U47" s="37" t="n">
        <f aca="false">IF(T$7*LN(T$7)-T$7*((T46+U46)/2)+(1-T$7)*LN(1-T$7)-(1-T$7)*LN(1-EXP(((T46+U46)/2)))-T$6&gt;0,U46,((T46+U46)/2))</f>
        <v>-4.81575742537402</v>
      </c>
      <c r="V47" s="37" t="n">
        <f aca="false">IF(V$7*LN(V$7)-V$7*((V46+W46)/2)+(1-V$7)*LN(1-V$7)-(1-V$7)*LN(1-EXP(((V46+W46)/2)))-V$6&gt;0,((V46+W46)/2),V46)</f>
        <v>-5.38279983481504</v>
      </c>
      <c r="W47" s="37" t="n">
        <f aca="false">IF(V$7*LN(V$7)-V$7*((V46+W46)/2)+(1-V$7)*LN(1-V$7)-(1-V$7)*LN(1-EXP(((V46+W46)/2)))-V$6&gt;0,W46,((V46+W46)/2))</f>
        <v>-5.38279983457463</v>
      </c>
      <c r="X47" s="37" t="n">
        <f aca="false">IF(X$7*LN(X$7)-X$7*((X46+Y46)/2)+(1-X$7)*LN(1-X$7)-(1-X$7)*LN(1-EXP(((X46+Y46)/2)))-X$6&gt;0,((X46+Y46)/2),X46)</f>
        <v>-5.91917523364865</v>
      </c>
      <c r="Y47" s="37" t="n">
        <f aca="false">IF(X$7*LN(X$7)-X$7*((X46+Y46)/2)+(1-X$7)*LN(1-X$7)-(1-X$7)*LN(1-EXP(((X46+Y46)/2)))-X$6&gt;0,Y46,((X46+Y46)/2))</f>
        <v>-5.91917523340824</v>
      </c>
      <c r="Z47" s="37" t="n">
        <f aca="false">IF(Z$7*LN(Z$7)-Z$7*((Z46+AA46)/2)+(1-Z$7)*LN(1-Z$7)-(1-Z$7)*LN(1-EXP(((Z46+AA46)/2)))-Z$6&gt;0,((Z46+AA46)/2),Z46)</f>
        <v>-6.95212068565121</v>
      </c>
      <c r="AA47" s="37" t="n">
        <f aca="false">IF(Z$7*LN(Z$7)-Z$7*((Z46+AA46)/2)+(1-Z$7)*LN(1-Z$7)-(1-Z$7)*LN(1-EXP(((Z46+AA46)/2)))-Z$6&gt;0,AA46,((Z46+AA46)/2))</f>
        <v>-6.9521206854108</v>
      </c>
      <c r="AB47" s="37" t="n">
        <f aca="false">IF((((AB46+AC46)/2))*LN((((AB46+AC46)/2))/(AB$7))+(1-(((AB46+AC46)/2)))*LN((1-(((AB46+AC46)/2)))/(1-(AB$7)))-AB$6&lt;0,((AB46+AC46)/2),AB46)</f>
        <v>0.0600408213766059</v>
      </c>
      <c r="AC47" s="37" t="n">
        <f aca="false">IF((((AB46+AC46)/2))*LN((((AB46+AC46)/2))/(AB$7))+(1-(((AB46+AC46)/2)))*LN((1-(((AB46+AC46)/2)))/(1-(AB$7)))-AB$6&lt;0,AC46,((AB46+AC46)/2))</f>
        <v>0.060040821380062</v>
      </c>
      <c r="AD47" s="37" t="n">
        <f aca="false">IF((((AD46+AE46)/2))*LN((((AD46+AE46)/2))/(AD$7))+(1-(((AD46+AE46)/2)))*LN((1-(((AD46+AE46)/2)))/(1-(AD$7)))-AD$6&lt;0,((AD46+AE46)/2),AD46)</f>
        <v>0.0677518178828904</v>
      </c>
      <c r="AE47" s="37" t="n">
        <f aca="false">IF((((AD46+AE46)/2))*LN((((AD46+AE46)/2))/(AD$7))+(1-(((AD46+AE46)/2)))*LN((1-(((AD46+AE46)/2)))/(1-(AD$7)))-AD$6&lt;0,AE46,((AD46+AE46)/2))</f>
        <v>0.0677518178863465</v>
      </c>
      <c r="AF47" s="37" t="n">
        <f aca="false">IF((((AF46+AG46)/2))*LN((((AF46+AG46)/2))/(AF$7))+(1-(((AF46+AG46)/2)))*LN((1-(((AF46+AG46)/2)))/(1-(AF$7)))-AF$6&lt;0,((AF46+AG46)/2),AF46)</f>
        <v>0.0836482674840226</v>
      </c>
      <c r="AG47" s="37" t="n">
        <f aca="false">IF((((AF46+AG46)/2))*LN((((AF46+AG46)/2))/(AF$7))+(1-(((AF46+AG46)/2)))*LN((1-(((AF46+AG46)/2)))/(1-(AF$7)))-AF$6&lt;0,AG46,((AF46+AG46)/2))</f>
        <v>0.0836482674874787</v>
      </c>
      <c r="AH47" s="37" t="n">
        <f aca="false">IF((((AH46+AI46)/2))*LN((((AH46+AI46)/2))/(AH$7))+(1-(((AH46+AI46)/2)))*LN((1-(((AH46+AI46)/2)))/(1-(AH$7)))-AH$6&lt;0,((AH46+AI46)/2),AH46)</f>
        <v>0.111548048226177</v>
      </c>
      <c r="AI47" s="37" t="n">
        <f aca="false">IF((((AH46+AI46)/2))*LN((((AH46+AI46)/2))/(AH$7))+(1-(((AH46+AI46)/2)))*LN((1-(((AH46+AI46)/2)))/(1-(AH$7)))-AH$6&lt;0,AI46,((AH46+AI46)/2))</f>
        <v>0.111548048229633</v>
      </c>
      <c r="AJ47" s="37" t="n">
        <f aca="false">IF((((AJ46+AK46)/2))*LN((((AJ46+AK46)/2))/(AJ$7))+(1-(((AJ46+AK46)/2)))*LN((1-(((AJ46+AK46)/2)))/(1-(AJ$7)))-AJ$6&lt;0,((AJ46+AK46)/2),AJ46)</f>
        <v>0.172949347710346</v>
      </c>
      <c r="AK47" s="37" t="n">
        <f aca="false">IF((((AJ46+AK46)/2))*LN((((AJ46+AK46)/2))/(AJ$7))+(1-(((AJ46+AK46)/2)))*LN((1-(((AJ46+AK46)/2)))/(1-(AJ$7)))-AJ$6&lt;0,AK46,((AJ46+AK46)/2))</f>
        <v>0.172949347713802</v>
      </c>
      <c r="AL47" s="37" t="n">
        <f aca="false">IF((((AL46+AM46)/2))*LN((((AL46+AM46)/2))/(AL$7))+(1-(((AL46+AM46)/2)))*LN((1-(((AL46+AM46)/2)))/(1-(AL$7)))-AL$6&lt;0,((AL46+AM46)/2),AL46)</f>
        <v>0.288519197340974</v>
      </c>
      <c r="AM47" s="37" t="n">
        <f aca="false">IF((((AL46+AM46)/2))*LN((((AL46+AM46)/2))/(AL$7))+(1-(((AL46+AM46)/2)))*LN((1-(((AL46+AM46)/2)))/(1-(AL$7)))-AL$6&lt;0,AM46,((AL46+AM46)/2))</f>
        <v>0.288519197344431</v>
      </c>
      <c r="AN47" s="37" t="n">
        <f aca="false">IF((((AN46+AO46)/2))*LN((((AN46+AO46)/2))/(AN$7))+(1-(((AN46+AO46)/2)))*LN((1-(((AN46+AO46)/2)))/(1-(AN$7)))-AN$6&lt;0,((AN46+AO46)/2),AN46)</f>
        <v>0.555514150436101</v>
      </c>
      <c r="AO47" s="37" t="n">
        <f aca="false">IF((((AN46+AO46)/2))*LN((((AN46+AO46)/2))/(AN$7))+(1-(((AN46+AO46)/2)))*LN((1-(((AN46+AO46)/2)))/(1-(AN$7)))-AN$6&lt;0,AO46,((AN46+AO46)/2))</f>
        <v>0.555514150439557</v>
      </c>
      <c r="AP47" s="37" t="n">
        <f aca="false">IF(AP$7*LN(AP$7)-AP$7*((AP46+AQ46)/2)+(1-AP$7)*LN(1-AP$7)-(1-AP$7)*LN(1-EXP(((AP46+AQ46)/2)))-AP$6&gt;0,((AP46+AQ46)/2),AP46)</f>
        <v>-3.68963394607973</v>
      </c>
      <c r="AQ47" s="37" t="n">
        <f aca="false">IF(AP$7*LN(AP$7)-AP$7*((AP46+AQ46)/2)+(1-AP$7)*LN(1-AP$7)-(1-AP$7)*LN(1-EXP(((AP46+AQ46)/2)))-AP$6&gt;0,AQ46,((AP46+AQ46)/2))</f>
        <v>-3.68963394583932</v>
      </c>
      <c r="AR47" s="37" t="n">
        <f aca="false">IF((((AR46+AS46)/2))*LN((((AR46+AS46)/2))/(AR$7))+(1-(((AR46+AS46)/2)))*LN((1-(((AR46+AS46)/2)))/(1-(AR$7)))-AR$6&lt;0,((AR46+AS46)/2),AR46)</f>
        <v>0.0836482674840226</v>
      </c>
      <c r="AS47" s="37" t="n">
        <f aca="false">IF((((AR46+AS46)/2))*LN((((AR46+AS46)/2))/(AR$7))+(1-(((AR46+AS46)/2)))*LN((1-(((AR46+AS46)/2)))/(1-(AR$7)))-AR$6&lt;0,AS46,((AR46+AS46)/2))</f>
        <v>0.0836482674874787</v>
      </c>
    </row>
    <row r="48" customFormat="false" ht="15" hidden="false" customHeight="false" outlineLevel="0" collapsed="false">
      <c r="B48" s="37" t="n">
        <f aca="false">IF(B$7*LN(B$7)-B$7*((B47+C47)/2)+(1-B$7)*LN(1-B$7)-(1-B$7)*LN(1-EXP(((B47+C47)/2)))-B$6&gt;0,((B47+C47)/2),B47)</f>
        <v>-12.7416806086984</v>
      </c>
      <c r="C48" s="37" t="n">
        <f aca="false">IF(B$7*LN(B$7)-B$7*((B47+C47)/2)+(1-B$7)*LN(1-B$7)-(1-B$7)*LN(1-EXP(((B47+C47)/2)))-B$6&gt;0,C47,((B47+C47)/2))</f>
        <v>-12.7416806085782</v>
      </c>
      <c r="D48" s="37" t="n">
        <f aca="false">IF(D$7*LN(D$7)-D$7*((D47+E47)/2)+(1-D$7)*LN(1-D$7)-(1-D$7)*LN(1-EXP(((D47+E47)/2)))-D$6&gt;0,((D47+E47)/2),D47)</f>
        <v>-16.0341341195584</v>
      </c>
      <c r="E48" s="37" t="n">
        <f aca="false">IF(D$7*LN(D$7)-D$7*((D47+E47)/2)+(1-D$7)*LN(1-D$7)-(1-D$7)*LN(1-EXP(((D47+E47)/2)))-D$6&gt;0,E47,((D47+E47)/2))</f>
        <v>-16.0341341194382</v>
      </c>
      <c r="F48" s="37" t="n">
        <f aca="false">IF(F$7*LN(F$7)-F$7*((F47+G47)/2)+(1-F$7)*LN(1-F$7)-(1-F$7)*LN(1-EXP(((F47+G47)/2)))-F$6&gt;0,((F47+G47)/2),F47)</f>
        <v>-24.8055675322985</v>
      </c>
      <c r="G48" s="37" t="n">
        <f aca="false">IF(F$7*LN(F$7)-F$7*((F47+G47)/2)+(1-F$7)*LN(1-F$7)-(1-F$7)*LN(1-EXP(((F47+G47)/2)))-F$6&gt;0,G47,((F47+G47)/2))</f>
        <v>-24.8055675321783</v>
      </c>
      <c r="H48" s="37" t="n">
        <f aca="false">IF(H$7*LN(H$7)-H$7*((H47+I47)/2)+(1-H$7)*LN(1-H$7)-(1-H$7)*LN(1-EXP(((H47+I47)/2)))-H$6&gt;0,((H47+I47)/2),H47)</f>
        <v>-3.19789114186781</v>
      </c>
      <c r="I48" s="37" t="n">
        <f aca="false">IF(H$7*LN(H$7)-H$7*((H47+I47)/2)+(1-H$7)*LN(1-H$7)-(1-H$7)*LN(1-EXP(((H47+I47)/2)))-H$6&gt;0,I47,((H47+I47)/2))</f>
        <v>-3.19789114174761</v>
      </c>
      <c r="J48" s="37" t="n">
        <f aca="false">IF(J$7*LN(J$7)-J$7*((J47+K47)/2)+(1-J$7)*LN(1-J$7)-(1-J$7)*LN(1-EXP(((J47+K47)/2)))-J$6&gt;0,((J47+K47)/2),J47)</f>
        <v>-3.28605085218352</v>
      </c>
      <c r="K48" s="37" t="n">
        <f aca="false">IF(J$7*LN(J$7)-J$7*((J47+K47)/2)+(1-J$7)*LN(1-J$7)-(1-J$7)*LN(1-EXP(((J47+K47)/2)))-J$6&gt;0,K47,((J47+K47)/2))</f>
        <v>-3.28605085206332</v>
      </c>
      <c r="L48" s="37" t="n">
        <f aca="false">IF(L$7*LN(L$7)-L$7*((L47+M47)/2)+(1-L$7)*LN(1-L$7)-(1-L$7)*LN(1-EXP(((L47+M47)/2)))-L$6&gt;0,((L47+M47)/2),L47)</f>
        <v>-3.46919733857363</v>
      </c>
      <c r="M48" s="37" t="n">
        <f aca="false">IF(L$7*LN(L$7)-L$7*((L47+M47)/2)+(1-L$7)*LN(1-L$7)-(1-L$7)*LN(1-EXP(((L47+M47)/2)))-L$6&gt;0,M47,((L47+M47)/2))</f>
        <v>-3.46919733845343</v>
      </c>
      <c r="N48" s="37" t="n">
        <f aca="false">IF(N$7*LN(N$7)-N$7*((N47+O47)/2)+(1-N$7)*LN(1-N$7)-(1-N$7)*LN(1-EXP(((N47+O47)/2)))-N$6&gt;0,((N47+O47)/2),N47)</f>
        <v>-3.68963394607973</v>
      </c>
      <c r="O48" s="37" t="n">
        <f aca="false">IF(N$7*LN(N$7)-N$7*((N47+O47)/2)+(1-N$7)*LN(1-N$7)-(1-N$7)*LN(1-EXP(((N47+O47)/2)))-N$6&gt;0,O47,((N47+O47)/2))</f>
        <v>-3.68963394595953</v>
      </c>
      <c r="P48" s="37" t="n">
        <f aca="false">IF(P$7*LN(P$7)-P$7*((P47+Q47)/2)+(1-P$7)*LN(1-P$7)-(1-P$7)*LN(1-EXP(((P47+Q47)/2)))-P$6&gt;0,((P47+Q47)/2),P47)</f>
        <v>-4.02932208434698</v>
      </c>
      <c r="Q48" s="37" t="n">
        <f aca="false">IF(P$7*LN(P$7)-P$7*((P47+Q47)/2)+(1-P$7)*LN(1-P$7)-(1-P$7)*LN(1-EXP(((P47+Q47)/2)))-P$6&gt;0,Q47,((P47+Q47)/2))</f>
        <v>-4.02932208422677</v>
      </c>
      <c r="R48" s="37" t="n">
        <f aca="false">IF(R$7*LN(R$7)-R$7*((R47+S47)/2)+(1-R$7)*LN(1-R$7)-(1-R$7)*LN(1-EXP(((R47+S47)/2)))-R$6&gt;0,((R47+S47)/2),R47)</f>
        <v>-4.31449878698427</v>
      </c>
      <c r="S48" s="37" t="n">
        <f aca="false">IF(R$7*LN(R$7)-R$7*((R47+S47)/2)+(1-R$7)*LN(1-R$7)-(1-R$7)*LN(1-EXP(((R47+S47)/2)))-R$6&gt;0,S47,((R47+S47)/2))</f>
        <v>-4.31449878686407</v>
      </c>
      <c r="T48" s="37" t="n">
        <f aca="false">IF(T$7*LN(T$7)-T$7*((T47+U47)/2)+(1-T$7)*LN(1-T$7)-(1-T$7)*LN(1-EXP(((T47+U47)/2)))-T$6&gt;0,((T47+U47)/2),T47)</f>
        <v>-4.81575742549423</v>
      </c>
      <c r="U48" s="37" t="n">
        <f aca="false">IF(T$7*LN(T$7)-T$7*((T47+U47)/2)+(1-T$7)*LN(1-T$7)-(1-T$7)*LN(1-EXP(((T47+U47)/2)))-T$6&gt;0,U47,((T47+U47)/2))</f>
        <v>-4.81575742537402</v>
      </c>
      <c r="V48" s="37" t="n">
        <f aca="false">IF(V$7*LN(V$7)-V$7*((V47+W47)/2)+(1-V$7)*LN(1-V$7)-(1-V$7)*LN(1-EXP(((V47+W47)/2)))-V$6&gt;0,((V47+W47)/2),V47)</f>
        <v>-5.38279983469484</v>
      </c>
      <c r="W48" s="37" t="n">
        <f aca="false">IF(V$7*LN(V$7)-V$7*((V47+W47)/2)+(1-V$7)*LN(1-V$7)-(1-V$7)*LN(1-EXP(((V47+W47)/2)))-V$6&gt;0,W47,((V47+W47)/2))</f>
        <v>-5.38279983457463</v>
      </c>
      <c r="X48" s="37" t="n">
        <f aca="false">IF(X$7*LN(X$7)-X$7*((X47+Y47)/2)+(1-X$7)*LN(1-X$7)-(1-X$7)*LN(1-EXP(((X47+Y47)/2)))-X$6&gt;0,((X47+Y47)/2),X47)</f>
        <v>-5.91917523352845</v>
      </c>
      <c r="Y48" s="37" t="n">
        <f aca="false">IF(X$7*LN(X$7)-X$7*((X47+Y47)/2)+(1-X$7)*LN(1-X$7)-(1-X$7)*LN(1-EXP(((X47+Y47)/2)))-X$6&gt;0,Y47,((X47+Y47)/2))</f>
        <v>-5.91917523340824</v>
      </c>
      <c r="Z48" s="37" t="n">
        <f aca="false">IF(Z$7*LN(Z$7)-Z$7*((Z47+AA47)/2)+(1-Z$7)*LN(1-Z$7)-(1-Z$7)*LN(1-EXP(((Z47+AA47)/2)))-Z$6&gt;0,((Z47+AA47)/2),Z47)</f>
        <v>-6.95212068553101</v>
      </c>
      <c r="AA48" s="37" t="n">
        <f aca="false">IF(Z$7*LN(Z$7)-Z$7*((Z47+AA47)/2)+(1-Z$7)*LN(1-Z$7)-(1-Z$7)*LN(1-EXP(((Z47+AA47)/2)))-Z$6&gt;0,AA47,((Z47+AA47)/2))</f>
        <v>-6.9521206854108</v>
      </c>
      <c r="AB48" s="37" t="n">
        <f aca="false">IF((((AB47+AC47)/2))*LN((((AB47+AC47)/2))/(AB$7))+(1-(((AB47+AC47)/2)))*LN((1-(((AB47+AC47)/2)))/(1-(AB$7)))-AB$6&lt;0,((AB47+AC47)/2),AB47)</f>
        <v>0.0600408213766059</v>
      </c>
      <c r="AC48" s="37" t="n">
        <f aca="false">IF((((AB47+AC47)/2))*LN((((AB47+AC47)/2))/(AB$7))+(1-(((AB47+AC47)/2)))*LN((1-(((AB47+AC47)/2)))/(1-(AB$7)))-AB$6&lt;0,AC47,((AB47+AC47)/2))</f>
        <v>0.0600408213783339</v>
      </c>
      <c r="AD48" s="37" t="n">
        <f aca="false">IF((((AD47+AE47)/2))*LN((((AD47+AE47)/2))/(AD$7))+(1-(((AD47+AE47)/2)))*LN((1-(((AD47+AE47)/2)))/(1-(AD$7)))-AD$6&lt;0,((AD47+AE47)/2),AD47)</f>
        <v>0.0677518178846185</v>
      </c>
      <c r="AE48" s="37" t="n">
        <f aca="false">IF((((AD47+AE47)/2))*LN((((AD47+AE47)/2))/(AD$7))+(1-(((AD47+AE47)/2)))*LN((1-(((AD47+AE47)/2)))/(1-(AD$7)))-AD$6&lt;0,AE47,((AD47+AE47)/2))</f>
        <v>0.0677518178863465</v>
      </c>
      <c r="AF48" s="37" t="n">
        <f aca="false">IF((((AF47+AG47)/2))*LN((((AF47+AG47)/2))/(AF$7))+(1-(((AF47+AG47)/2)))*LN((1-(((AF47+AG47)/2)))/(1-(AF$7)))-AF$6&lt;0,((AF47+AG47)/2),AF47)</f>
        <v>0.0836482674840226</v>
      </c>
      <c r="AG48" s="37" t="n">
        <f aca="false">IF((((AF47+AG47)/2))*LN((((AF47+AG47)/2))/(AF$7))+(1-(((AF47+AG47)/2)))*LN((1-(((AF47+AG47)/2)))/(1-(AF$7)))-AF$6&lt;0,AG47,((AF47+AG47)/2))</f>
        <v>0.0836482674857507</v>
      </c>
      <c r="AH48" s="37" t="n">
        <f aca="false">IF((((AH47+AI47)/2))*LN((((AH47+AI47)/2))/(AH$7))+(1-(((AH47+AI47)/2)))*LN((1-(((AH47+AI47)/2)))/(1-(AH$7)))-AH$6&lt;0,((AH47+AI47)/2),AH47)</f>
        <v>0.111548048226177</v>
      </c>
      <c r="AI48" s="37" t="n">
        <f aca="false">IF((((AH47+AI47)/2))*LN((((AH47+AI47)/2))/(AH$7))+(1-(((AH47+AI47)/2)))*LN((1-(((AH47+AI47)/2)))/(1-(AH$7)))-AH$6&lt;0,AI47,((AH47+AI47)/2))</f>
        <v>0.111548048227905</v>
      </c>
      <c r="AJ48" s="37" t="n">
        <f aca="false">IF((((AJ47+AK47)/2))*LN((((AJ47+AK47)/2))/(AJ$7))+(1-(((AJ47+AK47)/2)))*LN((1-(((AJ47+AK47)/2)))/(1-(AJ$7)))-AJ$6&lt;0,((AJ47+AK47)/2),AJ47)</f>
        <v>0.172949347712074</v>
      </c>
      <c r="AK48" s="37" t="n">
        <f aca="false">IF((((AJ47+AK47)/2))*LN((((AJ47+AK47)/2))/(AJ$7))+(1-(((AJ47+AK47)/2)))*LN((1-(((AJ47+AK47)/2)))/(1-(AJ$7)))-AJ$6&lt;0,AK47,((AJ47+AK47)/2))</f>
        <v>0.172949347713802</v>
      </c>
      <c r="AL48" s="37" t="n">
        <f aca="false">IF((((AL47+AM47)/2))*LN((((AL47+AM47)/2))/(AL$7))+(1-(((AL47+AM47)/2)))*LN((1-(((AL47+AM47)/2)))/(1-(AL$7)))-AL$6&lt;0,((AL47+AM47)/2),AL47)</f>
        <v>0.288519197340974</v>
      </c>
      <c r="AM48" s="37" t="n">
        <f aca="false">IF((((AL47+AM47)/2))*LN((((AL47+AM47)/2))/(AL$7))+(1-(((AL47+AM47)/2)))*LN((1-(((AL47+AM47)/2)))/(1-(AL$7)))-AL$6&lt;0,AM47,((AL47+AM47)/2))</f>
        <v>0.288519197342703</v>
      </c>
      <c r="AN48" s="37" t="n">
        <f aca="false">IF((((AN47+AO47)/2))*LN((((AN47+AO47)/2))/(AN$7))+(1-(((AN47+AO47)/2)))*LN((1-(((AN47+AO47)/2)))/(1-(AN$7)))-AN$6&lt;0,((AN47+AO47)/2),AN47)</f>
        <v>0.555514150436101</v>
      </c>
      <c r="AO48" s="37" t="n">
        <f aca="false">IF((((AN47+AO47)/2))*LN((((AN47+AO47)/2))/(AN$7))+(1-(((AN47+AO47)/2)))*LN((1-(((AN47+AO47)/2)))/(1-(AN$7)))-AN$6&lt;0,AO47,((AN47+AO47)/2))</f>
        <v>0.555514150437829</v>
      </c>
      <c r="AP48" s="37" t="n">
        <f aca="false">IF(AP$7*LN(AP$7)-AP$7*((AP47+AQ47)/2)+(1-AP$7)*LN(1-AP$7)-(1-AP$7)*LN(1-EXP(((AP47+AQ47)/2)))-AP$6&gt;0,((AP47+AQ47)/2),AP47)</f>
        <v>-3.68963394607973</v>
      </c>
      <c r="AQ48" s="37" t="n">
        <f aca="false">IF(AP$7*LN(AP$7)-AP$7*((AP47+AQ47)/2)+(1-AP$7)*LN(1-AP$7)-(1-AP$7)*LN(1-EXP(((AP47+AQ47)/2)))-AP$6&gt;0,AQ47,((AP47+AQ47)/2))</f>
        <v>-3.68963394595953</v>
      </c>
      <c r="AR48" s="37" t="n">
        <f aca="false">IF((((AR47+AS47)/2))*LN((((AR47+AS47)/2))/(AR$7))+(1-(((AR47+AS47)/2)))*LN((1-(((AR47+AS47)/2)))/(1-(AR$7)))-AR$6&lt;0,((AR47+AS47)/2),AR47)</f>
        <v>0.0836482674840226</v>
      </c>
      <c r="AS48" s="37" t="n">
        <f aca="false">IF((((AR47+AS47)/2))*LN((((AR47+AS47)/2))/(AR$7))+(1-(((AR47+AS47)/2)))*LN((1-(((AR47+AS47)/2)))/(1-(AR$7)))-AR$6&lt;0,AS47,((AR47+AS47)/2))</f>
        <v>0.0836482674857507</v>
      </c>
    </row>
    <row r="49" customFormat="false" ht="15" hidden="false" customHeight="false" outlineLevel="0" collapsed="false">
      <c r="B49" s="37" t="n">
        <f aca="false">IF(B$7*LN(B$7)-B$7*((B48+C48)/2)+(1-B$7)*LN(1-B$7)-(1-B$7)*LN(1-EXP(((B48+C48)/2)))-B$6&gt;0,((B48+C48)/2),B48)</f>
        <v>-12.7416806086984</v>
      </c>
      <c r="C49" s="37" t="n">
        <f aca="false">IF(B$7*LN(B$7)-B$7*((B48+C48)/2)+(1-B$7)*LN(1-B$7)-(1-B$7)*LN(1-EXP(((B48+C48)/2)))-B$6&gt;0,C48,((B48+C48)/2))</f>
        <v>-12.7416806086383</v>
      </c>
      <c r="D49" s="37" t="n">
        <f aca="false">IF(D$7*LN(D$7)-D$7*((D48+E48)/2)+(1-D$7)*LN(1-D$7)-(1-D$7)*LN(1-EXP(((D48+E48)/2)))-D$6&gt;0,((D48+E48)/2),D48)</f>
        <v>-16.0341341195584</v>
      </c>
      <c r="E49" s="37" t="n">
        <f aca="false">IF(D$7*LN(D$7)-D$7*((D48+E48)/2)+(1-D$7)*LN(1-D$7)-(1-D$7)*LN(1-EXP(((D48+E48)/2)))-D$6&gt;0,E48,((D48+E48)/2))</f>
        <v>-16.0341341194983</v>
      </c>
      <c r="F49" s="37" t="n">
        <f aca="false">IF(F$7*LN(F$7)-F$7*((F48+G48)/2)+(1-F$7)*LN(1-F$7)-(1-F$7)*LN(1-EXP(((F48+G48)/2)))-F$6&gt;0,((F48+G48)/2),F48)</f>
        <v>-24.8055675322384</v>
      </c>
      <c r="G49" s="37" t="n">
        <f aca="false">IF(F$7*LN(F$7)-F$7*((F48+G48)/2)+(1-F$7)*LN(1-F$7)-(1-F$7)*LN(1-EXP(((F48+G48)/2)))-F$6&gt;0,G48,((F48+G48)/2))</f>
        <v>-24.8055675321783</v>
      </c>
      <c r="H49" s="37" t="n">
        <f aca="false">IF(H$7*LN(H$7)-H$7*((H48+I48)/2)+(1-H$7)*LN(1-H$7)-(1-H$7)*LN(1-EXP(((H48+I48)/2)))-H$6&gt;0,((H48+I48)/2),H48)</f>
        <v>-3.19789114186781</v>
      </c>
      <c r="I49" s="37" t="n">
        <f aca="false">IF(H$7*LN(H$7)-H$7*((H48+I48)/2)+(1-H$7)*LN(1-H$7)-(1-H$7)*LN(1-EXP(((H48+I48)/2)))-H$6&gt;0,I48,((H48+I48)/2))</f>
        <v>-3.19789114180771</v>
      </c>
      <c r="J49" s="37" t="n">
        <f aca="false">IF(J$7*LN(J$7)-J$7*((J48+K48)/2)+(1-J$7)*LN(1-J$7)-(1-J$7)*LN(1-EXP(((J48+K48)/2)))-J$6&gt;0,((J48+K48)/2),J48)</f>
        <v>-3.28605085218352</v>
      </c>
      <c r="K49" s="37" t="n">
        <f aca="false">IF(J$7*LN(J$7)-J$7*((J48+K48)/2)+(1-J$7)*LN(1-J$7)-(1-J$7)*LN(1-EXP(((J48+K48)/2)))-J$6&gt;0,K48,((J48+K48)/2))</f>
        <v>-3.28605085212342</v>
      </c>
      <c r="L49" s="37" t="n">
        <f aca="false">IF(L$7*LN(L$7)-L$7*((L48+M48)/2)+(1-L$7)*LN(1-L$7)-(1-L$7)*LN(1-EXP(((L48+M48)/2)))-L$6&gt;0,((L48+M48)/2),L48)</f>
        <v>-3.46919733851353</v>
      </c>
      <c r="M49" s="37" t="n">
        <f aca="false">IF(L$7*LN(L$7)-L$7*((L48+M48)/2)+(1-L$7)*LN(1-L$7)-(1-L$7)*LN(1-EXP(((L48+M48)/2)))-L$6&gt;0,M48,((L48+M48)/2))</f>
        <v>-3.46919733845343</v>
      </c>
      <c r="N49" s="37" t="n">
        <f aca="false">IF(N$7*LN(N$7)-N$7*((N48+O48)/2)+(1-N$7)*LN(1-N$7)-(1-N$7)*LN(1-EXP(((N48+O48)/2)))-N$6&gt;0,((N48+O48)/2),N48)</f>
        <v>-3.68963394601963</v>
      </c>
      <c r="O49" s="37" t="n">
        <f aca="false">IF(N$7*LN(N$7)-N$7*((N48+O48)/2)+(1-N$7)*LN(1-N$7)-(1-N$7)*LN(1-EXP(((N48+O48)/2)))-N$6&gt;0,O48,((N48+O48)/2))</f>
        <v>-3.68963394595953</v>
      </c>
      <c r="P49" s="37" t="n">
        <f aca="false">IF(P$7*LN(P$7)-P$7*((P48+Q48)/2)+(1-P$7)*LN(1-P$7)-(1-P$7)*LN(1-EXP(((P48+Q48)/2)))-P$6&gt;0,((P48+Q48)/2),P48)</f>
        <v>-4.02932208428688</v>
      </c>
      <c r="Q49" s="37" t="n">
        <f aca="false">IF(P$7*LN(P$7)-P$7*((P48+Q48)/2)+(1-P$7)*LN(1-P$7)-(1-P$7)*LN(1-EXP(((P48+Q48)/2)))-P$6&gt;0,Q48,((P48+Q48)/2))</f>
        <v>-4.02932208422677</v>
      </c>
      <c r="R49" s="37" t="n">
        <f aca="false">IF(R$7*LN(R$7)-R$7*((R48+S48)/2)+(1-R$7)*LN(1-R$7)-(1-R$7)*LN(1-EXP(((R48+S48)/2)))-R$6&gt;0,((R48+S48)/2),R48)</f>
        <v>-4.31449878692417</v>
      </c>
      <c r="S49" s="37" t="n">
        <f aca="false">IF(R$7*LN(R$7)-R$7*((R48+S48)/2)+(1-R$7)*LN(1-R$7)-(1-R$7)*LN(1-EXP(((R48+S48)/2)))-R$6&gt;0,S48,((R48+S48)/2))</f>
        <v>-4.31449878686407</v>
      </c>
      <c r="T49" s="37" t="n">
        <f aca="false">IF(T$7*LN(T$7)-T$7*((T48+U48)/2)+(1-T$7)*LN(1-T$7)-(1-T$7)*LN(1-EXP(((T48+U48)/2)))-T$6&gt;0,((T48+U48)/2),T48)</f>
        <v>-4.81575742543413</v>
      </c>
      <c r="U49" s="37" t="n">
        <f aca="false">IF(T$7*LN(T$7)-T$7*((T48+U48)/2)+(1-T$7)*LN(1-T$7)-(1-T$7)*LN(1-EXP(((T48+U48)/2)))-T$6&gt;0,U48,((T48+U48)/2))</f>
        <v>-4.81575742537402</v>
      </c>
      <c r="V49" s="37" t="n">
        <f aca="false">IF(V$7*LN(V$7)-V$7*((V48+W48)/2)+(1-V$7)*LN(1-V$7)-(1-V$7)*LN(1-EXP(((V48+W48)/2)))-V$6&gt;0,((V48+W48)/2),V48)</f>
        <v>-5.38279983463474</v>
      </c>
      <c r="W49" s="37" t="n">
        <f aca="false">IF(V$7*LN(V$7)-V$7*((V48+W48)/2)+(1-V$7)*LN(1-V$7)-(1-V$7)*LN(1-EXP(((V48+W48)/2)))-V$6&gt;0,W48,((V48+W48)/2))</f>
        <v>-5.38279983457463</v>
      </c>
      <c r="X49" s="37" t="n">
        <f aca="false">IF(X$7*LN(X$7)-X$7*((X48+Y48)/2)+(1-X$7)*LN(1-X$7)-(1-X$7)*LN(1-EXP(((X48+Y48)/2)))-X$6&gt;0,((X48+Y48)/2),X48)</f>
        <v>-5.91917523352845</v>
      </c>
      <c r="Y49" s="37" t="n">
        <f aca="false">IF(X$7*LN(X$7)-X$7*((X48+Y48)/2)+(1-X$7)*LN(1-X$7)-(1-X$7)*LN(1-EXP(((X48+Y48)/2)))-X$6&gt;0,Y48,((X48+Y48)/2))</f>
        <v>-5.91917523346834</v>
      </c>
      <c r="Z49" s="37" t="n">
        <f aca="false">IF(Z$7*LN(Z$7)-Z$7*((Z48+AA48)/2)+(1-Z$7)*LN(1-Z$7)-(1-Z$7)*LN(1-EXP(((Z48+AA48)/2)))-Z$6&gt;0,((Z48+AA48)/2),Z48)</f>
        <v>-6.9521206854709</v>
      </c>
      <c r="AA49" s="37" t="n">
        <f aca="false">IF(Z$7*LN(Z$7)-Z$7*((Z48+AA48)/2)+(1-Z$7)*LN(1-Z$7)-(1-Z$7)*LN(1-EXP(((Z48+AA48)/2)))-Z$6&gt;0,AA48,((Z48+AA48)/2))</f>
        <v>-6.9521206854108</v>
      </c>
      <c r="AB49" s="37" t="n">
        <f aca="false">IF((((AB48+AC48)/2))*LN((((AB48+AC48)/2))/(AB$7))+(1-(((AB48+AC48)/2)))*LN((1-(((AB48+AC48)/2)))/(1-(AB$7)))-AB$6&lt;0,((AB48+AC48)/2),AB48)</f>
        <v>0.0600408213766059</v>
      </c>
      <c r="AC49" s="37" t="n">
        <f aca="false">IF((((AB48+AC48)/2))*LN((((AB48+AC48)/2))/(AB$7))+(1-(((AB48+AC48)/2)))*LN((1-(((AB48+AC48)/2)))/(1-(AB$7)))-AB$6&lt;0,AC48,((AB48+AC48)/2))</f>
        <v>0.0600408213774699</v>
      </c>
      <c r="AD49" s="37" t="n">
        <f aca="false">IF((((AD48+AE48)/2))*LN((((AD48+AE48)/2))/(AD$7))+(1-(((AD48+AE48)/2)))*LN((1-(((AD48+AE48)/2)))/(1-(AD$7)))-AD$6&lt;0,((AD48+AE48)/2),AD48)</f>
        <v>0.0677518178854825</v>
      </c>
      <c r="AE49" s="37" t="n">
        <f aca="false">IF((((AD48+AE48)/2))*LN((((AD48+AE48)/2))/(AD$7))+(1-(((AD48+AE48)/2)))*LN((1-(((AD48+AE48)/2)))/(1-(AD$7)))-AD$6&lt;0,AE48,((AD48+AE48)/2))</f>
        <v>0.0677518178863465</v>
      </c>
      <c r="AF49" s="37" t="n">
        <f aca="false">IF((((AF48+AG48)/2))*LN((((AF48+AG48)/2))/(AF$7))+(1-(((AF48+AG48)/2)))*LN((1-(((AF48+AG48)/2)))/(1-(AF$7)))-AF$6&lt;0,((AF48+AG48)/2),AF48)</f>
        <v>0.0836482674848866</v>
      </c>
      <c r="AG49" s="37" t="n">
        <f aca="false">IF((((AF48+AG48)/2))*LN((((AF48+AG48)/2))/(AF$7))+(1-(((AF48+AG48)/2)))*LN((1-(((AF48+AG48)/2)))/(1-(AF$7)))-AF$6&lt;0,AG48,((AF48+AG48)/2))</f>
        <v>0.0836482674857507</v>
      </c>
      <c r="AH49" s="37" t="n">
        <f aca="false">IF((((AH48+AI48)/2))*LN((((AH48+AI48)/2))/(AH$7))+(1-(((AH48+AI48)/2)))*LN((1-(((AH48+AI48)/2)))/(1-(AH$7)))-AH$6&lt;0,((AH48+AI48)/2),AH48)</f>
        <v>0.111548048226177</v>
      </c>
      <c r="AI49" s="37" t="n">
        <f aca="false">IF((((AH48+AI48)/2))*LN((((AH48+AI48)/2))/(AH$7))+(1-(((AH48+AI48)/2)))*LN((1-(((AH48+AI48)/2)))/(1-(AH$7)))-AH$6&lt;0,AI48,((AH48+AI48)/2))</f>
        <v>0.111548048227041</v>
      </c>
      <c r="AJ49" s="37" t="n">
        <f aca="false">IF((((AJ48+AK48)/2))*LN((((AJ48+AK48)/2))/(AJ$7))+(1-(((AJ48+AK48)/2)))*LN((1-(((AJ48+AK48)/2)))/(1-(AJ$7)))-AJ$6&lt;0,((AJ48+AK48)/2),AJ48)</f>
        <v>0.172949347712938</v>
      </c>
      <c r="AK49" s="37" t="n">
        <f aca="false">IF((((AJ48+AK48)/2))*LN((((AJ48+AK48)/2))/(AJ$7))+(1-(((AJ48+AK48)/2)))*LN((1-(((AJ48+AK48)/2)))/(1-(AJ$7)))-AJ$6&lt;0,AK48,((AJ48+AK48)/2))</f>
        <v>0.172949347713802</v>
      </c>
      <c r="AL49" s="37" t="n">
        <f aca="false">IF((((AL48+AM48)/2))*LN((((AL48+AM48)/2))/(AL$7))+(1-(((AL48+AM48)/2)))*LN((1-(((AL48+AM48)/2)))/(1-(AL$7)))-AL$6&lt;0,((AL48+AM48)/2),AL48)</f>
        <v>0.288519197341838</v>
      </c>
      <c r="AM49" s="37" t="n">
        <f aca="false">IF((((AL48+AM48)/2))*LN((((AL48+AM48)/2))/(AL$7))+(1-(((AL48+AM48)/2)))*LN((1-(((AL48+AM48)/2)))/(1-(AL$7)))-AL$6&lt;0,AM48,((AL48+AM48)/2))</f>
        <v>0.288519197342703</v>
      </c>
      <c r="AN49" s="37" t="n">
        <f aca="false">IF((((AN48+AO48)/2))*LN((((AN48+AO48)/2))/(AN$7))+(1-(((AN48+AO48)/2)))*LN((1-(((AN48+AO48)/2)))/(1-(AN$7)))-AN$6&lt;0,((AN48+AO48)/2),AN48)</f>
        <v>0.555514150436101</v>
      </c>
      <c r="AO49" s="37" t="n">
        <f aca="false">IF((((AN48+AO48)/2))*LN((((AN48+AO48)/2))/(AN$7))+(1-(((AN48+AO48)/2)))*LN((1-(((AN48+AO48)/2)))/(1-(AN$7)))-AN$6&lt;0,AO48,((AN48+AO48)/2))</f>
        <v>0.555514150436965</v>
      </c>
      <c r="AP49" s="37" t="n">
        <f aca="false">IF(AP$7*LN(AP$7)-AP$7*((AP48+AQ48)/2)+(1-AP$7)*LN(1-AP$7)-(1-AP$7)*LN(1-EXP(((AP48+AQ48)/2)))-AP$6&gt;0,((AP48+AQ48)/2),AP48)</f>
        <v>-3.68963394601963</v>
      </c>
      <c r="AQ49" s="37" t="n">
        <f aca="false">IF(AP$7*LN(AP$7)-AP$7*((AP48+AQ48)/2)+(1-AP$7)*LN(1-AP$7)-(1-AP$7)*LN(1-EXP(((AP48+AQ48)/2)))-AP$6&gt;0,AQ48,((AP48+AQ48)/2))</f>
        <v>-3.68963394595953</v>
      </c>
      <c r="AR49" s="37" t="n">
        <f aca="false">IF((((AR48+AS48)/2))*LN((((AR48+AS48)/2))/(AR$7))+(1-(((AR48+AS48)/2)))*LN((1-(((AR48+AS48)/2)))/(1-(AR$7)))-AR$6&lt;0,((AR48+AS48)/2),AR48)</f>
        <v>0.0836482674848866</v>
      </c>
      <c r="AS49" s="37" t="n">
        <f aca="false">IF((((AR48+AS48)/2))*LN((((AR48+AS48)/2))/(AR$7))+(1-(((AR48+AS48)/2)))*LN((1-(((AR48+AS48)/2)))/(1-(AR$7)))-AR$6&lt;0,AS48,((AR48+AS48)/2))</f>
        <v>0.0836482674857507</v>
      </c>
    </row>
    <row r="50" customFormat="false" ht="15" hidden="false" customHeight="false" outlineLevel="0" collapsed="false">
      <c r="B50" s="37" t="n">
        <f aca="false">IF(B$7*LN(B$7)-B$7*((B49+C49)/2)+(1-B$7)*LN(1-B$7)-(1-B$7)*LN(1-EXP(((B49+C49)/2)))-B$6&gt;0,((B49+C49)/2),B49)</f>
        <v>-12.7416806086683</v>
      </c>
      <c r="C50" s="37" t="n">
        <f aca="false">IF(B$7*LN(B$7)-B$7*((B49+C49)/2)+(1-B$7)*LN(1-B$7)-(1-B$7)*LN(1-EXP(((B49+C49)/2)))-B$6&gt;0,C49,((B49+C49)/2))</f>
        <v>-12.7416806086383</v>
      </c>
      <c r="D50" s="37" t="n">
        <f aca="false">IF(D$7*LN(D$7)-D$7*((D49+E49)/2)+(1-D$7)*LN(1-D$7)-(1-D$7)*LN(1-EXP(((D49+E49)/2)))-D$6&gt;0,((D49+E49)/2),D49)</f>
        <v>-16.0341341195584</v>
      </c>
      <c r="E50" s="37" t="n">
        <f aca="false">IF(D$7*LN(D$7)-D$7*((D49+E49)/2)+(1-D$7)*LN(1-D$7)-(1-D$7)*LN(1-EXP(((D49+E49)/2)))-D$6&gt;0,E49,((D49+E49)/2))</f>
        <v>-16.0341341195284</v>
      </c>
      <c r="F50" s="37" t="n">
        <f aca="false">IF(F$7*LN(F$7)-F$7*((F49+G49)/2)+(1-F$7)*LN(1-F$7)-(1-F$7)*LN(1-EXP(((F49+G49)/2)))-F$6&gt;0,((F49+G49)/2),F49)</f>
        <v>-24.8055675322384</v>
      </c>
      <c r="G50" s="37" t="n">
        <f aca="false">IF(F$7*LN(F$7)-F$7*((F49+G49)/2)+(1-F$7)*LN(1-F$7)-(1-F$7)*LN(1-EXP(((F49+G49)/2)))-F$6&gt;0,G49,((F49+G49)/2))</f>
        <v>-24.8055675322084</v>
      </c>
      <c r="H50" s="37" t="n">
        <f aca="false">IF(H$7*LN(H$7)-H$7*((H49+I49)/2)+(1-H$7)*LN(1-H$7)-(1-H$7)*LN(1-EXP(((H49+I49)/2)))-H$6&gt;0,((H49+I49)/2),H49)</f>
        <v>-3.19789114183776</v>
      </c>
      <c r="I50" s="37" t="n">
        <f aca="false">IF(H$7*LN(H$7)-H$7*((H49+I49)/2)+(1-H$7)*LN(1-H$7)-(1-H$7)*LN(1-EXP(((H49+I49)/2)))-H$6&gt;0,I49,((H49+I49)/2))</f>
        <v>-3.19789114180771</v>
      </c>
      <c r="J50" s="37" t="n">
        <f aca="false">IF(J$7*LN(J$7)-J$7*((J49+K49)/2)+(1-J$7)*LN(1-J$7)-(1-J$7)*LN(1-EXP(((J49+K49)/2)))-J$6&gt;0,((J49+K49)/2),J49)</f>
        <v>-3.28605085215347</v>
      </c>
      <c r="K50" s="37" t="n">
        <f aca="false">IF(J$7*LN(J$7)-J$7*((J49+K49)/2)+(1-J$7)*LN(1-J$7)-(1-J$7)*LN(1-EXP(((J49+K49)/2)))-J$6&gt;0,K49,((J49+K49)/2))</f>
        <v>-3.28605085212342</v>
      </c>
      <c r="L50" s="37" t="n">
        <f aca="false">IF(L$7*LN(L$7)-L$7*((L49+M49)/2)+(1-L$7)*LN(1-L$7)-(1-L$7)*LN(1-EXP(((L49+M49)/2)))-L$6&gt;0,((L49+M49)/2),L49)</f>
        <v>-3.46919733848348</v>
      </c>
      <c r="M50" s="37" t="n">
        <f aca="false">IF(L$7*LN(L$7)-L$7*((L49+M49)/2)+(1-L$7)*LN(1-L$7)-(1-L$7)*LN(1-EXP(((L49+M49)/2)))-L$6&gt;0,M49,((L49+M49)/2))</f>
        <v>-3.46919733845343</v>
      </c>
      <c r="N50" s="37" t="n">
        <f aca="false">IF(N$7*LN(N$7)-N$7*((N49+O49)/2)+(1-N$7)*LN(1-N$7)-(1-N$7)*LN(1-EXP(((N49+O49)/2)))-N$6&gt;0,((N49+O49)/2),N49)</f>
        <v>-3.68963394601963</v>
      </c>
      <c r="O50" s="37" t="n">
        <f aca="false">IF(N$7*LN(N$7)-N$7*((N49+O49)/2)+(1-N$7)*LN(1-N$7)-(1-N$7)*LN(1-EXP(((N49+O49)/2)))-N$6&gt;0,O49,((N49+O49)/2))</f>
        <v>-3.68963394598958</v>
      </c>
      <c r="P50" s="37" t="n">
        <f aca="false">IF(P$7*LN(P$7)-P$7*((P49+Q49)/2)+(1-P$7)*LN(1-P$7)-(1-P$7)*LN(1-EXP(((P49+Q49)/2)))-P$6&gt;0,((P49+Q49)/2),P49)</f>
        <v>-4.02932208428688</v>
      </c>
      <c r="Q50" s="37" t="n">
        <f aca="false">IF(P$7*LN(P$7)-P$7*((P49+Q49)/2)+(1-P$7)*LN(1-P$7)-(1-P$7)*LN(1-EXP(((P49+Q49)/2)))-P$6&gt;0,Q49,((P49+Q49)/2))</f>
        <v>-4.02932208425682</v>
      </c>
      <c r="R50" s="37" t="n">
        <f aca="false">IF(R$7*LN(R$7)-R$7*((R49+S49)/2)+(1-R$7)*LN(1-R$7)-(1-R$7)*LN(1-EXP(((R49+S49)/2)))-R$6&gt;0,((R49+S49)/2),R49)</f>
        <v>-4.31449878692417</v>
      </c>
      <c r="S50" s="37" t="n">
        <f aca="false">IF(R$7*LN(R$7)-R$7*((R49+S49)/2)+(1-R$7)*LN(1-R$7)-(1-R$7)*LN(1-EXP(((R49+S49)/2)))-R$6&gt;0,S49,((R49+S49)/2))</f>
        <v>-4.31449878689412</v>
      </c>
      <c r="T50" s="37" t="n">
        <f aca="false">IF(T$7*LN(T$7)-T$7*((T49+U49)/2)+(1-T$7)*LN(1-T$7)-(1-T$7)*LN(1-EXP(((T49+U49)/2)))-T$6&gt;0,((T49+U49)/2),T49)</f>
        <v>-4.81575742543413</v>
      </c>
      <c r="U50" s="37" t="n">
        <f aca="false">IF(T$7*LN(T$7)-T$7*((T49+U49)/2)+(1-T$7)*LN(1-T$7)-(1-T$7)*LN(1-EXP(((T49+U49)/2)))-T$6&gt;0,U49,((T49+U49)/2))</f>
        <v>-4.81575742540407</v>
      </c>
      <c r="V50" s="37" t="n">
        <f aca="false">IF(V$7*LN(V$7)-V$7*((V49+W49)/2)+(1-V$7)*LN(1-V$7)-(1-V$7)*LN(1-EXP(((V49+W49)/2)))-V$6&gt;0,((V49+W49)/2),V49)</f>
        <v>-5.38279983463474</v>
      </c>
      <c r="W50" s="37" t="n">
        <f aca="false">IF(V$7*LN(V$7)-V$7*((V49+W49)/2)+(1-V$7)*LN(1-V$7)-(1-V$7)*LN(1-EXP(((V49+W49)/2)))-V$6&gt;0,W49,((V49+W49)/2))</f>
        <v>-5.38279983460468</v>
      </c>
      <c r="X50" s="37" t="n">
        <f aca="false">IF(X$7*LN(X$7)-X$7*((X49+Y49)/2)+(1-X$7)*LN(1-X$7)-(1-X$7)*LN(1-EXP(((X49+Y49)/2)))-X$6&gt;0,((X49+Y49)/2),X49)</f>
        <v>-5.9191752334984</v>
      </c>
      <c r="Y50" s="37" t="n">
        <f aca="false">IF(X$7*LN(X$7)-X$7*((X49+Y49)/2)+(1-X$7)*LN(1-X$7)-(1-X$7)*LN(1-EXP(((X49+Y49)/2)))-X$6&gt;0,Y49,((X49+Y49)/2))</f>
        <v>-5.91917523346834</v>
      </c>
      <c r="Z50" s="37" t="n">
        <f aca="false">IF(Z$7*LN(Z$7)-Z$7*((Z49+AA49)/2)+(1-Z$7)*LN(1-Z$7)-(1-Z$7)*LN(1-EXP(((Z49+AA49)/2)))-Z$6&gt;0,((Z49+AA49)/2),Z49)</f>
        <v>-6.9521206854709</v>
      </c>
      <c r="AA50" s="37" t="n">
        <f aca="false">IF(Z$7*LN(Z$7)-Z$7*((Z49+AA49)/2)+(1-Z$7)*LN(1-Z$7)-(1-Z$7)*LN(1-EXP(((Z49+AA49)/2)))-Z$6&gt;0,AA49,((Z49+AA49)/2))</f>
        <v>-6.95212068544085</v>
      </c>
      <c r="AB50" s="37" t="n">
        <f aca="false">IF((((AB49+AC49)/2))*LN((((AB49+AC49)/2))/(AB$7))+(1-(((AB49+AC49)/2)))*LN((1-(((AB49+AC49)/2)))/(1-(AB$7)))-AB$6&lt;0,((AB49+AC49)/2),AB49)</f>
        <v>0.0600408213770379</v>
      </c>
      <c r="AC50" s="37" t="n">
        <f aca="false">IF((((AB49+AC49)/2))*LN((((AB49+AC49)/2))/(AB$7))+(1-(((AB49+AC49)/2)))*LN((1-(((AB49+AC49)/2)))/(1-(AB$7)))-AB$6&lt;0,AC49,((AB49+AC49)/2))</f>
        <v>0.0600408213774699</v>
      </c>
      <c r="AD50" s="37" t="n">
        <f aca="false">IF((((AD49+AE49)/2))*LN((((AD49+AE49)/2))/(AD$7))+(1-(((AD49+AE49)/2)))*LN((1-(((AD49+AE49)/2)))/(1-(AD$7)))-AD$6&lt;0,((AD49+AE49)/2),AD49)</f>
        <v>0.0677518178859145</v>
      </c>
      <c r="AE50" s="37" t="n">
        <f aca="false">IF((((AD49+AE49)/2))*LN((((AD49+AE49)/2))/(AD$7))+(1-(((AD49+AE49)/2)))*LN((1-(((AD49+AE49)/2)))/(1-(AD$7)))-AD$6&lt;0,AE49,((AD49+AE49)/2))</f>
        <v>0.0677518178863465</v>
      </c>
      <c r="AF50" s="37" t="n">
        <f aca="false">IF((((AF49+AG49)/2))*LN((((AF49+AG49)/2))/(AF$7))+(1-(((AF49+AG49)/2)))*LN((1-(((AF49+AG49)/2)))/(1-(AF$7)))-AF$6&lt;0,((AF49+AG49)/2),AF49)</f>
        <v>0.0836482674853186</v>
      </c>
      <c r="AG50" s="37" t="n">
        <f aca="false">IF((((AF49+AG49)/2))*LN((((AF49+AG49)/2))/(AF$7))+(1-(((AF49+AG49)/2)))*LN((1-(((AF49+AG49)/2)))/(1-(AF$7)))-AF$6&lt;0,AG49,((AF49+AG49)/2))</f>
        <v>0.0836482674857507</v>
      </c>
      <c r="AH50" s="37" t="n">
        <f aca="false">IF((((AH49+AI49)/2))*LN((((AH49+AI49)/2))/(AH$7))+(1-(((AH49+AI49)/2)))*LN((1-(((AH49+AI49)/2)))/(1-(AH$7)))-AH$6&lt;0,((AH49+AI49)/2),AH49)</f>
        <v>0.111548048226609</v>
      </c>
      <c r="AI50" s="37" t="n">
        <f aca="false">IF((((AH49+AI49)/2))*LN((((AH49+AI49)/2))/(AH$7))+(1-(((AH49+AI49)/2)))*LN((1-(((AH49+AI49)/2)))/(1-(AH$7)))-AH$6&lt;0,AI49,((AH49+AI49)/2))</f>
        <v>0.111548048227041</v>
      </c>
      <c r="AJ50" s="37" t="n">
        <f aca="false">IF((((AJ49+AK49)/2))*LN((((AJ49+AK49)/2))/(AJ$7))+(1-(((AJ49+AK49)/2)))*LN((1-(((AJ49+AK49)/2)))/(1-(AJ$7)))-AJ$6&lt;0,((AJ49+AK49)/2),AJ49)</f>
        <v>0.17294934771337</v>
      </c>
      <c r="AK50" s="37" t="n">
        <f aca="false">IF((((AJ49+AK49)/2))*LN((((AJ49+AK49)/2))/(AJ$7))+(1-(((AJ49+AK49)/2)))*LN((1-(((AJ49+AK49)/2)))/(1-(AJ$7)))-AJ$6&lt;0,AK49,((AJ49+AK49)/2))</f>
        <v>0.172949347713802</v>
      </c>
      <c r="AL50" s="37" t="n">
        <f aca="false">IF((((AL49+AM49)/2))*LN((((AL49+AM49)/2))/(AL$7))+(1-(((AL49+AM49)/2)))*LN((1-(((AL49+AM49)/2)))/(1-(AL$7)))-AL$6&lt;0,((AL49+AM49)/2),AL49)</f>
        <v>0.288519197341838</v>
      </c>
      <c r="AM50" s="37" t="n">
        <f aca="false">IF((((AL49+AM49)/2))*LN((((AL49+AM49)/2))/(AL$7))+(1-(((AL49+AM49)/2)))*LN((1-(((AL49+AM49)/2)))/(1-(AL$7)))-AL$6&lt;0,AM49,((AL49+AM49)/2))</f>
        <v>0.288519197342271</v>
      </c>
      <c r="AN50" s="37" t="n">
        <f aca="false">IF((((AN49+AO49)/2))*LN((((AN49+AO49)/2))/(AN$7))+(1-(((AN49+AO49)/2)))*LN((1-(((AN49+AO49)/2)))/(1-(AN$7)))-AN$6&lt;0,((AN49+AO49)/2),AN49)</f>
        <v>0.555514150436101</v>
      </c>
      <c r="AO50" s="37" t="n">
        <f aca="false">IF((((AN49+AO49)/2))*LN((((AN49+AO49)/2))/(AN$7))+(1-(((AN49+AO49)/2)))*LN((1-(((AN49+AO49)/2)))/(1-(AN$7)))-AN$6&lt;0,AO49,((AN49+AO49)/2))</f>
        <v>0.555514150436533</v>
      </c>
      <c r="AP50" s="37" t="n">
        <f aca="false">IF(AP$7*LN(AP$7)-AP$7*((AP49+AQ49)/2)+(1-AP$7)*LN(1-AP$7)-(1-AP$7)*LN(1-EXP(((AP49+AQ49)/2)))-AP$6&gt;0,((AP49+AQ49)/2),AP49)</f>
        <v>-3.68963394601963</v>
      </c>
      <c r="AQ50" s="37" t="n">
        <f aca="false">IF(AP$7*LN(AP$7)-AP$7*((AP49+AQ49)/2)+(1-AP$7)*LN(1-AP$7)-(1-AP$7)*LN(1-EXP(((AP49+AQ49)/2)))-AP$6&gt;0,AQ49,((AP49+AQ49)/2))</f>
        <v>-3.68963394598958</v>
      </c>
      <c r="AR50" s="37" t="n">
        <f aca="false">IF((((AR49+AS49)/2))*LN((((AR49+AS49)/2))/(AR$7))+(1-(((AR49+AS49)/2)))*LN((1-(((AR49+AS49)/2)))/(1-(AR$7)))-AR$6&lt;0,((AR49+AS49)/2),AR49)</f>
        <v>0.0836482674853186</v>
      </c>
      <c r="AS50" s="37" t="n">
        <f aca="false">IF((((AR49+AS49)/2))*LN((((AR49+AS49)/2))/(AR$7))+(1-(((AR49+AS49)/2)))*LN((1-(((AR49+AS49)/2)))/(1-(AR$7)))-AR$6&lt;0,AS49,((AR49+AS49)/2))</f>
        <v>0.0836482674857507</v>
      </c>
    </row>
    <row r="51" customFormat="false" ht="15" hidden="false" customHeight="false" outlineLevel="0" collapsed="false">
      <c r="B51" s="37" t="n">
        <f aca="false">IF(B$7*LN(B$7)-B$7*((B50+C50)/2)+(1-B$7)*LN(1-B$7)-(1-B$7)*LN(1-EXP(((B50+C50)/2)))-B$6&gt;0,((B50+C50)/2),B50)</f>
        <v>-12.7416806086683</v>
      </c>
      <c r="C51" s="37" t="n">
        <f aca="false">IF(B$7*LN(B$7)-B$7*((B50+C50)/2)+(1-B$7)*LN(1-B$7)-(1-B$7)*LN(1-EXP(((B50+C50)/2)))-B$6&gt;0,C50,((B50+C50)/2))</f>
        <v>-12.7416806086533</v>
      </c>
      <c r="D51" s="37" t="n">
        <f aca="false">IF(D$7*LN(D$7)-D$7*((D50+E50)/2)+(1-D$7)*LN(1-D$7)-(1-D$7)*LN(1-EXP(((D50+E50)/2)))-D$6&gt;0,((D50+E50)/2),D50)</f>
        <v>-16.0341341195434</v>
      </c>
      <c r="E51" s="37" t="n">
        <f aca="false">IF(D$7*LN(D$7)-D$7*((D50+E50)/2)+(1-D$7)*LN(1-D$7)-(1-D$7)*LN(1-EXP(((D50+E50)/2)))-D$6&gt;0,E50,((D50+E50)/2))</f>
        <v>-16.0341341195284</v>
      </c>
      <c r="F51" s="37" t="n">
        <f aca="false">IF(F$7*LN(F$7)-F$7*((F50+G50)/2)+(1-F$7)*LN(1-F$7)-(1-F$7)*LN(1-EXP(((F50+G50)/2)))-F$6&gt;0,((F50+G50)/2),F50)</f>
        <v>-24.8055675322384</v>
      </c>
      <c r="G51" s="37" t="n">
        <f aca="false">IF(F$7*LN(F$7)-F$7*((F50+G50)/2)+(1-F$7)*LN(1-F$7)-(1-F$7)*LN(1-EXP(((F50+G50)/2)))-F$6&gt;0,G50,((F50+G50)/2))</f>
        <v>-24.8055675322234</v>
      </c>
      <c r="H51" s="37" t="n">
        <f aca="false">IF(H$7*LN(H$7)-H$7*((H50+I50)/2)+(1-H$7)*LN(1-H$7)-(1-H$7)*LN(1-EXP(((H50+I50)/2)))-H$6&gt;0,((H50+I50)/2),H50)</f>
        <v>-3.19789114183776</v>
      </c>
      <c r="I51" s="37" t="n">
        <f aca="false">IF(H$7*LN(H$7)-H$7*((H50+I50)/2)+(1-H$7)*LN(1-H$7)-(1-H$7)*LN(1-EXP(((H50+I50)/2)))-H$6&gt;0,I50,((H50+I50)/2))</f>
        <v>-3.19789114182274</v>
      </c>
      <c r="J51" s="37" t="n">
        <f aca="false">IF(J$7*LN(J$7)-J$7*((J50+K50)/2)+(1-J$7)*LN(1-J$7)-(1-J$7)*LN(1-EXP(((J50+K50)/2)))-J$6&gt;0,((J50+K50)/2),J50)</f>
        <v>-3.28605085213845</v>
      </c>
      <c r="K51" s="37" t="n">
        <f aca="false">IF(J$7*LN(J$7)-J$7*((J50+K50)/2)+(1-J$7)*LN(1-J$7)-(1-J$7)*LN(1-EXP(((J50+K50)/2)))-J$6&gt;0,K50,((J50+K50)/2))</f>
        <v>-3.28605085212342</v>
      </c>
      <c r="L51" s="37" t="n">
        <f aca="false">IF(L$7*LN(L$7)-L$7*((L50+M50)/2)+(1-L$7)*LN(1-L$7)-(1-L$7)*LN(1-EXP(((L50+M50)/2)))-L$6&gt;0,((L50+M50)/2),L50)</f>
        <v>-3.46919733848348</v>
      </c>
      <c r="M51" s="37" t="n">
        <f aca="false">IF(L$7*LN(L$7)-L$7*((L50+M50)/2)+(1-L$7)*LN(1-L$7)-(1-L$7)*LN(1-EXP(((L50+M50)/2)))-L$6&gt;0,M50,((L50+M50)/2))</f>
        <v>-3.46919733846845</v>
      </c>
      <c r="N51" s="37" t="n">
        <f aca="false">IF(N$7*LN(N$7)-N$7*((N50+O50)/2)+(1-N$7)*LN(1-N$7)-(1-N$7)*LN(1-EXP(((N50+O50)/2)))-N$6&gt;0,((N50+O50)/2),N50)</f>
        <v>-3.68963394601963</v>
      </c>
      <c r="O51" s="37" t="n">
        <f aca="false">IF(N$7*LN(N$7)-N$7*((N50+O50)/2)+(1-N$7)*LN(1-N$7)-(1-N$7)*LN(1-EXP(((N50+O50)/2)))-N$6&gt;0,O50,((N50+O50)/2))</f>
        <v>-3.6896339460046</v>
      </c>
      <c r="P51" s="37" t="n">
        <f aca="false">IF(P$7*LN(P$7)-P$7*((P50+Q50)/2)+(1-P$7)*LN(1-P$7)-(1-P$7)*LN(1-EXP(((P50+Q50)/2)))-P$6&gt;0,((P50+Q50)/2),P50)</f>
        <v>-4.02932208428688</v>
      </c>
      <c r="Q51" s="37" t="n">
        <f aca="false">IF(P$7*LN(P$7)-P$7*((P50+Q50)/2)+(1-P$7)*LN(1-P$7)-(1-P$7)*LN(1-EXP(((P50+Q50)/2)))-P$6&gt;0,Q50,((P50+Q50)/2))</f>
        <v>-4.02932208427185</v>
      </c>
      <c r="R51" s="37" t="n">
        <f aca="false">IF(R$7*LN(R$7)-R$7*((R50+S50)/2)+(1-R$7)*LN(1-R$7)-(1-R$7)*LN(1-EXP(((R50+S50)/2)))-R$6&gt;0,((R50+S50)/2),R50)</f>
        <v>-4.31449878690915</v>
      </c>
      <c r="S51" s="37" t="n">
        <f aca="false">IF(R$7*LN(R$7)-R$7*((R50+S50)/2)+(1-R$7)*LN(1-R$7)-(1-R$7)*LN(1-EXP(((R50+S50)/2)))-R$6&gt;0,S50,((R50+S50)/2))</f>
        <v>-4.31449878689412</v>
      </c>
      <c r="T51" s="37" t="n">
        <f aca="false">IF(T$7*LN(T$7)-T$7*((T50+U50)/2)+(1-T$7)*LN(1-T$7)-(1-T$7)*LN(1-EXP(((T50+U50)/2)))-T$6&gt;0,((T50+U50)/2),T50)</f>
        <v>-4.81575742543413</v>
      </c>
      <c r="U51" s="37" t="n">
        <f aca="false">IF(T$7*LN(T$7)-T$7*((T50+U50)/2)+(1-T$7)*LN(1-T$7)-(1-T$7)*LN(1-EXP(((T50+U50)/2)))-T$6&gt;0,U50,((T50+U50)/2))</f>
        <v>-4.8157574254191</v>
      </c>
      <c r="V51" s="37" t="n">
        <f aca="false">IF(V$7*LN(V$7)-V$7*((V50+W50)/2)+(1-V$7)*LN(1-V$7)-(1-V$7)*LN(1-EXP(((V50+W50)/2)))-V$6&gt;0,((V50+W50)/2),V50)</f>
        <v>-5.38279983461971</v>
      </c>
      <c r="W51" s="37" t="n">
        <f aca="false">IF(V$7*LN(V$7)-V$7*((V50+W50)/2)+(1-V$7)*LN(1-V$7)-(1-V$7)*LN(1-EXP(((V50+W50)/2)))-V$6&gt;0,W50,((V50+W50)/2))</f>
        <v>-5.38279983460468</v>
      </c>
      <c r="X51" s="37" t="n">
        <f aca="false">IF(X$7*LN(X$7)-X$7*((X50+Y50)/2)+(1-X$7)*LN(1-X$7)-(1-X$7)*LN(1-EXP(((X50+Y50)/2)))-X$6&gt;0,((X50+Y50)/2),X50)</f>
        <v>-5.9191752334984</v>
      </c>
      <c r="Y51" s="37" t="n">
        <f aca="false">IF(X$7*LN(X$7)-X$7*((X50+Y50)/2)+(1-X$7)*LN(1-X$7)-(1-X$7)*LN(1-EXP(((X50+Y50)/2)))-X$6&gt;0,Y50,((X50+Y50)/2))</f>
        <v>-5.91917523348337</v>
      </c>
      <c r="Z51" s="37" t="n">
        <f aca="false">IF(Z$7*LN(Z$7)-Z$7*((Z50+AA50)/2)+(1-Z$7)*LN(1-Z$7)-(1-Z$7)*LN(1-EXP(((Z50+AA50)/2)))-Z$6&gt;0,((Z50+AA50)/2),Z50)</f>
        <v>-6.9521206854709</v>
      </c>
      <c r="AA51" s="37" t="n">
        <f aca="false">IF(Z$7*LN(Z$7)-Z$7*((Z50+AA50)/2)+(1-Z$7)*LN(1-Z$7)-(1-Z$7)*LN(1-EXP(((Z50+AA50)/2)))-Z$6&gt;0,AA50,((Z50+AA50)/2))</f>
        <v>-6.95212068545588</v>
      </c>
      <c r="AB51" s="37" t="n">
        <f aca="false">IF((((AB50+AC50)/2))*LN((((AB50+AC50)/2))/(AB$7))+(1-(((AB50+AC50)/2)))*LN((1-(((AB50+AC50)/2)))/(1-(AB$7)))-AB$6&lt;0,((AB50+AC50)/2),AB50)</f>
        <v>0.0600408213770379</v>
      </c>
      <c r="AC51" s="37" t="n">
        <f aca="false">IF((((AB50+AC50)/2))*LN((((AB50+AC50)/2))/(AB$7))+(1-(((AB50+AC50)/2)))*LN((1-(((AB50+AC50)/2)))/(1-(AB$7)))-AB$6&lt;0,AC50,((AB50+AC50)/2))</f>
        <v>0.0600408213772539</v>
      </c>
      <c r="AD51" s="37" t="n">
        <f aca="false">IF((((AD50+AE50)/2))*LN((((AD50+AE50)/2))/(AD$7))+(1-(((AD50+AE50)/2)))*LN((1-(((AD50+AE50)/2)))/(1-(AD$7)))-AD$6&lt;0,((AD50+AE50)/2),AD50)</f>
        <v>0.0677518178859145</v>
      </c>
      <c r="AE51" s="37" t="n">
        <f aca="false">IF((((AD50+AE50)/2))*LN((((AD50+AE50)/2))/(AD$7))+(1-(((AD50+AE50)/2)))*LN((1-(((AD50+AE50)/2)))/(1-(AD$7)))-AD$6&lt;0,AE50,((AD50+AE50)/2))</f>
        <v>0.0677518178861305</v>
      </c>
      <c r="AF51" s="37" t="n">
        <f aca="false">IF((((AF50+AG50)/2))*LN((((AF50+AG50)/2))/(AF$7))+(1-(((AF50+AG50)/2)))*LN((1-(((AF50+AG50)/2)))/(1-(AF$7)))-AF$6&lt;0,((AF50+AG50)/2),AF50)</f>
        <v>0.0836482674855347</v>
      </c>
      <c r="AG51" s="37" t="n">
        <f aca="false">IF((((AF50+AG50)/2))*LN((((AF50+AG50)/2))/(AF$7))+(1-(((AF50+AG50)/2)))*LN((1-(((AF50+AG50)/2)))/(1-(AF$7)))-AF$6&lt;0,AG50,((AF50+AG50)/2))</f>
        <v>0.0836482674857507</v>
      </c>
      <c r="AH51" s="37" t="n">
        <f aca="false">IF((((AH50+AI50)/2))*LN((((AH50+AI50)/2))/(AH$7))+(1-(((AH50+AI50)/2)))*LN((1-(((AH50+AI50)/2)))/(1-(AH$7)))-AH$6&lt;0,((AH50+AI50)/2),AH50)</f>
        <v>0.111548048226609</v>
      </c>
      <c r="AI51" s="37" t="n">
        <f aca="false">IF((((AH50+AI50)/2))*LN((((AH50+AI50)/2))/(AH$7))+(1-(((AH50+AI50)/2)))*LN((1-(((AH50+AI50)/2)))/(1-(AH$7)))-AH$6&lt;0,AI50,((AH50+AI50)/2))</f>
        <v>0.111548048226825</v>
      </c>
      <c r="AJ51" s="37" t="n">
        <f aca="false">IF((((AJ50+AK50)/2))*LN((((AJ50+AK50)/2))/(AJ$7))+(1-(((AJ50+AK50)/2)))*LN((1-(((AJ50+AK50)/2)))/(1-(AJ$7)))-AJ$6&lt;0,((AJ50+AK50)/2),AJ50)</f>
        <v>0.17294934771337</v>
      </c>
      <c r="AK51" s="37" t="n">
        <f aca="false">IF((((AJ50+AK50)/2))*LN((((AJ50+AK50)/2))/(AJ$7))+(1-(((AJ50+AK50)/2)))*LN((1-(((AJ50+AK50)/2)))/(1-(AJ$7)))-AJ$6&lt;0,AK50,((AJ50+AK50)/2))</f>
        <v>0.172949347713586</v>
      </c>
      <c r="AL51" s="37" t="n">
        <f aca="false">IF((((AL50+AM50)/2))*LN((((AL50+AM50)/2))/(AL$7))+(1-(((AL50+AM50)/2)))*LN((1-(((AL50+AM50)/2)))/(1-(AL$7)))-AL$6&lt;0,((AL50+AM50)/2),AL50)</f>
        <v>0.288519197341838</v>
      </c>
      <c r="AM51" s="37" t="n">
        <f aca="false">IF((((AL50+AM50)/2))*LN((((AL50+AM50)/2))/(AL$7))+(1-(((AL50+AM50)/2)))*LN((1-(((AL50+AM50)/2)))/(1-(AL$7)))-AL$6&lt;0,AM50,((AL50+AM50)/2))</f>
        <v>0.288519197342054</v>
      </c>
      <c r="AN51" s="37" t="n">
        <f aca="false">IF((((AN50+AO50)/2))*LN((((AN50+AO50)/2))/(AN$7))+(1-(((AN50+AO50)/2)))*LN((1-(((AN50+AO50)/2)))/(1-(AN$7)))-AN$6&lt;0,((AN50+AO50)/2),AN50)</f>
        <v>0.555514150436317</v>
      </c>
      <c r="AO51" s="37" t="n">
        <f aca="false">IF((((AN50+AO50)/2))*LN((((AN50+AO50)/2))/(AN$7))+(1-(((AN50+AO50)/2)))*LN((1-(((AN50+AO50)/2)))/(1-(AN$7)))-AN$6&lt;0,AO50,((AN50+AO50)/2))</f>
        <v>0.555514150436533</v>
      </c>
      <c r="AP51" s="37" t="n">
        <f aca="false">IF(AP$7*LN(AP$7)-AP$7*((AP50+AQ50)/2)+(1-AP$7)*LN(1-AP$7)-(1-AP$7)*LN(1-EXP(((AP50+AQ50)/2)))-AP$6&gt;0,((AP50+AQ50)/2),AP50)</f>
        <v>-3.68963394601963</v>
      </c>
      <c r="AQ51" s="37" t="n">
        <f aca="false">IF(AP$7*LN(AP$7)-AP$7*((AP50+AQ50)/2)+(1-AP$7)*LN(1-AP$7)-(1-AP$7)*LN(1-EXP(((AP50+AQ50)/2)))-AP$6&gt;0,AQ50,((AP50+AQ50)/2))</f>
        <v>-3.6896339460046</v>
      </c>
      <c r="AR51" s="37" t="n">
        <f aca="false">IF((((AR50+AS50)/2))*LN((((AR50+AS50)/2))/(AR$7))+(1-(((AR50+AS50)/2)))*LN((1-(((AR50+AS50)/2)))/(1-(AR$7)))-AR$6&lt;0,((AR50+AS50)/2),AR50)</f>
        <v>0.0836482674855347</v>
      </c>
      <c r="AS51" s="37" t="n">
        <f aca="false">IF((((AR50+AS50)/2))*LN((((AR50+AS50)/2))/(AR$7))+(1-(((AR50+AS50)/2)))*LN((1-(((AR50+AS50)/2)))/(1-(AR$7)))-AR$6&lt;0,AS50,((AR50+AS50)/2))</f>
        <v>0.0836482674857507</v>
      </c>
    </row>
    <row r="52" customFormat="false" ht="15" hidden="false" customHeight="false" outlineLevel="0" collapsed="false">
      <c r="B52" s="37" t="n">
        <f aca="false">IF(B$7*LN(B$7)-B$7*((B51+C51)/2)+(1-B$7)*LN(1-B$7)-(1-B$7)*LN(1-EXP(((B51+C51)/2)))-B$6&gt;0,((B51+C51)/2),B51)</f>
        <v>-12.7416806086608</v>
      </c>
      <c r="C52" s="37" t="n">
        <f aca="false">IF(B$7*LN(B$7)-B$7*((B51+C51)/2)+(1-B$7)*LN(1-B$7)-(1-B$7)*LN(1-EXP(((B51+C51)/2)))-B$6&gt;0,C51,((B51+C51)/2))</f>
        <v>-12.7416806086533</v>
      </c>
      <c r="D52" s="37" t="n">
        <f aca="false">IF(D$7*LN(D$7)-D$7*((D51+E51)/2)+(1-D$7)*LN(1-D$7)-(1-D$7)*LN(1-EXP(((D51+E51)/2)))-D$6&gt;0,((D51+E51)/2),D51)</f>
        <v>-16.0341341195434</v>
      </c>
      <c r="E52" s="37" t="n">
        <f aca="false">IF(D$7*LN(D$7)-D$7*((D51+E51)/2)+(1-D$7)*LN(1-D$7)-(1-D$7)*LN(1-EXP(((D51+E51)/2)))-D$6&gt;0,E51,((D51+E51)/2))</f>
        <v>-16.0341341195359</v>
      </c>
      <c r="F52" s="37" t="n">
        <f aca="false">IF(F$7*LN(F$7)-F$7*((F51+G51)/2)+(1-F$7)*LN(1-F$7)-(1-F$7)*LN(1-EXP(((F51+G51)/2)))-F$6&gt;0,((F51+G51)/2),F51)</f>
        <v>-24.8055675322309</v>
      </c>
      <c r="G52" s="37" t="n">
        <f aca="false">IF(F$7*LN(F$7)-F$7*((F51+G51)/2)+(1-F$7)*LN(1-F$7)-(1-F$7)*LN(1-EXP(((F51+G51)/2)))-F$6&gt;0,G51,((F51+G51)/2))</f>
        <v>-24.8055675322234</v>
      </c>
      <c r="H52" s="37" t="n">
        <f aca="false">IF(H$7*LN(H$7)-H$7*((H51+I51)/2)+(1-H$7)*LN(1-H$7)-(1-H$7)*LN(1-EXP(((H51+I51)/2)))-H$6&gt;0,((H51+I51)/2),H51)</f>
        <v>-3.19789114183025</v>
      </c>
      <c r="I52" s="37" t="n">
        <f aca="false">IF(H$7*LN(H$7)-H$7*((H51+I51)/2)+(1-H$7)*LN(1-H$7)-(1-H$7)*LN(1-EXP(((H51+I51)/2)))-H$6&gt;0,I51,((H51+I51)/2))</f>
        <v>-3.19789114182274</v>
      </c>
      <c r="J52" s="37" t="n">
        <f aca="false">IF(J$7*LN(J$7)-J$7*((J51+K51)/2)+(1-J$7)*LN(1-J$7)-(1-J$7)*LN(1-EXP(((J51+K51)/2)))-J$6&gt;0,((J51+K51)/2),J51)</f>
        <v>-3.28605085213093</v>
      </c>
      <c r="K52" s="37" t="n">
        <f aca="false">IF(J$7*LN(J$7)-J$7*((J51+K51)/2)+(1-J$7)*LN(1-J$7)-(1-J$7)*LN(1-EXP(((J51+K51)/2)))-J$6&gt;0,K51,((J51+K51)/2))</f>
        <v>-3.28605085212342</v>
      </c>
      <c r="L52" s="37" t="n">
        <f aca="false">IF(L$7*LN(L$7)-L$7*((L51+M51)/2)+(1-L$7)*LN(1-L$7)-(1-L$7)*LN(1-EXP(((L51+M51)/2)))-L$6&gt;0,((L51+M51)/2),L51)</f>
        <v>-3.46919733848348</v>
      </c>
      <c r="M52" s="37" t="n">
        <f aca="false">IF(L$7*LN(L$7)-L$7*((L51+M51)/2)+(1-L$7)*LN(1-L$7)-(1-L$7)*LN(1-EXP(((L51+M51)/2)))-L$6&gt;0,M51,((L51+M51)/2))</f>
        <v>-3.46919733847597</v>
      </c>
      <c r="N52" s="37" t="n">
        <f aca="false">IF(N$7*LN(N$7)-N$7*((N51+O51)/2)+(1-N$7)*LN(1-N$7)-(1-N$7)*LN(1-EXP(((N51+O51)/2)))-N$6&gt;0,((N51+O51)/2),N51)</f>
        <v>-3.68963394601211</v>
      </c>
      <c r="O52" s="37" t="n">
        <f aca="false">IF(N$7*LN(N$7)-N$7*((N51+O51)/2)+(1-N$7)*LN(1-N$7)-(1-N$7)*LN(1-EXP(((N51+O51)/2)))-N$6&gt;0,O51,((N51+O51)/2))</f>
        <v>-3.6896339460046</v>
      </c>
      <c r="P52" s="37" t="n">
        <f aca="false">IF(P$7*LN(P$7)-P$7*((P51+Q51)/2)+(1-P$7)*LN(1-P$7)-(1-P$7)*LN(1-EXP(((P51+Q51)/2)))-P$6&gt;0,((P51+Q51)/2),P51)</f>
        <v>-4.02932208427936</v>
      </c>
      <c r="Q52" s="37" t="n">
        <f aca="false">IF(P$7*LN(P$7)-P$7*((P51+Q51)/2)+(1-P$7)*LN(1-P$7)-(1-P$7)*LN(1-EXP(((P51+Q51)/2)))-P$6&gt;0,Q51,((P51+Q51)/2))</f>
        <v>-4.02932208427185</v>
      </c>
      <c r="R52" s="37" t="n">
        <f aca="false">IF(R$7*LN(R$7)-R$7*((R51+S51)/2)+(1-R$7)*LN(1-R$7)-(1-R$7)*LN(1-EXP(((R51+S51)/2)))-R$6&gt;0,((R51+S51)/2),R51)</f>
        <v>-4.31449878690915</v>
      </c>
      <c r="S52" s="37" t="n">
        <f aca="false">IF(R$7*LN(R$7)-R$7*((R51+S51)/2)+(1-R$7)*LN(1-R$7)-(1-R$7)*LN(1-EXP(((R51+S51)/2)))-R$6&gt;0,S51,((R51+S51)/2))</f>
        <v>-4.31449878690163</v>
      </c>
      <c r="T52" s="37" t="n">
        <f aca="false">IF(T$7*LN(T$7)-T$7*((T51+U51)/2)+(1-T$7)*LN(1-T$7)-(1-T$7)*LN(1-EXP(((T51+U51)/2)))-T$6&gt;0,((T51+U51)/2),T51)</f>
        <v>-4.81575742543413</v>
      </c>
      <c r="U52" s="37" t="n">
        <f aca="false">IF(T$7*LN(T$7)-T$7*((T51+U51)/2)+(1-T$7)*LN(1-T$7)-(1-T$7)*LN(1-EXP(((T51+U51)/2)))-T$6&gt;0,U51,((T51+U51)/2))</f>
        <v>-4.81575742542661</v>
      </c>
      <c r="V52" s="37" t="n">
        <f aca="false">IF(V$7*LN(V$7)-V$7*((V51+W51)/2)+(1-V$7)*LN(1-V$7)-(1-V$7)*LN(1-EXP(((V51+W51)/2)))-V$6&gt;0,((V51+W51)/2),V51)</f>
        <v>-5.38279983461971</v>
      </c>
      <c r="W52" s="37" t="n">
        <f aca="false">IF(V$7*LN(V$7)-V$7*((V51+W51)/2)+(1-V$7)*LN(1-V$7)-(1-V$7)*LN(1-EXP(((V51+W51)/2)))-V$6&gt;0,W51,((V51+W51)/2))</f>
        <v>-5.3827998346122</v>
      </c>
      <c r="X52" s="37" t="n">
        <f aca="false">IF(X$7*LN(X$7)-X$7*((X51+Y51)/2)+(1-X$7)*LN(1-X$7)-(1-X$7)*LN(1-EXP(((X51+Y51)/2)))-X$6&gt;0,((X51+Y51)/2),X51)</f>
        <v>-5.9191752334984</v>
      </c>
      <c r="Y52" s="37" t="n">
        <f aca="false">IF(X$7*LN(X$7)-X$7*((X51+Y51)/2)+(1-X$7)*LN(1-X$7)-(1-X$7)*LN(1-EXP(((X51+Y51)/2)))-X$6&gt;0,Y51,((X51+Y51)/2))</f>
        <v>-5.91917523349088</v>
      </c>
      <c r="Z52" s="37" t="n">
        <f aca="false">IF(Z$7*LN(Z$7)-Z$7*((Z51+AA51)/2)+(1-Z$7)*LN(1-Z$7)-(1-Z$7)*LN(1-EXP(((Z51+AA51)/2)))-Z$6&gt;0,((Z51+AA51)/2),Z51)</f>
        <v>-6.95212068546339</v>
      </c>
      <c r="AA52" s="37" t="n">
        <f aca="false">IF(Z$7*LN(Z$7)-Z$7*((Z51+AA51)/2)+(1-Z$7)*LN(1-Z$7)-(1-Z$7)*LN(1-EXP(((Z51+AA51)/2)))-Z$6&gt;0,AA51,((Z51+AA51)/2))</f>
        <v>-6.95212068545588</v>
      </c>
      <c r="AB52" s="37" t="n">
        <f aca="false">IF((((AB51+AC51)/2))*LN((((AB51+AC51)/2))/(AB$7))+(1-(((AB51+AC51)/2)))*LN((1-(((AB51+AC51)/2)))/(1-(AB$7)))-AB$6&lt;0,((AB51+AC51)/2),AB51)</f>
        <v>0.0600408213770379</v>
      </c>
      <c r="AC52" s="37" t="n">
        <f aca="false">IF((((AB51+AC51)/2))*LN((((AB51+AC51)/2))/(AB$7))+(1-(((AB51+AC51)/2)))*LN((1-(((AB51+AC51)/2)))/(1-(AB$7)))-AB$6&lt;0,AC51,((AB51+AC51)/2))</f>
        <v>0.0600408213771459</v>
      </c>
      <c r="AD52" s="37" t="n">
        <f aca="false">IF((((AD51+AE51)/2))*LN((((AD51+AE51)/2))/(AD$7))+(1-(((AD51+AE51)/2)))*LN((1-(((AD51+AE51)/2)))/(1-(AD$7)))-AD$6&lt;0,((AD51+AE51)/2),AD51)</f>
        <v>0.0677518178859145</v>
      </c>
      <c r="AE52" s="37" t="n">
        <f aca="false">IF((((AD51+AE51)/2))*LN((((AD51+AE51)/2))/(AD$7))+(1-(((AD51+AE51)/2)))*LN((1-(((AD51+AE51)/2)))/(1-(AD$7)))-AD$6&lt;0,AE51,((AD51+AE51)/2))</f>
        <v>0.0677518178860225</v>
      </c>
      <c r="AF52" s="37" t="n">
        <f aca="false">IF((((AF51+AG51)/2))*LN((((AF51+AG51)/2))/(AF$7))+(1-(((AF51+AG51)/2)))*LN((1-(((AF51+AG51)/2)))/(1-(AF$7)))-AF$6&lt;0,((AF51+AG51)/2),AF51)</f>
        <v>0.0836482674856427</v>
      </c>
      <c r="AG52" s="37" t="n">
        <f aca="false">IF((((AF51+AG51)/2))*LN((((AF51+AG51)/2))/(AF$7))+(1-(((AF51+AG51)/2)))*LN((1-(((AF51+AG51)/2)))/(1-(AF$7)))-AF$6&lt;0,AG51,((AF51+AG51)/2))</f>
        <v>0.0836482674857507</v>
      </c>
      <c r="AH52" s="37" t="n">
        <f aca="false">IF((((AH51+AI51)/2))*LN((((AH51+AI51)/2))/(AH$7))+(1-(((AH51+AI51)/2)))*LN((1-(((AH51+AI51)/2)))/(1-(AH$7)))-AH$6&lt;0,((AH51+AI51)/2),AH51)</f>
        <v>0.111548048226717</v>
      </c>
      <c r="AI52" s="37" t="n">
        <f aca="false">IF((((AH51+AI51)/2))*LN((((AH51+AI51)/2))/(AH$7))+(1-(((AH51+AI51)/2)))*LN((1-(((AH51+AI51)/2)))/(1-(AH$7)))-AH$6&lt;0,AI51,((AH51+AI51)/2))</f>
        <v>0.111548048226825</v>
      </c>
      <c r="AJ52" s="37" t="n">
        <f aca="false">IF((((AJ51+AK51)/2))*LN((((AJ51+AK51)/2))/(AJ$7))+(1-(((AJ51+AK51)/2)))*LN((1-(((AJ51+AK51)/2)))/(1-(AJ$7)))-AJ$6&lt;0,((AJ51+AK51)/2),AJ51)</f>
        <v>0.172949347713478</v>
      </c>
      <c r="AK52" s="37" t="n">
        <f aca="false">IF((((AJ51+AK51)/2))*LN((((AJ51+AK51)/2))/(AJ$7))+(1-(((AJ51+AK51)/2)))*LN((1-(((AJ51+AK51)/2)))/(1-(AJ$7)))-AJ$6&lt;0,AK51,((AJ51+AK51)/2))</f>
        <v>0.172949347713586</v>
      </c>
      <c r="AL52" s="37" t="n">
        <f aca="false">IF((((AL51+AM51)/2))*LN((((AL51+AM51)/2))/(AL$7))+(1-(((AL51+AM51)/2)))*LN((1-(((AL51+AM51)/2)))/(1-(AL$7)))-AL$6&lt;0,((AL51+AM51)/2),AL51)</f>
        <v>0.288519197341838</v>
      </c>
      <c r="AM52" s="37" t="n">
        <f aca="false">IF((((AL51+AM51)/2))*LN((((AL51+AM51)/2))/(AL$7))+(1-(((AL51+AM51)/2)))*LN((1-(((AL51+AM51)/2)))/(1-(AL$7)))-AL$6&lt;0,AM51,((AL51+AM51)/2))</f>
        <v>0.288519197341946</v>
      </c>
      <c r="AN52" s="37" t="n">
        <f aca="false">IF((((AN51+AO51)/2))*LN((((AN51+AO51)/2))/(AN$7))+(1-(((AN51+AO51)/2)))*LN((1-(((AN51+AO51)/2)))/(1-(AN$7)))-AN$6&lt;0,((AN51+AO51)/2),AN51)</f>
        <v>0.555514150436317</v>
      </c>
      <c r="AO52" s="37" t="n">
        <f aca="false">IF((((AN51+AO51)/2))*LN((((AN51+AO51)/2))/(AN$7))+(1-(((AN51+AO51)/2)))*LN((1-(((AN51+AO51)/2)))/(1-(AN$7)))-AN$6&lt;0,AO51,((AN51+AO51)/2))</f>
        <v>0.555514150436425</v>
      </c>
      <c r="AP52" s="37" t="n">
        <f aca="false">IF(AP$7*LN(AP$7)-AP$7*((AP51+AQ51)/2)+(1-AP$7)*LN(1-AP$7)-(1-AP$7)*LN(1-EXP(((AP51+AQ51)/2)))-AP$6&gt;0,((AP51+AQ51)/2),AP51)</f>
        <v>-3.68963394601211</v>
      </c>
      <c r="AQ52" s="37" t="n">
        <f aca="false">IF(AP$7*LN(AP$7)-AP$7*((AP51+AQ51)/2)+(1-AP$7)*LN(1-AP$7)-(1-AP$7)*LN(1-EXP(((AP51+AQ51)/2)))-AP$6&gt;0,AQ51,((AP51+AQ51)/2))</f>
        <v>-3.6896339460046</v>
      </c>
      <c r="AR52" s="37" t="n">
        <f aca="false">IF((((AR51+AS51)/2))*LN((((AR51+AS51)/2))/(AR$7))+(1-(((AR51+AS51)/2)))*LN((1-(((AR51+AS51)/2)))/(1-(AR$7)))-AR$6&lt;0,((AR51+AS51)/2),AR51)</f>
        <v>0.0836482674856427</v>
      </c>
      <c r="AS52" s="37" t="n">
        <f aca="false">IF((((AR51+AS51)/2))*LN((((AR51+AS51)/2))/(AR$7))+(1-(((AR51+AS51)/2)))*LN((1-(((AR51+AS51)/2)))/(1-(AR$7)))-AR$6&lt;0,AS51,((AR51+AS51)/2))</f>
        <v>0.0836482674857507</v>
      </c>
    </row>
    <row r="53" customFormat="false" ht="15" hidden="false" customHeight="false" outlineLevel="0" collapsed="false">
      <c r="B53" s="37" t="n">
        <f aca="false">IF(B$7*LN(B$7)-B$7*((B52+C52)/2)+(1-B$7)*LN(1-B$7)-(1-B$7)*LN(1-EXP(((B52+C52)/2)))-B$6&gt;0,((B52+C52)/2),B52)</f>
        <v>-12.7416806086608</v>
      </c>
      <c r="C53" s="37" t="n">
        <f aca="false">IF(B$7*LN(B$7)-B$7*((B52+C52)/2)+(1-B$7)*LN(1-B$7)-(1-B$7)*LN(1-EXP(((B52+C52)/2)))-B$6&gt;0,C52,((B52+C52)/2))</f>
        <v>-12.7416806086571</v>
      </c>
      <c r="D53" s="37" t="n">
        <f aca="false">IF(D$7*LN(D$7)-D$7*((D52+E52)/2)+(1-D$7)*LN(1-D$7)-(1-D$7)*LN(1-EXP(((D52+E52)/2)))-D$6&gt;0,((D52+E52)/2),D52)</f>
        <v>-16.0341341195434</v>
      </c>
      <c r="E53" s="37" t="n">
        <f aca="false">IF(D$7*LN(D$7)-D$7*((D52+E52)/2)+(1-D$7)*LN(1-D$7)-(1-D$7)*LN(1-EXP(((D52+E52)/2)))-D$6&gt;0,E52,((D52+E52)/2))</f>
        <v>-16.0341341195397</v>
      </c>
      <c r="F53" s="37" t="n">
        <f aca="false">IF(F$7*LN(F$7)-F$7*((F52+G52)/2)+(1-F$7)*LN(1-F$7)-(1-F$7)*LN(1-EXP(((F52+G52)/2)))-F$6&gt;0,((F52+G52)/2),F52)</f>
        <v>-24.8055675322271</v>
      </c>
      <c r="G53" s="37" t="n">
        <f aca="false">IF(F$7*LN(F$7)-F$7*((F52+G52)/2)+(1-F$7)*LN(1-F$7)-(1-F$7)*LN(1-EXP(((F52+G52)/2)))-F$6&gt;0,G52,((F52+G52)/2))</f>
        <v>-24.8055675322234</v>
      </c>
      <c r="H53" s="37" t="n">
        <f aca="false">IF(H$7*LN(H$7)-H$7*((H52+I52)/2)+(1-H$7)*LN(1-H$7)-(1-H$7)*LN(1-EXP(((H52+I52)/2)))-H$6&gt;0,((H52+I52)/2),H52)</f>
        <v>-3.19789114182649</v>
      </c>
      <c r="I53" s="37" t="n">
        <f aca="false">IF(H$7*LN(H$7)-H$7*((H52+I52)/2)+(1-H$7)*LN(1-H$7)-(1-H$7)*LN(1-EXP(((H52+I52)/2)))-H$6&gt;0,I52,((H52+I52)/2))</f>
        <v>-3.19789114182274</v>
      </c>
      <c r="J53" s="37" t="n">
        <f aca="false">IF(J$7*LN(J$7)-J$7*((J52+K52)/2)+(1-J$7)*LN(1-J$7)-(1-J$7)*LN(1-EXP(((J52+K52)/2)))-J$6&gt;0,((J52+K52)/2),J52)</f>
        <v>-3.28605085212718</v>
      </c>
      <c r="K53" s="37" t="n">
        <f aca="false">IF(J$7*LN(J$7)-J$7*((J52+K52)/2)+(1-J$7)*LN(1-J$7)-(1-J$7)*LN(1-EXP(((J52+K52)/2)))-J$6&gt;0,K52,((J52+K52)/2))</f>
        <v>-3.28605085212342</v>
      </c>
      <c r="L53" s="37" t="n">
        <f aca="false">IF(L$7*LN(L$7)-L$7*((L52+M52)/2)+(1-L$7)*LN(1-L$7)-(1-L$7)*LN(1-EXP(((L52+M52)/2)))-L$6&gt;0,((L52+M52)/2),L52)</f>
        <v>-3.46919733848348</v>
      </c>
      <c r="M53" s="37" t="n">
        <f aca="false">IF(L$7*LN(L$7)-L$7*((L52+M52)/2)+(1-L$7)*LN(1-L$7)-(1-L$7)*LN(1-EXP(((L52+M52)/2)))-L$6&gt;0,M52,((L52+M52)/2))</f>
        <v>-3.46919733847972</v>
      </c>
      <c r="N53" s="37" t="n">
        <f aca="false">IF(N$7*LN(N$7)-N$7*((N52+O52)/2)+(1-N$7)*LN(1-N$7)-(1-N$7)*LN(1-EXP(((N52+O52)/2)))-N$6&gt;0,((N52+O52)/2),N52)</f>
        <v>-3.68963394600836</v>
      </c>
      <c r="O53" s="37" t="n">
        <f aca="false">IF(N$7*LN(N$7)-N$7*((N52+O52)/2)+(1-N$7)*LN(1-N$7)-(1-N$7)*LN(1-EXP(((N52+O52)/2)))-N$6&gt;0,O52,((N52+O52)/2))</f>
        <v>-3.6896339460046</v>
      </c>
      <c r="P53" s="37" t="n">
        <f aca="false">IF(P$7*LN(P$7)-P$7*((P52+Q52)/2)+(1-P$7)*LN(1-P$7)-(1-P$7)*LN(1-EXP(((P52+Q52)/2)))-P$6&gt;0,((P52+Q52)/2),P52)</f>
        <v>-4.02932208427936</v>
      </c>
      <c r="Q53" s="37" t="n">
        <f aca="false">IF(P$7*LN(P$7)-P$7*((P52+Q52)/2)+(1-P$7)*LN(1-P$7)-(1-P$7)*LN(1-EXP(((P52+Q52)/2)))-P$6&gt;0,Q52,((P52+Q52)/2))</f>
        <v>-4.02932208427561</v>
      </c>
      <c r="R53" s="37" t="n">
        <f aca="false">IF(R$7*LN(R$7)-R$7*((R52+S52)/2)+(1-R$7)*LN(1-R$7)-(1-R$7)*LN(1-EXP(((R52+S52)/2)))-R$6&gt;0,((R52+S52)/2),R52)</f>
        <v>-4.31449878690539</v>
      </c>
      <c r="S53" s="37" t="n">
        <f aca="false">IF(R$7*LN(R$7)-R$7*((R52+S52)/2)+(1-R$7)*LN(1-R$7)-(1-R$7)*LN(1-EXP(((R52+S52)/2)))-R$6&gt;0,S52,((R52+S52)/2))</f>
        <v>-4.31449878690163</v>
      </c>
      <c r="T53" s="37" t="n">
        <f aca="false">IF(T$7*LN(T$7)-T$7*((T52+U52)/2)+(1-T$7)*LN(1-T$7)-(1-T$7)*LN(1-EXP(((T52+U52)/2)))-T$6&gt;0,((T52+U52)/2),T52)</f>
        <v>-4.81575742543037</v>
      </c>
      <c r="U53" s="37" t="n">
        <f aca="false">IF(T$7*LN(T$7)-T$7*((T52+U52)/2)+(1-T$7)*LN(1-T$7)-(1-T$7)*LN(1-EXP(((T52+U52)/2)))-T$6&gt;0,U52,((T52+U52)/2))</f>
        <v>-4.81575742542661</v>
      </c>
      <c r="V53" s="37" t="n">
        <f aca="false">IF(V$7*LN(V$7)-V$7*((V52+W52)/2)+(1-V$7)*LN(1-V$7)-(1-V$7)*LN(1-EXP(((V52+W52)/2)))-V$6&gt;0,((V52+W52)/2),V52)</f>
        <v>-5.38279983461595</v>
      </c>
      <c r="W53" s="37" t="n">
        <f aca="false">IF(V$7*LN(V$7)-V$7*((V52+W52)/2)+(1-V$7)*LN(1-V$7)-(1-V$7)*LN(1-EXP(((V52+W52)/2)))-V$6&gt;0,W52,((V52+W52)/2))</f>
        <v>-5.3827998346122</v>
      </c>
      <c r="X53" s="37" t="n">
        <f aca="false">IF(X$7*LN(X$7)-X$7*((X52+Y52)/2)+(1-X$7)*LN(1-X$7)-(1-X$7)*LN(1-EXP(((X52+Y52)/2)))-X$6&gt;0,((X52+Y52)/2),X52)</f>
        <v>-5.91917523349464</v>
      </c>
      <c r="Y53" s="37" t="n">
        <f aca="false">IF(X$7*LN(X$7)-X$7*((X52+Y52)/2)+(1-X$7)*LN(1-X$7)-(1-X$7)*LN(1-EXP(((X52+Y52)/2)))-X$6&gt;0,Y52,((X52+Y52)/2))</f>
        <v>-5.91917523349088</v>
      </c>
      <c r="Z53" s="37" t="n">
        <f aca="false">IF(Z$7*LN(Z$7)-Z$7*((Z52+AA52)/2)+(1-Z$7)*LN(1-Z$7)-(1-Z$7)*LN(1-EXP(((Z52+AA52)/2)))-Z$6&gt;0,((Z52+AA52)/2),Z52)</f>
        <v>-6.95212068545964</v>
      </c>
      <c r="AA53" s="37" t="n">
        <f aca="false">IF(Z$7*LN(Z$7)-Z$7*((Z52+AA52)/2)+(1-Z$7)*LN(1-Z$7)-(1-Z$7)*LN(1-EXP(((Z52+AA52)/2)))-Z$6&gt;0,AA52,((Z52+AA52)/2))</f>
        <v>-6.95212068545588</v>
      </c>
      <c r="AB53" s="37" t="n">
        <f aca="false">IF((((AB52+AC52)/2))*LN((((AB52+AC52)/2))/(AB$7))+(1-(((AB52+AC52)/2)))*LN((1-(((AB52+AC52)/2)))/(1-(AB$7)))-AB$6&lt;0,((AB52+AC52)/2),AB52)</f>
        <v>0.0600408213770379</v>
      </c>
      <c r="AC53" s="37" t="n">
        <f aca="false">IF((((AB52+AC52)/2))*LN((((AB52+AC52)/2))/(AB$7))+(1-(((AB52+AC52)/2)))*LN((1-(((AB52+AC52)/2)))/(1-(AB$7)))-AB$6&lt;0,AC52,((AB52+AC52)/2))</f>
        <v>0.0600408213770919</v>
      </c>
      <c r="AD53" s="37" t="n">
        <f aca="false">IF((((AD52+AE52)/2))*LN((((AD52+AE52)/2))/(AD$7))+(1-(((AD52+AE52)/2)))*LN((1-(((AD52+AE52)/2)))/(1-(AD$7)))-AD$6&lt;0,((AD52+AE52)/2),AD52)</f>
        <v>0.0677518178859145</v>
      </c>
      <c r="AE53" s="37" t="n">
        <f aca="false">IF((((AD52+AE52)/2))*LN((((AD52+AE52)/2))/(AD$7))+(1-(((AD52+AE52)/2)))*LN((1-(((AD52+AE52)/2)))/(1-(AD$7)))-AD$6&lt;0,AE52,((AD52+AE52)/2))</f>
        <v>0.0677518178859685</v>
      </c>
      <c r="AF53" s="37" t="n">
        <f aca="false">IF((((AF52+AG52)/2))*LN((((AF52+AG52)/2))/(AF$7))+(1-(((AF52+AG52)/2)))*LN((1-(((AF52+AG52)/2)))/(1-(AF$7)))-AF$6&lt;0,((AF52+AG52)/2),AF52)</f>
        <v>0.0836482674856967</v>
      </c>
      <c r="AG53" s="37" t="n">
        <f aca="false">IF((((AF52+AG52)/2))*LN((((AF52+AG52)/2))/(AF$7))+(1-(((AF52+AG52)/2)))*LN((1-(((AF52+AG52)/2)))/(1-(AF$7)))-AF$6&lt;0,AG52,((AF52+AG52)/2))</f>
        <v>0.0836482674857507</v>
      </c>
      <c r="AH53" s="37" t="n">
        <f aca="false">IF((((AH52+AI52)/2))*LN((((AH52+AI52)/2))/(AH$7))+(1-(((AH52+AI52)/2)))*LN((1-(((AH52+AI52)/2)))/(1-(AH$7)))-AH$6&lt;0,((AH52+AI52)/2),AH52)</f>
        <v>0.111548048226771</v>
      </c>
      <c r="AI53" s="37" t="n">
        <f aca="false">IF((((AH52+AI52)/2))*LN((((AH52+AI52)/2))/(AH$7))+(1-(((AH52+AI52)/2)))*LN((1-(((AH52+AI52)/2)))/(1-(AH$7)))-AH$6&lt;0,AI52,((AH52+AI52)/2))</f>
        <v>0.111548048226825</v>
      </c>
      <c r="AJ53" s="37" t="n">
        <f aca="false">IF((((AJ52+AK52)/2))*LN((((AJ52+AK52)/2))/(AJ$7))+(1-(((AJ52+AK52)/2)))*LN((1-(((AJ52+AK52)/2)))/(1-(AJ$7)))-AJ$6&lt;0,((AJ52+AK52)/2),AJ52)</f>
        <v>0.172949347713478</v>
      </c>
      <c r="AK53" s="37" t="n">
        <f aca="false">IF((((AJ52+AK52)/2))*LN((((AJ52+AK52)/2))/(AJ$7))+(1-(((AJ52+AK52)/2)))*LN((1-(((AJ52+AK52)/2)))/(1-(AJ$7)))-AJ$6&lt;0,AK52,((AJ52+AK52)/2))</f>
        <v>0.172949347713532</v>
      </c>
      <c r="AL53" s="37" t="n">
        <f aca="false">IF((((AL52+AM52)/2))*LN((((AL52+AM52)/2))/(AL$7))+(1-(((AL52+AM52)/2)))*LN((1-(((AL52+AM52)/2)))/(1-(AL$7)))-AL$6&lt;0,((AL52+AM52)/2),AL52)</f>
        <v>0.288519197341838</v>
      </c>
      <c r="AM53" s="37" t="n">
        <f aca="false">IF((((AL52+AM52)/2))*LN((((AL52+AM52)/2))/(AL$7))+(1-(((AL52+AM52)/2)))*LN((1-(((AL52+AM52)/2)))/(1-(AL$7)))-AL$6&lt;0,AM52,((AL52+AM52)/2))</f>
        <v>0.288519197341892</v>
      </c>
      <c r="AN53" s="37" t="n">
        <f aca="false">IF((((AN52+AO52)/2))*LN((((AN52+AO52)/2))/(AN$7))+(1-(((AN52+AO52)/2)))*LN((1-(((AN52+AO52)/2)))/(1-(AN$7)))-AN$6&lt;0,((AN52+AO52)/2),AN52)</f>
        <v>0.555514150436371</v>
      </c>
      <c r="AO53" s="37" t="n">
        <f aca="false">IF((((AN52+AO52)/2))*LN((((AN52+AO52)/2))/(AN$7))+(1-(((AN52+AO52)/2)))*LN((1-(((AN52+AO52)/2)))/(1-(AN$7)))-AN$6&lt;0,AO52,((AN52+AO52)/2))</f>
        <v>0.555514150436425</v>
      </c>
      <c r="AP53" s="37" t="n">
        <f aca="false">IF(AP$7*LN(AP$7)-AP$7*((AP52+AQ52)/2)+(1-AP$7)*LN(1-AP$7)-(1-AP$7)*LN(1-EXP(((AP52+AQ52)/2)))-AP$6&gt;0,((AP52+AQ52)/2),AP52)</f>
        <v>-3.68963394600836</v>
      </c>
      <c r="AQ53" s="37" t="n">
        <f aca="false">IF(AP$7*LN(AP$7)-AP$7*((AP52+AQ52)/2)+(1-AP$7)*LN(1-AP$7)-(1-AP$7)*LN(1-EXP(((AP52+AQ52)/2)))-AP$6&gt;0,AQ52,((AP52+AQ52)/2))</f>
        <v>-3.6896339460046</v>
      </c>
      <c r="AR53" s="37" t="n">
        <f aca="false">IF((((AR52+AS52)/2))*LN((((AR52+AS52)/2))/(AR$7))+(1-(((AR52+AS52)/2)))*LN((1-(((AR52+AS52)/2)))/(1-(AR$7)))-AR$6&lt;0,((AR52+AS52)/2),AR52)</f>
        <v>0.0836482674856967</v>
      </c>
      <c r="AS53" s="37" t="n">
        <f aca="false">IF((((AR52+AS52)/2))*LN((((AR52+AS52)/2))/(AR$7))+(1-(((AR52+AS52)/2)))*LN((1-(((AR52+AS52)/2)))/(1-(AR$7)))-AR$6&lt;0,AS52,((AR52+AS52)/2))</f>
        <v>0.0836482674857507</v>
      </c>
    </row>
    <row r="54" customFormat="false" ht="15" hidden="false" customHeight="false" outlineLevel="0" collapsed="false">
      <c r="B54" s="37" t="n">
        <f aca="false">IF(B$7*LN(B$7)-B$7*((B53+C53)/2)+(1-B$7)*LN(1-B$7)-(1-B$7)*LN(1-EXP(((B53+C53)/2)))-B$6&gt;0,((B53+C53)/2),B53)</f>
        <v>-12.741680608659</v>
      </c>
      <c r="C54" s="37" t="n">
        <f aca="false">IF(B$7*LN(B$7)-B$7*((B53+C53)/2)+(1-B$7)*LN(1-B$7)-(1-B$7)*LN(1-EXP(((B53+C53)/2)))-B$6&gt;0,C53,((B53+C53)/2))</f>
        <v>-12.7416806086571</v>
      </c>
      <c r="D54" s="37" t="n">
        <f aca="false">IF(D$7*LN(D$7)-D$7*((D53+E53)/2)+(1-D$7)*LN(1-D$7)-(1-D$7)*LN(1-EXP(((D53+E53)/2)))-D$6&gt;0,((D53+E53)/2),D53)</f>
        <v>-16.0341341195434</v>
      </c>
      <c r="E54" s="37" t="n">
        <f aca="false">IF(D$7*LN(D$7)-D$7*((D53+E53)/2)+(1-D$7)*LN(1-D$7)-(1-D$7)*LN(1-EXP(((D53+E53)/2)))-D$6&gt;0,E53,((D53+E53)/2))</f>
        <v>-16.0341341195415</v>
      </c>
      <c r="F54" s="37" t="n">
        <f aca="false">IF(F$7*LN(F$7)-F$7*((F53+G53)/2)+(1-F$7)*LN(1-F$7)-(1-F$7)*LN(1-EXP(((F53+G53)/2)))-F$6&gt;0,((F53+G53)/2),F53)</f>
        <v>-24.8055675322271</v>
      </c>
      <c r="G54" s="37" t="n">
        <f aca="false">IF(F$7*LN(F$7)-F$7*((F53+G53)/2)+(1-F$7)*LN(1-F$7)-(1-F$7)*LN(1-EXP(((F53+G53)/2)))-F$6&gt;0,G53,((F53+G53)/2))</f>
        <v>-24.8055675322253</v>
      </c>
      <c r="H54" s="37" t="n">
        <f aca="false">IF(H$7*LN(H$7)-H$7*((H53+I53)/2)+(1-H$7)*LN(1-H$7)-(1-H$7)*LN(1-EXP(((H53+I53)/2)))-H$6&gt;0,((H53+I53)/2),H53)</f>
        <v>-3.19789114182649</v>
      </c>
      <c r="I54" s="37" t="n">
        <f aca="false">IF(H$7*LN(H$7)-H$7*((H53+I53)/2)+(1-H$7)*LN(1-H$7)-(1-H$7)*LN(1-EXP(((H53+I53)/2)))-H$6&gt;0,I53,((H53+I53)/2))</f>
        <v>-3.19789114182462</v>
      </c>
      <c r="J54" s="37" t="n">
        <f aca="false">IF(J$7*LN(J$7)-J$7*((J53+K53)/2)+(1-J$7)*LN(1-J$7)-(1-J$7)*LN(1-EXP(((J53+K53)/2)))-J$6&gt;0,((J53+K53)/2),J53)</f>
        <v>-3.28605085212718</v>
      </c>
      <c r="K54" s="37" t="n">
        <f aca="false">IF(J$7*LN(J$7)-J$7*((J53+K53)/2)+(1-J$7)*LN(1-J$7)-(1-J$7)*LN(1-EXP(((J53+K53)/2)))-J$6&gt;0,K53,((J53+K53)/2))</f>
        <v>-3.2860508521253</v>
      </c>
      <c r="L54" s="37" t="n">
        <f aca="false">IF(L$7*LN(L$7)-L$7*((L53+M53)/2)+(1-L$7)*LN(1-L$7)-(1-L$7)*LN(1-EXP(((L53+M53)/2)))-L$6&gt;0,((L53+M53)/2),L53)</f>
        <v>-3.4691973384816</v>
      </c>
      <c r="M54" s="37" t="n">
        <f aca="false">IF(L$7*LN(L$7)-L$7*((L53+M53)/2)+(1-L$7)*LN(1-L$7)-(1-L$7)*LN(1-EXP(((L53+M53)/2)))-L$6&gt;0,M53,((L53+M53)/2))</f>
        <v>-3.46919733847972</v>
      </c>
      <c r="N54" s="37" t="n">
        <f aca="false">IF(N$7*LN(N$7)-N$7*((N53+O53)/2)+(1-N$7)*LN(1-N$7)-(1-N$7)*LN(1-EXP(((N53+O53)/2)))-N$6&gt;0,((N53+O53)/2),N53)</f>
        <v>-3.68963394600648</v>
      </c>
      <c r="O54" s="37" t="n">
        <f aca="false">IF(N$7*LN(N$7)-N$7*((N53+O53)/2)+(1-N$7)*LN(1-N$7)-(1-N$7)*LN(1-EXP(((N53+O53)/2)))-N$6&gt;0,O53,((N53+O53)/2))</f>
        <v>-3.6896339460046</v>
      </c>
      <c r="P54" s="37" t="n">
        <f aca="false">IF(P$7*LN(P$7)-P$7*((P53+Q53)/2)+(1-P$7)*LN(1-P$7)-(1-P$7)*LN(1-EXP(((P53+Q53)/2)))-P$6&gt;0,((P53+Q53)/2),P53)</f>
        <v>-4.02932208427936</v>
      </c>
      <c r="Q54" s="37" t="n">
        <f aca="false">IF(P$7*LN(P$7)-P$7*((P53+Q53)/2)+(1-P$7)*LN(1-P$7)-(1-P$7)*LN(1-EXP(((P53+Q53)/2)))-P$6&gt;0,Q53,((P53+Q53)/2))</f>
        <v>-4.02932208427748</v>
      </c>
      <c r="R54" s="37" t="n">
        <f aca="false">IF(R$7*LN(R$7)-R$7*((R53+S53)/2)+(1-R$7)*LN(1-R$7)-(1-R$7)*LN(1-EXP(((R53+S53)/2)))-R$6&gt;0,((R53+S53)/2),R53)</f>
        <v>-4.31449878690351</v>
      </c>
      <c r="S54" s="37" t="n">
        <f aca="false">IF(R$7*LN(R$7)-R$7*((R53+S53)/2)+(1-R$7)*LN(1-R$7)-(1-R$7)*LN(1-EXP(((R53+S53)/2)))-R$6&gt;0,S53,((R53+S53)/2))</f>
        <v>-4.31449878690163</v>
      </c>
      <c r="T54" s="37" t="n">
        <f aca="false">IF(T$7*LN(T$7)-T$7*((T53+U53)/2)+(1-T$7)*LN(1-T$7)-(1-T$7)*LN(1-EXP(((T53+U53)/2)))-T$6&gt;0,((T53+U53)/2),T53)</f>
        <v>-4.81575742543037</v>
      </c>
      <c r="U54" s="37" t="n">
        <f aca="false">IF(T$7*LN(T$7)-T$7*((T53+U53)/2)+(1-T$7)*LN(1-T$7)-(1-T$7)*LN(1-EXP(((T53+U53)/2)))-T$6&gt;0,U53,((T53+U53)/2))</f>
        <v>-4.81575742542849</v>
      </c>
      <c r="V54" s="37" t="n">
        <f aca="false">IF(V$7*LN(V$7)-V$7*((V53+W53)/2)+(1-V$7)*LN(1-V$7)-(1-V$7)*LN(1-EXP(((V53+W53)/2)))-V$6&gt;0,((V53+W53)/2),V53)</f>
        <v>-5.38279983461408</v>
      </c>
      <c r="W54" s="37" t="n">
        <f aca="false">IF(V$7*LN(V$7)-V$7*((V53+W53)/2)+(1-V$7)*LN(1-V$7)-(1-V$7)*LN(1-EXP(((V53+W53)/2)))-V$6&gt;0,W53,((V53+W53)/2))</f>
        <v>-5.3827998346122</v>
      </c>
      <c r="X54" s="37" t="n">
        <f aca="false">IF(X$7*LN(X$7)-X$7*((X53+Y53)/2)+(1-X$7)*LN(1-X$7)-(1-X$7)*LN(1-EXP(((X53+Y53)/2)))-X$6&gt;0,((X53+Y53)/2),X53)</f>
        <v>-5.91917523349464</v>
      </c>
      <c r="Y54" s="37" t="n">
        <f aca="false">IF(X$7*LN(X$7)-X$7*((X53+Y53)/2)+(1-X$7)*LN(1-X$7)-(1-X$7)*LN(1-EXP(((X53+Y53)/2)))-X$6&gt;0,Y53,((X53+Y53)/2))</f>
        <v>-5.91917523349276</v>
      </c>
      <c r="Z54" s="37" t="n">
        <f aca="false">IF(Z$7*LN(Z$7)-Z$7*((Z53+AA53)/2)+(1-Z$7)*LN(1-Z$7)-(1-Z$7)*LN(1-EXP(((Z53+AA53)/2)))-Z$6&gt;0,((Z53+AA53)/2),Z53)</f>
        <v>-6.95212068545776</v>
      </c>
      <c r="AA54" s="37" t="n">
        <f aca="false">IF(Z$7*LN(Z$7)-Z$7*((Z53+AA53)/2)+(1-Z$7)*LN(1-Z$7)-(1-Z$7)*LN(1-EXP(((Z53+AA53)/2)))-Z$6&gt;0,AA53,((Z53+AA53)/2))</f>
        <v>-6.95212068545588</v>
      </c>
      <c r="AB54" s="37" t="n">
        <f aca="false">IF((((AB53+AC53)/2))*LN((((AB53+AC53)/2))/(AB$7))+(1-(((AB53+AC53)/2)))*LN((1-(((AB53+AC53)/2)))/(1-(AB$7)))-AB$6&lt;0,((AB53+AC53)/2),AB53)</f>
        <v>0.0600408213770379</v>
      </c>
      <c r="AC54" s="37" t="n">
        <f aca="false">IF((((AB53+AC53)/2))*LN((((AB53+AC53)/2))/(AB$7))+(1-(((AB53+AC53)/2)))*LN((1-(((AB53+AC53)/2)))/(1-(AB$7)))-AB$6&lt;0,AC53,((AB53+AC53)/2))</f>
        <v>0.0600408213770649</v>
      </c>
      <c r="AD54" s="37" t="n">
        <f aca="false">IF((((AD53+AE53)/2))*LN((((AD53+AE53)/2))/(AD$7))+(1-(((AD53+AE53)/2)))*LN((1-(((AD53+AE53)/2)))/(1-(AD$7)))-AD$6&lt;0,((AD53+AE53)/2),AD53)</f>
        <v>0.0677518178859415</v>
      </c>
      <c r="AE54" s="37" t="n">
        <f aca="false">IF((((AD53+AE53)/2))*LN((((AD53+AE53)/2))/(AD$7))+(1-(((AD53+AE53)/2)))*LN((1-(((AD53+AE53)/2)))/(1-(AD$7)))-AD$6&lt;0,AE53,((AD53+AE53)/2))</f>
        <v>0.0677518178859685</v>
      </c>
      <c r="AF54" s="37" t="n">
        <f aca="false">IF((((AF53+AG53)/2))*LN((((AF53+AG53)/2))/(AF$7))+(1-(((AF53+AG53)/2)))*LN((1-(((AF53+AG53)/2)))/(1-(AF$7)))-AF$6&lt;0,((AF53+AG53)/2),AF53)</f>
        <v>0.0836482674857237</v>
      </c>
      <c r="AG54" s="37" t="n">
        <f aca="false">IF((((AF53+AG53)/2))*LN((((AF53+AG53)/2))/(AF$7))+(1-(((AF53+AG53)/2)))*LN((1-(((AF53+AG53)/2)))/(1-(AF$7)))-AF$6&lt;0,AG53,((AF53+AG53)/2))</f>
        <v>0.0836482674857507</v>
      </c>
      <c r="AH54" s="37" t="n">
        <f aca="false">IF((((AH53+AI53)/2))*LN((((AH53+AI53)/2))/(AH$7))+(1-(((AH53+AI53)/2)))*LN((1-(((AH53+AI53)/2)))/(1-(AH$7)))-AH$6&lt;0,((AH53+AI53)/2),AH53)</f>
        <v>0.111548048226798</v>
      </c>
      <c r="AI54" s="37" t="n">
        <f aca="false">IF((((AH53+AI53)/2))*LN((((AH53+AI53)/2))/(AH$7))+(1-(((AH53+AI53)/2)))*LN((1-(((AH53+AI53)/2)))/(1-(AH$7)))-AH$6&lt;0,AI53,((AH53+AI53)/2))</f>
        <v>0.111548048226825</v>
      </c>
      <c r="AJ54" s="37" t="n">
        <f aca="false">IF((((AJ53+AK53)/2))*LN((((AJ53+AK53)/2))/(AJ$7))+(1-(((AJ53+AK53)/2)))*LN((1-(((AJ53+AK53)/2)))/(1-(AJ$7)))-AJ$6&lt;0,((AJ53+AK53)/2),AJ53)</f>
        <v>0.172949347713478</v>
      </c>
      <c r="AK54" s="37" t="n">
        <f aca="false">IF((((AJ53+AK53)/2))*LN((((AJ53+AK53)/2))/(AJ$7))+(1-(((AJ53+AK53)/2)))*LN((1-(((AJ53+AK53)/2)))/(1-(AJ$7)))-AJ$6&lt;0,AK53,((AJ53+AK53)/2))</f>
        <v>0.172949347713505</v>
      </c>
      <c r="AL54" s="37" t="n">
        <f aca="false">IF((((AL53+AM53)/2))*LN((((AL53+AM53)/2))/(AL$7))+(1-(((AL53+AM53)/2)))*LN((1-(((AL53+AM53)/2)))/(1-(AL$7)))-AL$6&lt;0,((AL53+AM53)/2),AL53)</f>
        <v>0.288519197341866</v>
      </c>
      <c r="AM54" s="37" t="n">
        <f aca="false">IF((((AL53+AM53)/2))*LN((((AL53+AM53)/2))/(AL$7))+(1-(((AL53+AM53)/2)))*LN((1-(((AL53+AM53)/2)))/(1-(AL$7)))-AL$6&lt;0,AM53,((AL53+AM53)/2))</f>
        <v>0.288519197341892</v>
      </c>
      <c r="AN54" s="37" t="n">
        <f aca="false">IF((((AN53+AO53)/2))*LN((((AN53+AO53)/2))/(AN$7))+(1-(((AN53+AO53)/2)))*LN((1-(((AN53+AO53)/2)))/(1-(AN$7)))-AN$6&lt;0,((AN53+AO53)/2),AN53)</f>
        <v>0.555514150436398</v>
      </c>
      <c r="AO54" s="37" t="n">
        <f aca="false">IF((((AN53+AO53)/2))*LN((((AN53+AO53)/2))/(AN$7))+(1-(((AN53+AO53)/2)))*LN((1-(((AN53+AO53)/2)))/(1-(AN$7)))-AN$6&lt;0,AO53,((AN53+AO53)/2))</f>
        <v>0.555514150436425</v>
      </c>
      <c r="AP54" s="37" t="n">
        <f aca="false">IF(AP$7*LN(AP$7)-AP$7*((AP53+AQ53)/2)+(1-AP$7)*LN(1-AP$7)-(1-AP$7)*LN(1-EXP(((AP53+AQ53)/2)))-AP$6&gt;0,((AP53+AQ53)/2),AP53)</f>
        <v>-3.68963394600648</v>
      </c>
      <c r="AQ54" s="37" t="n">
        <f aca="false">IF(AP$7*LN(AP$7)-AP$7*((AP53+AQ53)/2)+(1-AP$7)*LN(1-AP$7)-(1-AP$7)*LN(1-EXP(((AP53+AQ53)/2)))-AP$6&gt;0,AQ53,((AP53+AQ53)/2))</f>
        <v>-3.6896339460046</v>
      </c>
      <c r="AR54" s="37" t="n">
        <f aca="false">IF((((AR53+AS53)/2))*LN((((AR53+AS53)/2))/(AR$7))+(1-(((AR53+AS53)/2)))*LN((1-(((AR53+AS53)/2)))/(1-(AR$7)))-AR$6&lt;0,((AR53+AS53)/2),AR53)</f>
        <v>0.0836482674857237</v>
      </c>
      <c r="AS54" s="37" t="n">
        <f aca="false">IF((((AR53+AS53)/2))*LN((((AR53+AS53)/2))/(AR$7))+(1-(((AR53+AS53)/2)))*LN((1-(((AR53+AS53)/2)))/(1-(AR$7)))-AR$6&lt;0,AS53,((AR53+AS53)/2))</f>
        <v>0.0836482674857507</v>
      </c>
    </row>
    <row r="55" customFormat="false" ht="15" hidden="false" customHeight="false" outlineLevel="0" collapsed="false">
      <c r="B55" s="37" t="n">
        <f aca="false">IF(B$7*LN(B$7)-B$7*((B54+C54)/2)+(1-B$7)*LN(1-B$7)-(1-B$7)*LN(1-EXP(((B54+C54)/2)))-B$6&gt;0,((B54+C54)/2),B54)</f>
        <v>-12.741680608658</v>
      </c>
      <c r="C55" s="37" t="n">
        <f aca="false">IF(B$7*LN(B$7)-B$7*((B54+C54)/2)+(1-B$7)*LN(1-B$7)-(1-B$7)*LN(1-EXP(((B54+C54)/2)))-B$6&gt;0,C54,((B54+C54)/2))</f>
        <v>-12.7416806086571</v>
      </c>
      <c r="D55" s="37" t="n">
        <f aca="false">IF(D$7*LN(D$7)-D$7*((D54+E54)/2)+(1-D$7)*LN(1-D$7)-(1-D$7)*LN(1-EXP(((D54+E54)/2)))-D$6&gt;0,((D54+E54)/2),D54)</f>
        <v>-16.0341341195434</v>
      </c>
      <c r="E55" s="37" t="n">
        <f aca="false">IF(D$7*LN(D$7)-D$7*((D54+E54)/2)+(1-D$7)*LN(1-D$7)-(1-D$7)*LN(1-EXP(((D54+E54)/2)))-D$6&gt;0,E54,((D54+E54)/2))</f>
        <v>-16.0341341195425</v>
      </c>
      <c r="F55" s="37" t="n">
        <f aca="false">IF(F$7*LN(F$7)-F$7*((F54+G54)/2)+(1-F$7)*LN(1-F$7)-(1-F$7)*LN(1-EXP(((F54+G54)/2)))-F$6&gt;0,((F54+G54)/2),F54)</f>
        <v>-24.8055675322262</v>
      </c>
      <c r="G55" s="37" t="n">
        <f aca="false">IF(F$7*LN(F$7)-F$7*((F54+G54)/2)+(1-F$7)*LN(1-F$7)-(1-F$7)*LN(1-EXP(((F54+G54)/2)))-F$6&gt;0,G54,((F54+G54)/2))</f>
        <v>-24.8055675322253</v>
      </c>
      <c r="H55" s="37" t="n">
        <f aca="false">IF(H$7*LN(H$7)-H$7*((H54+I54)/2)+(1-H$7)*LN(1-H$7)-(1-H$7)*LN(1-EXP(((H54+I54)/2)))-H$6&gt;0,((H54+I54)/2),H54)</f>
        <v>-3.19789114182649</v>
      </c>
      <c r="I55" s="37" t="n">
        <f aca="false">IF(H$7*LN(H$7)-H$7*((H54+I54)/2)+(1-H$7)*LN(1-H$7)-(1-H$7)*LN(1-EXP(((H54+I54)/2)))-H$6&gt;0,I54,((H54+I54)/2))</f>
        <v>-3.19789114182556</v>
      </c>
      <c r="J55" s="37" t="n">
        <f aca="false">IF(J$7*LN(J$7)-J$7*((J54+K54)/2)+(1-J$7)*LN(1-J$7)-(1-J$7)*LN(1-EXP(((J54+K54)/2)))-J$6&gt;0,((J54+K54)/2),J54)</f>
        <v>-3.28605085212624</v>
      </c>
      <c r="K55" s="37" t="n">
        <f aca="false">IF(J$7*LN(J$7)-J$7*((J54+K54)/2)+(1-J$7)*LN(1-J$7)-(1-J$7)*LN(1-EXP(((J54+K54)/2)))-J$6&gt;0,K54,((J54+K54)/2))</f>
        <v>-3.2860508521253</v>
      </c>
      <c r="L55" s="37" t="n">
        <f aca="false">IF(L$7*LN(L$7)-L$7*((L54+M54)/2)+(1-L$7)*LN(1-L$7)-(1-L$7)*LN(1-EXP(((L54+M54)/2)))-L$6&gt;0,((L54+M54)/2),L54)</f>
        <v>-3.4691973384816</v>
      </c>
      <c r="M55" s="37" t="n">
        <f aca="false">IF(L$7*LN(L$7)-L$7*((L54+M54)/2)+(1-L$7)*LN(1-L$7)-(1-L$7)*LN(1-EXP(((L54+M54)/2)))-L$6&gt;0,M54,((L54+M54)/2))</f>
        <v>-3.46919733848066</v>
      </c>
      <c r="N55" s="37" t="n">
        <f aca="false">IF(N$7*LN(N$7)-N$7*((N54+O54)/2)+(1-N$7)*LN(1-N$7)-(1-N$7)*LN(1-EXP(((N54+O54)/2)))-N$6&gt;0,((N54+O54)/2),N54)</f>
        <v>-3.68963394600554</v>
      </c>
      <c r="O55" s="37" t="n">
        <f aca="false">IF(N$7*LN(N$7)-N$7*((N54+O54)/2)+(1-N$7)*LN(1-N$7)-(1-N$7)*LN(1-EXP(((N54+O54)/2)))-N$6&gt;0,O54,((N54+O54)/2))</f>
        <v>-3.6896339460046</v>
      </c>
      <c r="P55" s="37" t="n">
        <f aca="false">IF(P$7*LN(P$7)-P$7*((P54+Q54)/2)+(1-P$7)*LN(1-P$7)-(1-P$7)*LN(1-EXP(((P54+Q54)/2)))-P$6&gt;0,((P54+Q54)/2),P54)</f>
        <v>-4.02932208427842</v>
      </c>
      <c r="Q55" s="37" t="n">
        <f aca="false">IF(P$7*LN(P$7)-P$7*((P54+Q54)/2)+(1-P$7)*LN(1-P$7)-(1-P$7)*LN(1-EXP(((P54+Q54)/2)))-P$6&gt;0,Q54,((P54+Q54)/2))</f>
        <v>-4.02932208427748</v>
      </c>
      <c r="R55" s="37" t="n">
        <f aca="false">IF(R$7*LN(R$7)-R$7*((R54+S54)/2)+(1-R$7)*LN(1-R$7)-(1-R$7)*LN(1-EXP(((R54+S54)/2)))-R$6&gt;0,((R54+S54)/2),R54)</f>
        <v>-4.31449878690351</v>
      </c>
      <c r="S55" s="37" t="n">
        <f aca="false">IF(R$7*LN(R$7)-R$7*((R54+S54)/2)+(1-R$7)*LN(1-R$7)-(1-R$7)*LN(1-EXP(((R54+S54)/2)))-R$6&gt;0,S54,((R54+S54)/2))</f>
        <v>-4.31449878690257</v>
      </c>
      <c r="T55" s="37" t="n">
        <f aca="false">IF(T$7*LN(T$7)-T$7*((T54+U54)/2)+(1-T$7)*LN(1-T$7)-(1-T$7)*LN(1-EXP(((T54+U54)/2)))-T$6&gt;0,((T54+U54)/2),T54)</f>
        <v>-4.81575742542943</v>
      </c>
      <c r="U55" s="37" t="n">
        <f aca="false">IF(T$7*LN(T$7)-T$7*((T54+U54)/2)+(1-T$7)*LN(1-T$7)-(1-T$7)*LN(1-EXP(((T54+U54)/2)))-T$6&gt;0,U54,((T54+U54)/2))</f>
        <v>-4.81575742542849</v>
      </c>
      <c r="V55" s="37" t="n">
        <f aca="false">IF(V$7*LN(V$7)-V$7*((V54+W54)/2)+(1-V$7)*LN(1-V$7)-(1-V$7)*LN(1-EXP(((V54+W54)/2)))-V$6&gt;0,((V54+W54)/2),V54)</f>
        <v>-5.38279983461408</v>
      </c>
      <c r="W55" s="37" t="n">
        <f aca="false">IF(V$7*LN(V$7)-V$7*((V54+W54)/2)+(1-V$7)*LN(1-V$7)-(1-V$7)*LN(1-EXP(((V54+W54)/2)))-V$6&gt;0,W54,((V54+W54)/2))</f>
        <v>-5.38279983461314</v>
      </c>
      <c r="X55" s="37" t="n">
        <f aca="false">IF(X$7*LN(X$7)-X$7*((X54+Y54)/2)+(1-X$7)*LN(1-X$7)-(1-X$7)*LN(1-EXP(((X54+Y54)/2)))-X$6&gt;0,((X54+Y54)/2),X54)</f>
        <v>-5.9191752334937</v>
      </c>
      <c r="Y55" s="37" t="n">
        <f aca="false">IF(X$7*LN(X$7)-X$7*((X54+Y54)/2)+(1-X$7)*LN(1-X$7)-(1-X$7)*LN(1-EXP(((X54+Y54)/2)))-X$6&gt;0,Y54,((X54+Y54)/2))</f>
        <v>-5.91917523349276</v>
      </c>
      <c r="Z55" s="37" t="n">
        <f aca="false">IF(Z$7*LN(Z$7)-Z$7*((Z54+AA54)/2)+(1-Z$7)*LN(1-Z$7)-(1-Z$7)*LN(1-EXP(((Z54+AA54)/2)))-Z$6&gt;0,((Z54+AA54)/2),Z54)</f>
        <v>-6.95212068545776</v>
      </c>
      <c r="AA55" s="37" t="n">
        <f aca="false">IF(Z$7*LN(Z$7)-Z$7*((Z54+AA54)/2)+(1-Z$7)*LN(1-Z$7)-(1-Z$7)*LN(1-EXP(((Z54+AA54)/2)))-Z$6&gt;0,AA54,((Z54+AA54)/2))</f>
        <v>-6.95212068545682</v>
      </c>
      <c r="AB55" s="37" t="n">
        <f aca="false">IF((((AB54+AC54)/2))*LN((((AB54+AC54)/2))/(AB$7))+(1-(((AB54+AC54)/2)))*LN((1-(((AB54+AC54)/2)))/(1-(AB$7)))-AB$6&lt;0,((AB54+AC54)/2),AB54)</f>
        <v>0.0600408213770379</v>
      </c>
      <c r="AC55" s="37" t="n">
        <f aca="false">IF((((AB54+AC54)/2))*LN((((AB54+AC54)/2))/(AB$7))+(1-(((AB54+AC54)/2)))*LN((1-(((AB54+AC54)/2)))/(1-(AB$7)))-AB$6&lt;0,AC54,((AB54+AC54)/2))</f>
        <v>0.0600408213770514</v>
      </c>
      <c r="AD55" s="37" t="n">
        <f aca="false">IF((((AD54+AE54)/2))*LN((((AD54+AE54)/2))/(AD$7))+(1-(((AD54+AE54)/2)))*LN((1-(((AD54+AE54)/2)))/(1-(AD$7)))-AD$6&lt;0,((AD54+AE54)/2),AD54)</f>
        <v>0.067751817885955</v>
      </c>
      <c r="AE55" s="37" t="n">
        <f aca="false">IF((((AD54+AE54)/2))*LN((((AD54+AE54)/2))/(AD$7))+(1-(((AD54+AE54)/2)))*LN((1-(((AD54+AE54)/2)))/(1-(AD$7)))-AD$6&lt;0,AE54,((AD54+AE54)/2))</f>
        <v>0.0677518178859685</v>
      </c>
      <c r="AF55" s="37" t="n">
        <f aca="false">IF((((AF54+AG54)/2))*LN((((AF54+AG54)/2))/(AF$7))+(1-(((AF54+AG54)/2)))*LN((1-(((AF54+AG54)/2)))/(1-(AF$7)))-AF$6&lt;0,((AF54+AG54)/2),AF54)</f>
        <v>0.0836482674857237</v>
      </c>
      <c r="AG55" s="37" t="n">
        <f aca="false">IF((((AF54+AG54)/2))*LN((((AF54+AG54)/2))/(AF$7))+(1-(((AF54+AG54)/2)))*LN((1-(((AF54+AG54)/2)))/(1-(AF$7)))-AF$6&lt;0,AG54,((AF54+AG54)/2))</f>
        <v>0.0836482674857372</v>
      </c>
      <c r="AH55" s="37" t="n">
        <f aca="false">IF((((AH54+AI54)/2))*LN((((AH54+AI54)/2))/(AH$7))+(1-(((AH54+AI54)/2)))*LN((1-(((AH54+AI54)/2)))/(1-(AH$7)))-AH$6&lt;0,((AH54+AI54)/2),AH54)</f>
        <v>0.111548048226798</v>
      </c>
      <c r="AI55" s="37" t="n">
        <f aca="false">IF((((AH54+AI54)/2))*LN((((AH54+AI54)/2))/(AH$7))+(1-(((AH54+AI54)/2)))*LN((1-(((AH54+AI54)/2)))/(1-(AH$7)))-AH$6&lt;0,AI54,((AH54+AI54)/2))</f>
        <v>0.111548048226812</v>
      </c>
      <c r="AJ55" s="37" t="n">
        <f aca="false">IF((((AJ54+AK54)/2))*LN((((AJ54+AK54)/2))/(AJ$7))+(1-(((AJ54+AK54)/2)))*LN((1-(((AJ54+AK54)/2)))/(1-(AJ$7)))-AJ$6&lt;0,((AJ54+AK54)/2),AJ54)</f>
        <v>0.172949347713478</v>
      </c>
      <c r="AK55" s="37" t="n">
        <f aca="false">IF((((AJ54+AK54)/2))*LN((((AJ54+AK54)/2))/(AJ$7))+(1-(((AJ54+AK54)/2)))*LN((1-(((AJ54+AK54)/2)))/(1-(AJ$7)))-AJ$6&lt;0,AK54,((AJ54+AK54)/2))</f>
        <v>0.172949347713491</v>
      </c>
      <c r="AL55" s="37" t="n">
        <f aca="false">IF((((AL54+AM54)/2))*LN((((AL54+AM54)/2))/(AL$7))+(1-(((AL54+AM54)/2)))*LN((1-(((AL54+AM54)/2)))/(1-(AL$7)))-AL$6&lt;0,((AL54+AM54)/2),AL54)</f>
        <v>0.288519197341879</v>
      </c>
      <c r="AM55" s="37" t="n">
        <f aca="false">IF((((AL54+AM54)/2))*LN((((AL54+AM54)/2))/(AL$7))+(1-(((AL54+AM54)/2)))*LN((1-(((AL54+AM54)/2)))/(1-(AL$7)))-AL$6&lt;0,AM54,((AL54+AM54)/2))</f>
        <v>0.288519197341892</v>
      </c>
      <c r="AN55" s="37" t="n">
        <f aca="false">IF((((AN54+AO54)/2))*LN((((AN54+AO54)/2))/(AN$7))+(1-(((AN54+AO54)/2)))*LN((1-(((AN54+AO54)/2)))/(1-(AN$7)))-AN$6&lt;0,((AN54+AO54)/2),AN54)</f>
        <v>0.555514150436398</v>
      </c>
      <c r="AO55" s="37" t="n">
        <f aca="false">IF((((AN54+AO54)/2))*LN((((AN54+AO54)/2))/(AN$7))+(1-(((AN54+AO54)/2)))*LN((1-(((AN54+AO54)/2)))/(1-(AN$7)))-AN$6&lt;0,AO54,((AN54+AO54)/2))</f>
        <v>0.555514150436412</v>
      </c>
      <c r="AP55" s="37" t="n">
        <f aca="false">IF(AP$7*LN(AP$7)-AP$7*((AP54+AQ54)/2)+(1-AP$7)*LN(1-AP$7)-(1-AP$7)*LN(1-EXP(((AP54+AQ54)/2)))-AP$6&gt;0,((AP54+AQ54)/2),AP54)</f>
        <v>-3.68963394600554</v>
      </c>
      <c r="AQ55" s="37" t="n">
        <f aca="false">IF(AP$7*LN(AP$7)-AP$7*((AP54+AQ54)/2)+(1-AP$7)*LN(1-AP$7)-(1-AP$7)*LN(1-EXP(((AP54+AQ54)/2)))-AP$6&gt;0,AQ54,((AP54+AQ54)/2))</f>
        <v>-3.6896339460046</v>
      </c>
      <c r="AR55" s="37" t="n">
        <f aca="false">IF((((AR54+AS54)/2))*LN((((AR54+AS54)/2))/(AR$7))+(1-(((AR54+AS54)/2)))*LN((1-(((AR54+AS54)/2)))/(1-(AR$7)))-AR$6&lt;0,((AR54+AS54)/2),AR54)</f>
        <v>0.0836482674857237</v>
      </c>
      <c r="AS55" s="37" t="n">
        <f aca="false">IF((((AR54+AS54)/2))*LN((((AR54+AS54)/2))/(AR$7))+(1-(((AR54+AS54)/2)))*LN((1-(((AR54+AS54)/2)))/(1-(AR$7)))-AR$6&lt;0,AS54,((AR54+AS54)/2))</f>
        <v>0.0836482674857372</v>
      </c>
    </row>
    <row r="56" customFormat="false" ht="15" hidden="false" customHeight="false" outlineLevel="0" collapsed="false">
      <c r="B56" s="37" t="n">
        <f aca="false">IF(B$7*LN(B$7)-B$7*((B55+C55)/2)+(1-B$7)*LN(1-B$7)-(1-B$7)*LN(1-EXP(((B55+C55)/2)))-B$6&gt;0,((B55+C55)/2),B55)</f>
        <v>-12.741680608658</v>
      </c>
      <c r="C56" s="37" t="n">
        <f aca="false">IF(B$7*LN(B$7)-B$7*((B55+C55)/2)+(1-B$7)*LN(1-B$7)-(1-B$7)*LN(1-EXP(((B55+C55)/2)))-B$6&gt;0,C55,((B55+C55)/2))</f>
        <v>-12.7416806086575</v>
      </c>
      <c r="D56" s="37" t="n">
        <f aca="false">IF(D$7*LN(D$7)-D$7*((D55+E55)/2)+(1-D$7)*LN(1-D$7)-(1-D$7)*LN(1-EXP(((D55+E55)/2)))-D$6&gt;0,((D55+E55)/2),D55)</f>
        <v>-16.0341341195429</v>
      </c>
      <c r="E56" s="37" t="n">
        <f aca="false">IF(D$7*LN(D$7)-D$7*((D55+E55)/2)+(1-D$7)*LN(1-D$7)-(1-D$7)*LN(1-EXP(((D55+E55)/2)))-D$6&gt;0,E55,((D55+E55)/2))</f>
        <v>-16.0341341195425</v>
      </c>
      <c r="F56" s="37" t="n">
        <f aca="false">IF(F$7*LN(F$7)-F$7*((F55+G55)/2)+(1-F$7)*LN(1-F$7)-(1-F$7)*LN(1-EXP(((F55+G55)/2)))-F$6&gt;0,((F55+G55)/2),F55)</f>
        <v>-24.8055675322262</v>
      </c>
      <c r="G56" s="37" t="n">
        <f aca="false">IF(F$7*LN(F$7)-F$7*((F55+G55)/2)+(1-F$7)*LN(1-F$7)-(1-F$7)*LN(1-EXP(((F55+G55)/2)))-F$6&gt;0,G55,((F55+G55)/2))</f>
        <v>-24.8055675322257</v>
      </c>
      <c r="H56" s="37" t="n">
        <f aca="false">IF(H$7*LN(H$7)-H$7*((H55+I55)/2)+(1-H$7)*LN(1-H$7)-(1-H$7)*LN(1-EXP(((H55+I55)/2)))-H$6&gt;0,((H55+I55)/2),H55)</f>
        <v>-3.19789114182602</v>
      </c>
      <c r="I56" s="37" t="n">
        <f aca="false">IF(H$7*LN(H$7)-H$7*((H55+I55)/2)+(1-H$7)*LN(1-H$7)-(1-H$7)*LN(1-EXP(((H55+I55)/2)))-H$6&gt;0,I55,((H55+I55)/2))</f>
        <v>-3.19789114182556</v>
      </c>
      <c r="J56" s="37" t="n">
        <f aca="false">IF(J$7*LN(J$7)-J$7*((J55+K55)/2)+(1-J$7)*LN(1-J$7)-(1-J$7)*LN(1-EXP(((J55+K55)/2)))-J$6&gt;0,((J55+K55)/2),J55)</f>
        <v>-3.28605085212577</v>
      </c>
      <c r="K56" s="37" t="n">
        <f aca="false">IF(J$7*LN(J$7)-J$7*((J55+K55)/2)+(1-J$7)*LN(1-J$7)-(1-J$7)*LN(1-EXP(((J55+K55)/2)))-J$6&gt;0,K55,((J55+K55)/2))</f>
        <v>-3.2860508521253</v>
      </c>
      <c r="L56" s="37" t="n">
        <f aca="false">IF(L$7*LN(L$7)-L$7*((L55+M55)/2)+(1-L$7)*LN(1-L$7)-(1-L$7)*LN(1-EXP(((L55+M55)/2)))-L$6&gt;0,((L55+M55)/2),L55)</f>
        <v>-3.46919733848113</v>
      </c>
      <c r="M56" s="37" t="n">
        <f aca="false">IF(L$7*LN(L$7)-L$7*((L55+M55)/2)+(1-L$7)*LN(1-L$7)-(1-L$7)*LN(1-EXP(((L55+M55)/2)))-L$6&gt;0,M55,((L55+M55)/2))</f>
        <v>-3.46919733848066</v>
      </c>
      <c r="N56" s="37" t="n">
        <f aca="false">IF(N$7*LN(N$7)-N$7*((N55+O55)/2)+(1-N$7)*LN(1-N$7)-(1-N$7)*LN(1-EXP(((N55+O55)/2)))-N$6&gt;0,((N55+O55)/2),N55)</f>
        <v>-3.68963394600554</v>
      </c>
      <c r="O56" s="37" t="n">
        <f aca="false">IF(N$7*LN(N$7)-N$7*((N55+O55)/2)+(1-N$7)*LN(1-N$7)-(1-N$7)*LN(1-EXP(((N55+O55)/2)))-N$6&gt;0,O55,((N55+O55)/2))</f>
        <v>-3.68963394600507</v>
      </c>
      <c r="P56" s="37" t="n">
        <f aca="false">IF(P$7*LN(P$7)-P$7*((P55+Q55)/2)+(1-P$7)*LN(1-P$7)-(1-P$7)*LN(1-EXP(((P55+Q55)/2)))-P$6&gt;0,((P55+Q55)/2),P55)</f>
        <v>-4.02932208427795</v>
      </c>
      <c r="Q56" s="37" t="n">
        <f aca="false">IF(P$7*LN(P$7)-P$7*((P55+Q55)/2)+(1-P$7)*LN(1-P$7)-(1-P$7)*LN(1-EXP(((P55+Q55)/2)))-P$6&gt;0,Q55,((P55+Q55)/2))</f>
        <v>-4.02932208427748</v>
      </c>
      <c r="R56" s="37" t="n">
        <f aca="false">IF(R$7*LN(R$7)-R$7*((R55+S55)/2)+(1-R$7)*LN(1-R$7)-(1-R$7)*LN(1-EXP(((R55+S55)/2)))-R$6&gt;0,((R55+S55)/2),R55)</f>
        <v>-4.31449878690351</v>
      </c>
      <c r="S56" s="37" t="n">
        <f aca="false">IF(R$7*LN(R$7)-R$7*((R55+S55)/2)+(1-R$7)*LN(1-R$7)-(1-R$7)*LN(1-EXP(((R55+S55)/2)))-R$6&gt;0,S55,((R55+S55)/2))</f>
        <v>-4.31449878690304</v>
      </c>
      <c r="T56" s="37" t="n">
        <f aca="false">IF(T$7*LN(T$7)-T$7*((T55+U55)/2)+(1-T$7)*LN(1-T$7)-(1-T$7)*LN(1-EXP(((T55+U55)/2)))-T$6&gt;0,((T55+U55)/2),T55)</f>
        <v>-4.81575742542896</v>
      </c>
      <c r="U56" s="37" t="n">
        <f aca="false">IF(T$7*LN(T$7)-T$7*((T55+U55)/2)+(1-T$7)*LN(1-T$7)-(1-T$7)*LN(1-EXP(((T55+U55)/2)))-T$6&gt;0,U55,((T55+U55)/2))</f>
        <v>-4.81575742542849</v>
      </c>
      <c r="V56" s="37" t="n">
        <f aca="false">IF(V$7*LN(V$7)-V$7*((V55+W55)/2)+(1-V$7)*LN(1-V$7)-(1-V$7)*LN(1-EXP(((V55+W55)/2)))-V$6&gt;0,((V55+W55)/2),V55)</f>
        <v>-5.38279983461361</v>
      </c>
      <c r="W56" s="37" t="n">
        <f aca="false">IF(V$7*LN(V$7)-V$7*((V55+W55)/2)+(1-V$7)*LN(1-V$7)-(1-V$7)*LN(1-EXP(((V55+W55)/2)))-V$6&gt;0,W55,((V55+W55)/2))</f>
        <v>-5.38279983461314</v>
      </c>
      <c r="X56" s="37" t="n">
        <f aca="false">IF(X$7*LN(X$7)-X$7*((X55+Y55)/2)+(1-X$7)*LN(1-X$7)-(1-X$7)*LN(1-EXP(((X55+Y55)/2)))-X$6&gt;0,((X55+Y55)/2),X55)</f>
        <v>-5.91917523349323</v>
      </c>
      <c r="Y56" s="37" t="n">
        <f aca="false">IF(X$7*LN(X$7)-X$7*((X55+Y55)/2)+(1-X$7)*LN(1-X$7)-(1-X$7)*LN(1-EXP(((X55+Y55)/2)))-X$6&gt;0,Y55,((X55+Y55)/2))</f>
        <v>-5.91917523349276</v>
      </c>
      <c r="Z56" s="37" t="n">
        <f aca="false">IF(Z$7*LN(Z$7)-Z$7*((Z55+AA55)/2)+(1-Z$7)*LN(1-Z$7)-(1-Z$7)*LN(1-EXP(((Z55+AA55)/2)))-Z$6&gt;0,((Z55+AA55)/2),Z55)</f>
        <v>-6.95212068545729</v>
      </c>
      <c r="AA56" s="37" t="n">
        <f aca="false">IF(Z$7*LN(Z$7)-Z$7*((Z55+AA55)/2)+(1-Z$7)*LN(1-Z$7)-(1-Z$7)*LN(1-EXP(((Z55+AA55)/2)))-Z$6&gt;0,AA55,((Z55+AA55)/2))</f>
        <v>-6.95212068545682</v>
      </c>
      <c r="AB56" s="37" t="n">
        <f aca="false">IF((((AB55+AC55)/2))*LN((((AB55+AC55)/2))/(AB$7))+(1-(((AB55+AC55)/2)))*LN((1-(((AB55+AC55)/2)))/(1-(AB$7)))-AB$6&lt;0,((AB55+AC55)/2),AB55)</f>
        <v>0.0600408213770379</v>
      </c>
      <c r="AC56" s="37" t="n">
        <f aca="false">IF((((AB55+AC55)/2))*LN((((AB55+AC55)/2))/(AB$7))+(1-(((AB55+AC55)/2)))*LN((1-(((AB55+AC55)/2)))/(1-(AB$7)))-AB$6&lt;0,AC55,((AB55+AC55)/2))</f>
        <v>0.0600408213770446</v>
      </c>
      <c r="AD56" s="37" t="n">
        <f aca="false">IF((((AD55+AE55)/2))*LN((((AD55+AE55)/2))/(AD$7))+(1-(((AD55+AE55)/2)))*LN((1-(((AD55+AE55)/2)))/(1-(AD$7)))-AD$6&lt;0,((AD55+AE55)/2),AD55)</f>
        <v>0.0677518178859617</v>
      </c>
      <c r="AE56" s="37" t="n">
        <f aca="false">IF((((AD55+AE55)/2))*LN((((AD55+AE55)/2))/(AD$7))+(1-(((AD55+AE55)/2)))*LN((1-(((AD55+AE55)/2)))/(1-(AD$7)))-AD$6&lt;0,AE55,((AD55+AE55)/2))</f>
        <v>0.0677518178859685</v>
      </c>
      <c r="AF56" s="37" t="n">
        <f aca="false">IF((((AF55+AG55)/2))*LN((((AF55+AG55)/2))/(AF$7))+(1-(((AF55+AG55)/2)))*LN((1-(((AF55+AG55)/2)))/(1-(AF$7)))-AF$6&lt;0,((AF55+AG55)/2),AF55)</f>
        <v>0.0836482674857237</v>
      </c>
      <c r="AG56" s="37" t="n">
        <f aca="false">IF((((AF55+AG55)/2))*LN((((AF55+AG55)/2))/(AF$7))+(1-(((AF55+AG55)/2)))*LN((1-(((AF55+AG55)/2)))/(1-(AF$7)))-AF$6&lt;0,AG55,((AF55+AG55)/2))</f>
        <v>0.0836482674857304</v>
      </c>
      <c r="AH56" s="37" t="n">
        <f aca="false">IF((((AH55+AI55)/2))*LN((((AH55+AI55)/2))/(AH$7))+(1-(((AH55+AI55)/2)))*LN((1-(((AH55+AI55)/2)))/(1-(AH$7)))-AH$6&lt;0,((AH55+AI55)/2),AH55)</f>
        <v>0.111548048226798</v>
      </c>
      <c r="AI56" s="37" t="n">
        <f aca="false">IF((((AH55+AI55)/2))*LN((((AH55+AI55)/2))/(AH$7))+(1-(((AH55+AI55)/2)))*LN((1-(((AH55+AI55)/2)))/(1-(AH$7)))-AH$6&lt;0,AI55,((AH55+AI55)/2))</f>
        <v>0.111548048226805</v>
      </c>
      <c r="AJ56" s="37" t="n">
        <f aca="false">IF((((AJ55+AK55)/2))*LN((((AJ55+AK55)/2))/(AJ$7))+(1-(((AJ55+AK55)/2)))*LN((1-(((AJ55+AK55)/2)))/(1-(AJ$7)))-AJ$6&lt;0,((AJ55+AK55)/2),AJ55)</f>
        <v>0.172949347713478</v>
      </c>
      <c r="AK56" s="37" t="n">
        <f aca="false">IF((((AJ55+AK55)/2))*LN((((AJ55+AK55)/2))/(AJ$7))+(1-(((AJ55+AK55)/2)))*LN((1-(((AJ55+AK55)/2)))/(1-(AJ$7)))-AJ$6&lt;0,AK55,((AJ55+AK55)/2))</f>
        <v>0.172949347713485</v>
      </c>
      <c r="AL56" s="37" t="n">
        <f aca="false">IF((((AL55+AM55)/2))*LN((((AL55+AM55)/2))/(AL$7))+(1-(((AL55+AM55)/2)))*LN((1-(((AL55+AM55)/2)))/(1-(AL$7)))-AL$6&lt;0,((AL55+AM55)/2),AL55)</f>
        <v>0.288519197341886</v>
      </c>
      <c r="AM56" s="37" t="n">
        <f aca="false">IF((((AL55+AM55)/2))*LN((((AL55+AM55)/2))/(AL$7))+(1-(((AL55+AM55)/2)))*LN((1-(((AL55+AM55)/2)))/(1-(AL$7)))-AL$6&lt;0,AM55,((AL55+AM55)/2))</f>
        <v>0.288519197341892</v>
      </c>
      <c r="AN56" s="37" t="n">
        <f aca="false">IF((((AN55+AO55)/2))*LN((((AN55+AO55)/2))/(AN$7))+(1-(((AN55+AO55)/2)))*LN((1-(((AN55+AO55)/2)))/(1-(AN$7)))-AN$6&lt;0,((AN55+AO55)/2),AN55)</f>
        <v>0.555514150436405</v>
      </c>
      <c r="AO56" s="37" t="n">
        <f aca="false">IF((((AN55+AO55)/2))*LN((((AN55+AO55)/2))/(AN$7))+(1-(((AN55+AO55)/2)))*LN((1-(((AN55+AO55)/2)))/(1-(AN$7)))-AN$6&lt;0,AO55,((AN55+AO55)/2))</f>
        <v>0.555514150436412</v>
      </c>
      <c r="AP56" s="37" t="n">
        <f aca="false">IF(AP$7*LN(AP$7)-AP$7*((AP55+AQ55)/2)+(1-AP$7)*LN(1-AP$7)-(1-AP$7)*LN(1-EXP(((AP55+AQ55)/2)))-AP$6&gt;0,((AP55+AQ55)/2),AP55)</f>
        <v>-3.68963394600554</v>
      </c>
      <c r="AQ56" s="37" t="n">
        <f aca="false">IF(AP$7*LN(AP$7)-AP$7*((AP55+AQ55)/2)+(1-AP$7)*LN(1-AP$7)-(1-AP$7)*LN(1-EXP(((AP55+AQ55)/2)))-AP$6&gt;0,AQ55,((AP55+AQ55)/2))</f>
        <v>-3.68963394600507</v>
      </c>
      <c r="AR56" s="37" t="n">
        <f aca="false">IF((((AR55+AS55)/2))*LN((((AR55+AS55)/2))/(AR$7))+(1-(((AR55+AS55)/2)))*LN((1-(((AR55+AS55)/2)))/(1-(AR$7)))-AR$6&lt;0,((AR55+AS55)/2),AR55)</f>
        <v>0.0836482674857237</v>
      </c>
      <c r="AS56" s="37" t="n">
        <f aca="false">IF((((AR55+AS55)/2))*LN((((AR55+AS55)/2))/(AR$7))+(1-(((AR55+AS55)/2)))*LN((1-(((AR55+AS55)/2)))/(1-(AR$7)))-AR$6&lt;0,AS55,((AR55+AS55)/2))</f>
        <v>0.0836482674857304</v>
      </c>
    </row>
    <row r="57" customFormat="false" ht="15" hidden="false" customHeight="false" outlineLevel="0" collapsed="false">
      <c r="B57" s="37" t="n">
        <f aca="false">IF(B$7*LN(B$7)-B$7*((B56+C56)/2)+(1-B$7)*LN(1-B$7)-(1-B$7)*LN(1-EXP(((B56+C56)/2)))-B$6&gt;0,((B56+C56)/2),B56)</f>
        <v>-12.741680608658</v>
      </c>
      <c r="C57" s="37" t="n">
        <f aca="false">IF(B$7*LN(B$7)-B$7*((B56+C56)/2)+(1-B$7)*LN(1-B$7)-(1-B$7)*LN(1-EXP(((B56+C56)/2)))-B$6&gt;0,C56,((B56+C56)/2))</f>
        <v>-12.7416806086578</v>
      </c>
      <c r="D57" s="37" t="n">
        <f aca="false">IF(D$7*LN(D$7)-D$7*((D56+E56)/2)+(1-D$7)*LN(1-D$7)-(1-D$7)*LN(1-EXP(((D56+E56)/2)))-D$6&gt;0,((D56+E56)/2),D56)</f>
        <v>-16.0341341195427</v>
      </c>
      <c r="E57" s="37" t="n">
        <f aca="false">IF(D$7*LN(D$7)-D$7*((D56+E56)/2)+(1-D$7)*LN(1-D$7)-(1-D$7)*LN(1-EXP(((D56+E56)/2)))-D$6&gt;0,E56,((D56+E56)/2))</f>
        <v>-16.0341341195425</v>
      </c>
      <c r="F57" s="37" t="n">
        <f aca="false">IF(F$7*LN(F$7)-F$7*((F56+G56)/2)+(1-F$7)*LN(1-F$7)-(1-F$7)*LN(1-EXP(((F56+G56)/2)))-F$6&gt;0,((F56+G56)/2),F56)</f>
        <v>-24.8055675322262</v>
      </c>
      <c r="G57" s="37" t="n">
        <f aca="false">IF(F$7*LN(F$7)-F$7*((F56+G56)/2)+(1-F$7)*LN(1-F$7)-(1-F$7)*LN(1-EXP(((F56+G56)/2)))-F$6&gt;0,G56,((F56+G56)/2))</f>
        <v>-24.805567532226</v>
      </c>
      <c r="H57" s="37" t="n">
        <f aca="false">IF(H$7*LN(H$7)-H$7*((H56+I56)/2)+(1-H$7)*LN(1-H$7)-(1-H$7)*LN(1-EXP(((H56+I56)/2)))-H$6&gt;0,((H56+I56)/2),H56)</f>
        <v>-3.19789114182602</v>
      </c>
      <c r="I57" s="37" t="n">
        <f aca="false">IF(H$7*LN(H$7)-H$7*((H56+I56)/2)+(1-H$7)*LN(1-H$7)-(1-H$7)*LN(1-EXP(((H56+I56)/2)))-H$6&gt;0,I56,((H56+I56)/2))</f>
        <v>-3.19789114182579</v>
      </c>
      <c r="J57" s="37" t="n">
        <f aca="false">IF(J$7*LN(J$7)-J$7*((J56+K56)/2)+(1-J$7)*LN(1-J$7)-(1-J$7)*LN(1-EXP(((J56+K56)/2)))-J$6&gt;0,((J56+K56)/2),J56)</f>
        <v>-3.28605085212553</v>
      </c>
      <c r="K57" s="37" t="n">
        <f aca="false">IF(J$7*LN(J$7)-J$7*((J56+K56)/2)+(1-J$7)*LN(1-J$7)-(1-J$7)*LN(1-EXP(((J56+K56)/2)))-J$6&gt;0,K56,((J56+K56)/2))</f>
        <v>-3.2860508521253</v>
      </c>
      <c r="L57" s="37" t="n">
        <f aca="false">IF(L$7*LN(L$7)-L$7*((L56+M56)/2)+(1-L$7)*LN(1-L$7)-(1-L$7)*LN(1-EXP(((L56+M56)/2)))-L$6&gt;0,((L56+M56)/2),L56)</f>
        <v>-3.4691973384809</v>
      </c>
      <c r="M57" s="37" t="n">
        <f aca="false">IF(L$7*LN(L$7)-L$7*((L56+M56)/2)+(1-L$7)*LN(1-L$7)-(1-L$7)*LN(1-EXP(((L56+M56)/2)))-L$6&gt;0,M56,((L56+M56)/2))</f>
        <v>-3.46919733848066</v>
      </c>
      <c r="N57" s="37" t="n">
        <f aca="false">IF(N$7*LN(N$7)-N$7*((N56+O56)/2)+(1-N$7)*LN(1-N$7)-(1-N$7)*LN(1-EXP(((N56+O56)/2)))-N$6&gt;0,((N56+O56)/2),N56)</f>
        <v>-3.68963394600554</v>
      </c>
      <c r="O57" s="37" t="n">
        <f aca="false">IF(N$7*LN(N$7)-N$7*((N56+O56)/2)+(1-N$7)*LN(1-N$7)-(1-N$7)*LN(1-EXP(((N56+O56)/2)))-N$6&gt;0,O56,((N56+O56)/2))</f>
        <v>-3.68963394600531</v>
      </c>
      <c r="P57" s="37" t="n">
        <f aca="false">IF(P$7*LN(P$7)-P$7*((P56+Q56)/2)+(1-P$7)*LN(1-P$7)-(1-P$7)*LN(1-EXP(((P56+Q56)/2)))-P$6&gt;0,((P56+Q56)/2),P56)</f>
        <v>-4.02932208427795</v>
      </c>
      <c r="Q57" s="37" t="n">
        <f aca="false">IF(P$7*LN(P$7)-P$7*((P56+Q56)/2)+(1-P$7)*LN(1-P$7)-(1-P$7)*LN(1-EXP(((P56+Q56)/2)))-P$6&gt;0,Q56,((P56+Q56)/2))</f>
        <v>-4.02932208427772</v>
      </c>
      <c r="R57" s="37" t="n">
        <f aca="false">IF(R$7*LN(R$7)-R$7*((R56+S56)/2)+(1-R$7)*LN(1-R$7)-(1-R$7)*LN(1-EXP(((R56+S56)/2)))-R$6&gt;0,((R56+S56)/2),R56)</f>
        <v>-4.31449878690351</v>
      </c>
      <c r="S57" s="37" t="n">
        <f aca="false">IF(R$7*LN(R$7)-R$7*((R56+S56)/2)+(1-R$7)*LN(1-R$7)-(1-R$7)*LN(1-EXP(((R56+S56)/2)))-R$6&gt;0,S56,((R56+S56)/2))</f>
        <v>-4.31449878690328</v>
      </c>
      <c r="T57" s="37" t="n">
        <f aca="false">IF(T$7*LN(T$7)-T$7*((T56+U56)/2)+(1-T$7)*LN(1-T$7)-(1-T$7)*LN(1-EXP(((T56+U56)/2)))-T$6&gt;0,((T56+U56)/2),T56)</f>
        <v>-4.81575742542873</v>
      </c>
      <c r="U57" s="37" t="n">
        <f aca="false">IF(T$7*LN(T$7)-T$7*((T56+U56)/2)+(1-T$7)*LN(1-T$7)-(1-T$7)*LN(1-EXP(((T56+U56)/2)))-T$6&gt;0,U56,((T56+U56)/2))</f>
        <v>-4.81575742542849</v>
      </c>
      <c r="V57" s="37" t="n">
        <f aca="false">IF(V$7*LN(V$7)-V$7*((V56+W56)/2)+(1-V$7)*LN(1-V$7)-(1-V$7)*LN(1-EXP(((V56+W56)/2)))-V$6&gt;0,((V56+W56)/2),V56)</f>
        <v>-5.38279983461361</v>
      </c>
      <c r="W57" s="37" t="n">
        <f aca="false">IF(V$7*LN(V$7)-V$7*((V56+W56)/2)+(1-V$7)*LN(1-V$7)-(1-V$7)*LN(1-EXP(((V56+W56)/2)))-V$6&gt;0,W56,((V56+W56)/2))</f>
        <v>-5.38279983461337</v>
      </c>
      <c r="X57" s="37" t="n">
        <f aca="false">IF(X$7*LN(X$7)-X$7*((X56+Y56)/2)+(1-X$7)*LN(1-X$7)-(1-X$7)*LN(1-EXP(((X56+Y56)/2)))-X$6&gt;0,((X56+Y56)/2),X56)</f>
        <v>-5.919175233493</v>
      </c>
      <c r="Y57" s="37" t="n">
        <f aca="false">IF(X$7*LN(X$7)-X$7*((X56+Y56)/2)+(1-X$7)*LN(1-X$7)-(1-X$7)*LN(1-EXP(((X56+Y56)/2)))-X$6&gt;0,Y56,((X56+Y56)/2))</f>
        <v>-5.91917523349276</v>
      </c>
      <c r="Z57" s="37" t="n">
        <f aca="false">IF(Z$7*LN(Z$7)-Z$7*((Z56+AA56)/2)+(1-Z$7)*LN(1-Z$7)-(1-Z$7)*LN(1-EXP(((Z56+AA56)/2)))-Z$6&gt;0,((Z56+AA56)/2),Z56)</f>
        <v>-6.95212068545729</v>
      </c>
      <c r="AA57" s="37" t="n">
        <f aca="false">IF(Z$7*LN(Z$7)-Z$7*((Z56+AA56)/2)+(1-Z$7)*LN(1-Z$7)-(1-Z$7)*LN(1-EXP(((Z56+AA56)/2)))-Z$6&gt;0,AA56,((Z56+AA56)/2))</f>
        <v>-6.95212068545705</v>
      </c>
      <c r="AB57" s="37" t="n">
        <f aca="false">IF((((AB56+AC56)/2))*LN((((AB56+AC56)/2))/(AB$7))+(1-(((AB56+AC56)/2)))*LN((1-(((AB56+AC56)/2)))/(1-(AB$7)))-AB$6&lt;0,((AB56+AC56)/2),AB56)</f>
        <v>0.0600408213770413</v>
      </c>
      <c r="AC57" s="37" t="n">
        <f aca="false">IF((((AB56+AC56)/2))*LN((((AB56+AC56)/2))/(AB$7))+(1-(((AB56+AC56)/2)))*LN((1-(((AB56+AC56)/2)))/(1-(AB$7)))-AB$6&lt;0,AC56,((AB56+AC56)/2))</f>
        <v>0.0600408213770446</v>
      </c>
      <c r="AD57" s="37" t="n">
        <f aca="false">IF((((AD56+AE56)/2))*LN((((AD56+AE56)/2))/(AD$7))+(1-(((AD56+AE56)/2)))*LN((1-(((AD56+AE56)/2)))/(1-(AD$7)))-AD$6&lt;0,((AD56+AE56)/2),AD56)</f>
        <v>0.0677518178859617</v>
      </c>
      <c r="AE57" s="37" t="n">
        <f aca="false">IF((((AD56+AE56)/2))*LN((((AD56+AE56)/2))/(AD$7))+(1-(((AD56+AE56)/2)))*LN((1-(((AD56+AE56)/2)))/(1-(AD$7)))-AD$6&lt;0,AE56,((AD56+AE56)/2))</f>
        <v>0.0677518178859651</v>
      </c>
      <c r="AF57" s="37" t="n">
        <f aca="false">IF((((AF56+AG56)/2))*LN((((AF56+AG56)/2))/(AF$7))+(1-(((AF56+AG56)/2)))*LN((1-(((AF56+AG56)/2)))/(1-(AF$7)))-AF$6&lt;0,((AF56+AG56)/2),AF56)</f>
        <v>0.0836482674857237</v>
      </c>
      <c r="AG57" s="37" t="n">
        <f aca="false">IF((((AF56+AG56)/2))*LN((((AF56+AG56)/2))/(AF$7))+(1-(((AF56+AG56)/2)))*LN((1-(((AF56+AG56)/2)))/(1-(AF$7)))-AF$6&lt;0,AG56,((AF56+AG56)/2))</f>
        <v>0.083648267485727</v>
      </c>
      <c r="AH57" s="37" t="n">
        <f aca="false">IF((((AH56+AI56)/2))*LN((((AH56+AI56)/2))/(AH$7))+(1-(((AH56+AI56)/2)))*LN((1-(((AH56+AI56)/2)))/(1-(AH$7)))-AH$6&lt;0,((AH56+AI56)/2),AH56)</f>
        <v>0.111548048226802</v>
      </c>
      <c r="AI57" s="37" t="n">
        <f aca="false">IF((((AH56+AI56)/2))*LN((((AH56+AI56)/2))/(AH$7))+(1-(((AH56+AI56)/2)))*LN((1-(((AH56+AI56)/2)))/(1-(AH$7)))-AH$6&lt;0,AI56,((AH56+AI56)/2))</f>
        <v>0.111548048226805</v>
      </c>
      <c r="AJ57" s="37" t="n">
        <f aca="false">IF((((AJ56+AK56)/2))*LN((((AJ56+AK56)/2))/(AJ$7))+(1-(((AJ56+AK56)/2)))*LN((1-(((AJ56+AK56)/2)))/(1-(AJ$7)))-AJ$6&lt;0,((AJ56+AK56)/2),AJ56)</f>
        <v>0.172949347713481</v>
      </c>
      <c r="AK57" s="37" t="n">
        <f aca="false">IF((((AJ56+AK56)/2))*LN((((AJ56+AK56)/2))/(AJ$7))+(1-(((AJ56+AK56)/2)))*LN((1-(((AJ56+AK56)/2)))/(1-(AJ$7)))-AJ$6&lt;0,AK56,((AJ56+AK56)/2))</f>
        <v>0.172949347713485</v>
      </c>
      <c r="AL57" s="37" t="n">
        <f aca="false">IF((((AL56+AM56)/2))*LN((((AL56+AM56)/2))/(AL$7))+(1-(((AL56+AM56)/2)))*LN((1-(((AL56+AM56)/2)))/(1-(AL$7)))-AL$6&lt;0,((AL56+AM56)/2),AL56)</f>
        <v>0.288519197341886</v>
      </c>
      <c r="AM57" s="37" t="n">
        <f aca="false">IF((((AL56+AM56)/2))*LN((((AL56+AM56)/2))/(AL$7))+(1-(((AL56+AM56)/2)))*LN((1-(((AL56+AM56)/2)))/(1-(AL$7)))-AL$6&lt;0,AM56,((AL56+AM56)/2))</f>
        <v>0.288519197341889</v>
      </c>
      <c r="AN57" s="37" t="n">
        <f aca="false">IF((((AN56+AO56)/2))*LN((((AN56+AO56)/2))/(AN$7))+(1-(((AN56+AO56)/2)))*LN((1-(((AN56+AO56)/2)))/(1-(AN$7)))-AN$6&lt;0,((AN56+AO56)/2),AN56)</f>
        <v>0.555514150436408</v>
      </c>
      <c r="AO57" s="37" t="n">
        <f aca="false">IF((((AN56+AO56)/2))*LN((((AN56+AO56)/2))/(AN$7))+(1-(((AN56+AO56)/2)))*LN((1-(((AN56+AO56)/2)))/(1-(AN$7)))-AN$6&lt;0,AO56,((AN56+AO56)/2))</f>
        <v>0.555514150436412</v>
      </c>
      <c r="AP57" s="37" t="n">
        <f aca="false">IF(AP$7*LN(AP$7)-AP$7*((AP56+AQ56)/2)+(1-AP$7)*LN(1-AP$7)-(1-AP$7)*LN(1-EXP(((AP56+AQ56)/2)))-AP$6&gt;0,((AP56+AQ56)/2),AP56)</f>
        <v>-3.68963394600554</v>
      </c>
      <c r="AQ57" s="37" t="n">
        <f aca="false">IF(AP$7*LN(AP$7)-AP$7*((AP56+AQ56)/2)+(1-AP$7)*LN(1-AP$7)-(1-AP$7)*LN(1-EXP(((AP56+AQ56)/2)))-AP$6&gt;0,AQ56,((AP56+AQ56)/2))</f>
        <v>-3.68963394600531</v>
      </c>
      <c r="AR57" s="37" t="n">
        <f aca="false">IF((((AR56+AS56)/2))*LN((((AR56+AS56)/2))/(AR$7))+(1-(((AR56+AS56)/2)))*LN((1-(((AR56+AS56)/2)))/(1-(AR$7)))-AR$6&lt;0,((AR56+AS56)/2),AR56)</f>
        <v>0.0836482674857237</v>
      </c>
      <c r="AS57" s="37" t="n">
        <f aca="false">IF((((AR56+AS56)/2))*LN((((AR56+AS56)/2))/(AR$7))+(1-(((AR56+AS56)/2)))*LN((1-(((AR56+AS56)/2)))/(1-(AR$7)))-AR$6&lt;0,AS56,((AR56+AS56)/2))</f>
        <v>0.083648267485727</v>
      </c>
    </row>
    <row r="58" customFormat="false" ht="15" hidden="false" customHeight="false" outlineLevel="0" collapsed="false">
      <c r="B58" s="37" t="n">
        <f aca="false">IF(B$7*LN(B$7)-B$7*((B57+C57)/2)+(1-B$7)*LN(1-B$7)-(1-B$7)*LN(1-EXP(((B57+C57)/2)))-B$6&gt;0,((B57+C57)/2),B57)</f>
        <v>-12.741680608658</v>
      </c>
      <c r="C58" s="37" t="n">
        <f aca="false">IF(B$7*LN(B$7)-B$7*((B57+C57)/2)+(1-B$7)*LN(1-B$7)-(1-B$7)*LN(1-EXP(((B57+C57)/2)))-B$6&gt;0,C57,((B57+C57)/2))</f>
        <v>-12.7416806086579</v>
      </c>
      <c r="D58" s="37" t="n">
        <f aca="false">IF(D$7*LN(D$7)-D$7*((D57+E57)/2)+(1-D$7)*LN(1-D$7)-(1-D$7)*LN(1-EXP(((D57+E57)/2)))-D$6&gt;0,((D57+E57)/2),D57)</f>
        <v>-16.0341341195426</v>
      </c>
      <c r="E58" s="37" t="n">
        <f aca="false">IF(D$7*LN(D$7)-D$7*((D57+E57)/2)+(1-D$7)*LN(1-D$7)-(1-D$7)*LN(1-EXP(((D57+E57)/2)))-D$6&gt;0,E57,((D57+E57)/2))</f>
        <v>-16.0341341195425</v>
      </c>
      <c r="F58" s="37" t="n">
        <f aca="false">IF(F$7*LN(F$7)-F$7*((F57+G57)/2)+(1-F$7)*LN(1-F$7)-(1-F$7)*LN(1-EXP(((F57+G57)/2)))-F$6&gt;0,((F57+G57)/2),F57)</f>
        <v>-24.8055675322261</v>
      </c>
      <c r="G58" s="37" t="n">
        <f aca="false">IF(F$7*LN(F$7)-F$7*((F57+G57)/2)+(1-F$7)*LN(1-F$7)-(1-F$7)*LN(1-EXP(((F57+G57)/2)))-F$6&gt;0,G57,((F57+G57)/2))</f>
        <v>-24.805567532226</v>
      </c>
      <c r="H58" s="37" t="n">
        <f aca="false">IF(H$7*LN(H$7)-H$7*((H57+I57)/2)+(1-H$7)*LN(1-H$7)-(1-H$7)*LN(1-EXP(((H57+I57)/2)))-H$6&gt;0,((H57+I57)/2),H57)</f>
        <v>-3.19789114182591</v>
      </c>
      <c r="I58" s="37" t="n">
        <f aca="false">IF(H$7*LN(H$7)-H$7*((H57+I57)/2)+(1-H$7)*LN(1-H$7)-(1-H$7)*LN(1-EXP(((H57+I57)/2)))-H$6&gt;0,I57,((H57+I57)/2))</f>
        <v>-3.19789114182579</v>
      </c>
      <c r="J58" s="37" t="n">
        <f aca="false">IF(J$7*LN(J$7)-J$7*((J57+K57)/2)+(1-J$7)*LN(1-J$7)-(1-J$7)*LN(1-EXP(((J57+K57)/2)))-J$6&gt;0,((J57+K57)/2),J57)</f>
        <v>-3.28605085212553</v>
      </c>
      <c r="K58" s="37" t="n">
        <f aca="false">IF(J$7*LN(J$7)-J$7*((J57+K57)/2)+(1-J$7)*LN(1-J$7)-(1-J$7)*LN(1-EXP(((J57+K57)/2)))-J$6&gt;0,K57,((J57+K57)/2))</f>
        <v>-3.28605085212542</v>
      </c>
      <c r="L58" s="37" t="n">
        <f aca="false">IF(L$7*LN(L$7)-L$7*((L57+M57)/2)+(1-L$7)*LN(1-L$7)-(1-L$7)*LN(1-EXP(((L57+M57)/2)))-L$6&gt;0,((L57+M57)/2),L57)</f>
        <v>-3.4691973384809</v>
      </c>
      <c r="M58" s="37" t="n">
        <f aca="false">IF(L$7*LN(L$7)-L$7*((L57+M57)/2)+(1-L$7)*LN(1-L$7)-(1-L$7)*LN(1-EXP(((L57+M57)/2)))-L$6&gt;0,M57,((L57+M57)/2))</f>
        <v>-3.46919733848078</v>
      </c>
      <c r="N58" s="37" t="n">
        <f aca="false">IF(N$7*LN(N$7)-N$7*((N57+O57)/2)+(1-N$7)*LN(1-N$7)-(1-N$7)*LN(1-EXP(((N57+O57)/2)))-N$6&gt;0,((N57+O57)/2),N57)</f>
        <v>-3.68963394600542</v>
      </c>
      <c r="O58" s="37" t="n">
        <f aca="false">IF(N$7*LN(N$7)-N$7*((N57+O57)/2)+(1-N$7)*LN(1-N$7)-(1-N$7)*LN(1-EXP(((N57+O57)/2)))-N$6&gt;0,O57,((N57+O57)/2))</f>
        <v>-3.68963394600531</v>
      </c>
      <c r="P58" s="37" t="n">
        <f aca="false">IF(P$7*LN(P$7)-P$7*((P57+Q57)/2)+(1-P$7)*LN(1-P$7)-(1-P$7)*LN(1-EXP(((P57+Q57)/2)))-P$6&gt;0,((P57+Q57)/2),P57)</f>
        <v>-4.02932208427784</v>
      </c>
      <c r="Q58" s="37" t="n">
        <f aca="false">IF(P$7*LN(P$7)-P$7*((P57+Q57)/2)+(1-P$7)*LN(1-P$7)-(1-P$7)*LN(1-EXP(((P57+Q57)/2)))-P$6&gt;0,Q57,((P57+Q57)/2))</f>
        <v>-4.02932208427772</v>
      </c>
      <c r="R58" s="37" t="n">
        <f aca="false">IF(R$7*LN(R$7)-R$7*((R57+S57)/2)+(1-R$7)*LN(1-R$7)-(1-R$7)*LN(1-EXP(((R57+S57)/2)))-R$6&gt;0,((R57+S57)/2),R57)</f>
        <v>-4.31449878690351</v>
      </c>
      <c r="S58" s="37" t="n">
        <f aca="false">IF(R$7*LN(R$7)-R$7*((R57+S57)/2)+(1-R$7)*LN(1-R$7)-(1-R$7)*LN(1-EXP(((R57+S57)/2)))-R$6&gt;0,S57,((R57+S57)/2))</f>
        <v>-4.31449878690339</v>
      </c>
      <c r="T58" s="37" t="n">
        <f aca="false">IF(T$7*LN(T$7)-T$7*((T57+U57)/2)+(1-T$7)*LN(1-T$7)-(1-T$7)*LN(1-EXP(((T57+U57)/2)))-T$6&gt;0,((T57+U57)/2),T57)</f>
        <v>-4.81575742542873</v>
      </c>
      <c r="U58" s="37" t="n">
        <f aca="false">IF(T$7*LN(T$7)-T$7*((T57+U57)/2)+(1-T$7)*LN(1-T$7)-(1-T$7)*LN(1-EXP(((T57+U57)/2)))-T$6&gt;0,U57,((T57+U57)/2))</f>
        <v>-4.81575742542861</v>
      </c>
      <c r="V58" s="37" t="n">
        <f aca="false">IF(V$7*LN(V$7)-V$7*((V57+W57)/2)+(1-V$7)*LN(1-V$7)-(1-V$7)*LN(1-EXP(((V57+W57)/2)))-V$6&gt;0,((V57+W57)/2),V57)</f>
        <v>-5.38279983461349</v>
      </c>
      <c r="W58" s="37" t="n">
        <f aca="false">IF(V$7*LN(V$7)-V$7*((V57+W57)/2)+(1-V$7)*LN(1-V$7)-(1-V$7)*LN(1-EXP(((V57+W57)/2)))-V$6&gt;0,W57,((V57+W57)/2))</f>
        <v>-5.38279983461337</v>
      </c>
      <c r="X58" s="37" t="n">
        <f aca="false">IF(X$7*LN(X$7)-X$7*((X57+Y57)/2)+(1-X$7)*LN(1-X$7)-(1-X$7)*LN(1-EXP(((X57+Y57)/2)))-X$6&gt;0,((X57+Y57)/2),X57)</f>
        <v>-5.91917523349288</v>
      </c>
      <c r="Y58" s="37" t="n">
        <f aca="false">IF(X$7*LN(X$7)-X$7*((X57+Y57)/2)+(1-X$7)*LN(1-X$7)-(1-X$7)*LN(1-EXP(((X57+Y57)/2)))-X$6&gt;0,Y57,((X57+Y57)/2))</f>
        <v>-5.91917523349276</v>
      </c>
      <c r="Z58" s="37" t="n">
        <f aca="false">IF(Z$7*LN(Z$7)-Z$7*((Z57+AA57)/2)+(1-Z$7)*LN(1-Z$7)-(1-Z$7)*LN(1-EXP(((Z57+AA57)/2)))-Z$6&gt;0,((Z57+AA57)/2),Z57)</f>
        <v>-6.95212068545729</v>
      </c>
      <c r="AA58" s="37" t="n">
        <f aca="false">IF(Z$7*LN(Z$7)-Z$7*((Z57+AA57)/2)+(1-Z$7)*LN(1-Z$7)-(1-Z$7)*LN(1-EXP(((Z57+AA57)/2)))-Z$6&gt;0,AA57,((Z57+AA57)/2))</f>
        <v>-6.95212068545717</v>
      </c>
      <c r="AB58" s="37" t="n">
        <f aca="false">IF((((AB57+AC57)/2))*LN((((AB57+AC57)/2))/(AB$7))+(1-(((AB57+AC57)/2)))*LN((1-(((AB57+AC57)/2)))/(1-(AB$7)))-AB$6&lt;0,((AB57+AC57)/2),AB57)</f>
        <v>0.0600408213770413</v>
      </c>
      <c r="AC58" s="37" t="n">
        <f aca="false">IF((((AB57+AC57)/2))*LN((((AB57+AC57)/2))/(AB$7))+(1-(((AB57+AC57)/2)))*LN((1-(((AB57+AC57)/2)))/(1-(AB$7)))-AB$6&lt;0,AC57,((AB57+AC57)/2))</f>
        <v>0.060040821377043</v>
      </c>
      <c r="AD58" s="37" t="n">
        <f aca="false">IF((((AD57+AE57)/2))*LN((((AD57+AE57)/2))/(AD$7))+(1-(((AD57+AE57)/2)))*LN((1-(((AD57+AE57)/2)))/(1-(AD$7)))-AD$6&lt;0,((AD57+AE57)/2),AD57)</f>
        <v>0.0677518178859634</v>
      </c>
      <c r="AE58" s="37" t="n">
        <f aca="false">IF((((AD57+AE57)/2))*LN((((AD57+AE57)/2))/(AD$7))+(1-(((AD57+AE57)/2)))*LN((1-(((AD57+AE57)/2)))/(1-(AD$7)))-AD$6&lt;0,AE57,((AD57+AE57)/2))</f>
        <v>0.0677518178859651</v>
      </c>
      <c r="AF58" s="37" t="n">
        <f aca="false">IF((((AF57+AG57)/2))*LN((((AF57+AG57)/2))/(AF$7))+(1-(((AF57+AG57)/2)))*LN((1-(((AF57+AG57)/2)))/(1-(AF$7)))-AF$6&lt;0,((AF57+AG57)/2),AF57)</f>
        <v>0.0836482674857237</v>
      </c>
      <c r="AG58" s="37" t="n">
        <f aca="false">IF((((AF57+AG57)/2))*LN((((AF57+AG57)/2))/(AF$7))+(1-(((AF57+AG57)/2)))*LN((1-(((AF57+AG57)/2)))/(1-(AF$7)))-AF$6&lt;0,AG57,((AF57+AG57)/2))</f>
        <v>0.0836482674857254</v>
      </c>
      <c r="AH58" s="37" t="n">
        <f aca="false">IF((((AH57+AI57)/2))*LN((((AH57+AI57)/2))/(AH$7))+(1-(((AH57+AI57)/2)))*LN((1-(((AH57+AI57)/2)))/(1-(AH$7)))-AH$6&lt;0,((AH57+AI57)/2),AH57)</f>
        <v>0.111548048226802</v>
      </c>
      <c r="AI58" s="37" t="n">
        <f aca="false">IF((((AH57+AI57)/2))*LN((((AH57+AI57)/2))/(AH$7))+(1-(((AH57+AI57)/2)))*LN((1-(((AH57+AI57)/2)))/(1-(AH$7)))-AH$6&lt;0,AI57,((AH57+AI57)/2))</f>
        <v>0.111548048226803</v>
      </c>
      <c r="AJ58" s="37" t="n">
        <f aca="false">IF((((AJ57+AK57)/2))*LN((((AJ57+AK57)/2))/(AJ$7))+(1-(((AJ57+AK57)/2)))*LN((1-(((AJ57+AK57)/2)))/(1-(AJ$7)))-AJ$6&lt;0,((AJ57+AK57)/2),AJ57)</f>
        <v>0.172949347713483</v>
      </c>
      <c r="AK58" s="37" t="n">
        <f aca="false">IF((((AJ57+AK57)/2))*LN((((AJ57+AK57)/2))/(AJ$7))+(1-(((AJ57+AK57)/2)))*LN((1-(((AJ57+AK57)/2)))/(1-(AJ$7)))-AJ$6&lt;0,AK57,((AJ57+AK57)/2))</f>
        <v>0.172949347713485</v>
      </c>
      <c r="AL58" s="37" t="n">
        <f aca="false">IF((((AL57+AM57)/2))*LN((((AL57+AM57)/2))/(AL$7))+(1-(((AL57+AM57)/2)))*LN((1-(((AL57+AM57)/2)))/(1-(AL$7)))-AL$6&lt;0,((AL57+AM57)/2),AL57)</f>
        <v>0.288519197341886</v>
      </c>
      <c r="AM58" s="37" t="n">
        <f aca="false">IF((((AL57+AM57)/2))*LN((((AL57+AM57)/2))/(AL$7))+(1-(((AL57+AM57)/2)))*LN((1-(((AL57+AM57)/2)))/(1-(AL$7)))-AL$6&lt;0,AM57,((AL57+AM57)/2))</f>
        <v>0.288519197341887</v>
      </c>
      <c r="AN58" s="37" t="n">
        <f aca="false">IF((((AN57+AO57)/2))*LN((((AN57+AO57)/2))/(AN$7))+(1-(((AN57+AO57)/2)))*LN((1-(((AN57+AO57)/2)))/(1-(AN$7)))-AN$6&lt;0,((AN57+AO57)/2),AN57)</f>
        <v>0.555514150436408</v>
      </c>
      <c r="AO58" s="37" t="n">
        <f aca="false">IF((((AN57+AO57)/2))*LN((((AN57+AO57)/2))/(AN$7))+(1-(((AN57+AO57)/2)))*LN((1-(((AN57+AO57)/2)))/(1-(AN$7)))-AN$6&lt;0,AO57,((AN57+AO57)/2))</f>
        <v>0.55551415043641</v>
      </c>
      <c r="AP58" s="37" t="n">
        <f aca="false">IF(AP$7*LN(AP$7)-AP$7*((AP57+AQ57)/2)+(1-AP$7)*LN(1-AP$7)-(1-AP$7)*LN(1-EXP(((AP57+AQ57)/2)))-AP$6&gt;0,((AP57+AQ57)/2),AP57)</f>
        <v>-3.68963394600542</v>
      </c>
      <c r="AQ58" s="37" t="n">
        <f aca="false">IF(AP$7*LN(AP$7)-AP$7*((AP57+AQ57)/2)+(1-AP$7)*LN(1-AP$7)-(1-AP$7)*LN(1-EXP(((AP57+AQ57)/2)))-AP$6&gt;0,AQ57,((AP57+AQ57)/2))</f>
        <v>-3.68963394600531</v>
      </c>
      <c r="AR58" s="37" t="n">
        <f aca="false">IF((((AR57+AS57)/2))*LN((((AR57+AS57)/2))/(AR$7))+(1-(((AR57+AS57)/2)))*LN((1-(((AR57+AS57)/2)))/(1-(AR$7)))-AR$6&lt;0,((AR57+AS57)/2),AR57)</f>
        <v>0.0836482674857237</v>
      </c>
      <c r="AS58" s="37" t="n">
        <f aca="false">IF((((AR57+AS57)/2))*LN((((AR57+AS57)/2))/(AR$7))+(1-(((AR57+AS57)/2)))*LN((1-(((AR57+AS57)/2)))/(1-(AR$7)))-AR$6&lt;0,AS57,((AR57+AS57)/2))</f>
        <v>0.0836482674857254</v>
      </c>
    </row>
    <row r="59" customFormat="false" ht="15" hidden="false" customHeight="false" outlineLevel="0" collapsed="false">
      <c r="B59" s="37" t="n">
        <f aca="false">IF(B$7*LN(B$7)-B$7*((B58+C58)/2)+(1-B$7)*LN(1-B$7)-(1-B$7)*LN(1-EXP(((B58+C58)/2)))-B$6&gt;0,((B58+C58)/2),B58)</f>
        <v>-12.741680608658</v>
      </c>
      <c r="C59" s="37" t="n">
        <f aca="false">IF(B$7*LN(B$7)-B$7*((B58+C58)/2)+(1-B$7)*LN(1-B$7)-(1-B$7)*LN(1-EXP(((B58+C58)/2)))-B$6&gt;0,C58,((B58+C58)/2))</f>
        <v>-12.7416806086579</v>
      </c>
      <c r="D59" s="37" t="n">
        <f aca="false">IF(D$7*LN(D$7)-D$7*((D58+E58)/2)+(1-D$7)*LN(1-D$7)-(1-D$7)*LN(1-EXP(((D58+E58)/2)))-D$6&gt;0,((D58+E58)/2),D58)</f>
        <v>-16.0341341195425</v>
      </c>
      <c r="E59" s="37" t="n">
        <f aca="false">IF(D$7*LN(D$7)-D$7*((D58+E58)/2)+(1-D$7)*LN(1-D$7)-(1-D$7)*LN(1-EXP(((D58+E58)/2)))-D$6&gt;0,E58,((D58+E58)/2))</f>
        <v>-16.0341341195425</v>
      </c>
      <c r="F59" s="37" t="n">
        <f aca="false">IF(F$7*LN(F$7)-F$7*((F58+G58)/2)+(1-F$7)*LN(1-F$7)-(1-F$7)*LN(1-EXP(((F58+G58)/2)))-F$6&gt;0,((F58+G58)/2),F58)</f>
        <v>-24.805567532226</v>
      </c>
      <c r="G59" s="37" t="n">
        <f aca="false">IF(F$7*LN(F$7)-F$7*((F58+G58)/2)+(1-F$7)*LN(1-F$7)-(1-F$7)*LN(1-EXP(((F58+G58)/2)))-F$6&gt;0,G58,((F58+G58)/2))</f>
        <v>-24.805567532226</v>
      </c>
      <c r="H59" s="37" t="n">
        <f aca="false">IF(H$7*LN(H$7)-H$7*((H58+I58)/2)+(1-H$7)*LN(1-H$7)-(1-H$7)*LN(1-EXP(((H58+I58)/2)))-H$6&gt;0,((H58+I58)/2),H58)</f>
        <v>-3.19789114182591</v>
      </c>
      <c r="I59" s="37" t="n">
        <f aca="false">IF(H$7*LN(H$7)-H$7*((H58+I58)/2)+(1-H$7)*LN(1-H$7)-(1-H$7)*LN(1-EXP(((H58+I58)/2)))-H$6&gt;0,I58,((H58+I58)/2))</f>
        <v>-3.19789114182585</v>
      </c>
      <c r="J59" s="37" t="n">
        <f aca="false">IF(J$7*LN(J$7)-J$7*((J58+K58)/2)+(1-J$7)*LN(1-J$7)-(1-J$7)*LN(1-EXP(((J58+K58)/2)))-J$6&gt;0,((J58+K58)/2),J58)</f>
        <v>-3.28605085212553</v>
      </c>
      <c r="K59" s="37" t="n">
        <f aca="false">IF(J$7*LN(J$7)-J$7*((J58+K58)/2)+(1-J$7)*LN(1-J$7)-(1-J$7)*LN(1-EXP(((J58+K58)/2)))-J$6&gt;0,K58,((J58+K58)/2))</f>
        <v>-3.28605085212548</v>
      </c>
      <c r="L59" s="37" t="n">
        <f aca="false">IF(L$7*LN(L$7)-L$7*((L58+M58)/2)+(1-L$7)*LN(1-L$7)-(1-L$7)*LN(1-EXP(((L58+M58)/2)))-L$6&gt;0,((L58+M58)/2),L58)</f>
        <v>-3.4691973384809</v>
      </c>
      <c r="M59" s="37" t="n">
        <f aca="false">IF(L$7*LN(L$7)-L$7*((L58+M58)/2)+(1-L$7)*LN(1-L$7)-(1-L$7)*LN(1-EXP(((L58+M58)/2)))-L$6&gt;0,M58,((L58+M58)/2))</f>
        <v>-3.46919733848084</v>
      </c>
      <c r="N59" s="37" t="n">
        <f aca="false">IF(N$7*LN(N$7)-N$7*((N58+O58)/2)+(1-N$7)*LN(1-N$7)-(1-N$7)*LN(1-EXP(((N58+O58)/2)))-N$6&gt;0,((N58+O58)/2),N58)</f>
        <v>-3.68963394600536</v>
      </c>
      <c r="O59" s="37" t="n">
        <f aca="false">IF(N$7*LN(N$7)-N$7*((N58+O58)/2)+(1-N$7)*LN(1-N$7)-(1-N$7)*LN(1-EXP(((N58+O58)/2)))-N$6&gt;0,O58,((N58+O58)/2))</f>
        <v>-3.68963394600531</v>
      </c>
      <c r="P59" s="37" t="n">
        <f aca="false">IF(P$7*LN(P$7)-P$7*((P58+Q58)/2)+(1-P$7)*LN(1-P$7)-(1-P$7)*LN(1-EXP(((P58+Q58)/2)))-P$6&gt;0,((P58+Q58)/2),P58)</f>
        <v>-4.02932208427778</v>
      </c>
      <c r="Q59" s="37" t="n">
        <f aca="false">IF(P$7*LN(P$7)-P$7*((P58+Q58)/2)+(1-P$7)*LN(1-P$7)-(1-P$7)*LN(1-EXP(((P58+Q58)/2)))-P$6&gt;0,Q58,((P58+Q58)/2))</f>
        <v>-4.02932208427772</v>
      </c>
      <c r="R59" s="37" t="n">
        <f aca="false">IF(R$7*LN(R$7)-R$7*((R58+S58)/2)+(1-R$7)*LN(1-R$7)-(1-R$7)*LN(1-EXP(((R58+S58)/2)))-R$6&gt;0,((R58+S58)/2),R58)</f>
        <v>-4.31449878690351</v>
      </c>
      <c r="S59" s="37" t="n">
        <f aca="false">IF(R$7*LN(R$7)-R$7*((R58+S58)/2)+(1-R$7)*LN(1-R$7)-(1-R$7)*LN(1-EXP(((R58+S58)/2)))-R$6&gt;0,S58,((R58+S58)/2))</f>
        <v>-4.31449878690345</v>
      </c>
      <c r="T59" s="37" t="n">
        <f aca="false">IF(T$7*LN(T$7)-T$7*((T58+U58)/2)+(1-T$7)*LN(1-T$7)-(1-T$7)*LN(1-EXP(((T58+U58)/2)))-T$6&gt;0,((T58+U58)/2),T58)</f>
        <v>-4.81575742542867</v>
      </c>
      <c r="U59" s="37" t="n">
        <f aca="false">IF(T$7*LN(T$7)-T$7*((T58+U58)/2)+(1-T$7)*LN(1-T$7)-(1-T$7)*LN(1-EXP(((T58+U58)/2)))-T$6&gt;0,U58,((T58+U58)/2))</f>
        <v>-4.81575742542861</v>
      </c>
      <c r="V59" s="37" t="n">
        <f aca="false">IF(V$7*LN(V$7)-V$7*((V58+W58)/2)+(1-V$7)*LN(1-V$7)-(1-V$7)*LN(1-EXP(((V58+W58)/2)))-V$6&gt;0,((V58+W58)/2),V58)</f>
        <v>-5.38279983461343</v>
      </c>
      <c r="W59" s="37" t="n">
        <f aca="false">IF(V$7*LN(V$7)-V$7*((V58+W58)/2)+(1-V$7)*LN(1-V$7)-(1-V$7)*LN(1-EXP(((V58+W58)/2)))-V$6&gt;0,W58,((V58+W58)/2))</f>
        <v>-5.38279983461337</v>
      </c>
      <c r="X59" s="37" t="n">
        <f aca="false">IF(X$7*LN(X$7)-X$7*((X58+Y58)/2)+(1-X$7)*LN(1-X$7)-(1-X$7)*LN(1-EXP(((X58+Y58)/2)))-X$6&gt;0,((X58+Y58)/2),X58)</f>
        <v>-5.91917523349288</v>
      </c>
      <c r="Y59" s="37" t="n">
        <f aca="false">IF(X$7*LN(X$7)-X$7*((X58+Y58)/2)+(1-X$7)*LN(1-X$7)-(1-X$7)*LN(1-EXP(((X58+Y58)/2)))-X$6&gt;0,Y58,((X58+Y58)/2))</f>
        <v>-5.91917523349282</v>
      </c>
      <c r="Z59" s="37" t="n">
        <f aca="false">IF(Z$7*LN(Z$7)-Z$7*((Z58+AA58)/2)+(1-Z$7)*LN(1-Z$7)-(1-Z$7)*LN(1-EXP(((Z58+AA58)/2)))-Z$6&gt;0,((Z58+AA58)/2),Z58)</f>
        <v>-6.95212068545723</v>
      </c>
      <c r="AA59" s="37" t="n">
        <f aca="false">IF(Z$7*LN(Z$7)-Z$7*((Z58+AA58)/2)+(1-Z$7)*LN(1-Z$7)-(1-Z$7)*LN(1-EXP(((Z58+AA58)/2)))-Z$6&gt;0,AA58,((Z58+AA58)/2))</f>
        <v>-6.95212068545717</v>
      </c>
      <c r="AB59" s="37" t="n">
        <f aca="false">IF((((AB58+AC58)/2))*LN((((AB58+AC58)/2))/(AB$7))+(1-(((AB58+AC58)/2)))*LN((1-(((AB58+AC58)/2)))/(1-(AB$7)))-AB$6&lt;0,((AB58+AC58)/2),AB58)</f>
        <v>0.0600408213770421</v>
      </c>
      <c r="AC59" s="37" t="n">
        <f aca="false">IF((((AB58+AC58)/2))*LN((((AB58+AC58)/2))/(AB$7))+(1-(((AB58+AC58)/2)))*LN((1-(((AB58+AC58)/2)))/(1-(AB$7)))-AB$6&lt;0,AC58,((AB58+AC58)/2))</f>
        <v>0.060040821377043</v>
      </c>
      <c r="AD59" s="37" t="n">
        <f aca="false">IF((((AD58+AE58)/2))*LN((((AD58+AE58)/2))/(AD$7))+(1-(((AD58+AE58)/2)))*LN((1-(((AD58+AE58)/2)))/(1-(AD$7)))-AD$6&lt;0,((AD58+AE58)/2),AD58)</f>
        <v>0.0677518178859634</v>
      </c>
      <c r="AE59" s="37" t="n">
        <f aca="false">IF((((AD58+AE58)/2))*LN((((AD58+AE58)/2))/(AD$7))+(1-(((AD58+AE58)/2)))*LN((1-(((AD58+AE58)/2)))/(1-(AD$7)))-AD$6&lt;0,AE58,((AD58+AE58)/2))</f>
        <v>0.0677518178859643</v>
      </c>
      <c r="AF59" s="37" t="n">
        <f aca="false">IF((((AF58+AG58)/2))*LN((((AF58+AG58)/2))/(AF$7))+(1-(((AF58+AG58)/2)))*LN((1-(((AF58+AG58)/2)))/(1-(AF$7)))-AF$6&lt;0,((AF58+AG58)/2),AF58)</f>
        <v>0.0836482674857245</v>
      </c>
      <c r="AG59" s="37" t="n">
        <f aca="false">IF((((AF58+AG58)/2))*LN((((AF58+AG58)/2))/(AF$7))+(1-(((AF58+AG58)/2)))*LN((1-(((AF58+AG58)/2)))/(1-(AF$7)))-AF$6&lt;0,AG58,((AF58+AG58)/2))</f>
        <v>0.0836482674857254</v>
      </c>
      <c r="AH59" s="37" t="n">
        <f aca="false">IF((((AH58+AI58)/2))*LN((((AH58+AI58)/2))/(AH$7))+(1-(((AH58+AI58)/2)))*LN((1-(((AH58+AI58)/2)))/(1-(AH$7)))-AH$6&lt;0,((AH58+AI58)/2),AH58)</f>
        <v>0.111548048226802</v>
      </c>
      <c r="AI59" s="37" t="n">
        <f aca="false">IF((((AH58+AI58)/2))*LN((((AH58+AI58)/2))/(AH$7))+(1-(((AH58+AI58)/2)))*LN((1-(((AH58+AI58)/2)))/(1-(AH$7)))-AH$6&lt;0,AI58,((AH58+AI58)/2))</f>
        <v>0.111548048226803</v>
      </c>
      <c r="AJ59" s="37" t="n">
        <f aca="false">IF((((AJ58+AK58)/2))*LN((((AJ58+AK58)/2))/(AJ$7))+(1-(((AJ58+AK58)/2)))*LN((1-(((AJ58+AK58)/2)))/(1-(AJ$7)))-AJ$6&lt;0,((AJ58+AK58)/2),AJ58)</f>
        <v>0.172949347713484</v>
      </c>
      <c r="AK59" s="37" t="n">
        <f aca="false">IF((((AJ58+AK58)/2))*LN((((AJ58+AK58)/2))/(AJ$7))+(1-(((AJ58+AK58)/2)))*LN((1-(((AJ58+AK58)/2)))/(1-(AJ$7)))-AJ$6&lt;0,AK58,((AJ58+AK58)/2))</f>
        <v>0.172949347713485</v>
      </c>
      <c r="AL59" s="37" t="n">
        <f aca="false">IF((((AL58+AM58)/2))*LN((((AL58+AM58)/2))/(AL$7))+(1-(((AL58+AM58)/2)))*LN((1-(((AL58+AM58)/2)))/(1-(AL$7)))-AL$6&lt;0,((AL58+AM58)/2),AL58)</f>
        <v>0.288519197341886</v>
      </c>
      <c r="AM59" s="37" t="n">
        <f aca="false">IF((((AL58+AM58)/2))*LN((((AL58+AM58)/2))/(AL$7))+(1-(((AL58+AM58)/2)))*LN((1-(((AL58+AM58)/2)))/(1-(AL$7)))-AL$6&lt;0,AM58,((AL58+AM58)/2))</f>
        <v>0.288519197341887</v>
      </c>
      <c r="AN59" s="37" t="n">
        <f aca="false">IF((((AN58+AO58)/2))*LN((((AN58+AO58)/2))/(AN$7))+(1-(((AN58+AO58)/2)))*LN((1-(((AN58+AO58)/2)))/(1-(AN$7)))-AN$6&lt;0,((AN58+AO58)/2),AN58)</f>
        <v>0.555514150436408</v>
      </c>
      <c r="AO59" s="37" t="n">
        <f aca="false">IF((((AN58+AO58)/2))*LN((((AN58+AO58)/2))/(AN$7))+(1-(((AN58+AO58)/2)))*LN((1-(((AN58+AO58)/2)))/(1-(AN$7)))-AN$6&lt;0,AO58,((AN58+AO58)/2))</f>
        <v>0.555514150436409</v>
      </c>
      <c r="AP59" s="37" t="n">
        <f aca="false">IF(AP$7*LN(AP$7)-AP$7*((AP58+AQ58)/2)+(1-AP$7)*LN(1-AP$7)-(1-AP$7)*LN(1-EXP(((AP58+AQ58)/2)))-AP$6&gt;0,((AP58+AQ58)/2),AP58)</f>
        <v>-3.68963394600536</v>
      </c>
      <c r="AQ59" s="37" t="n">
        <f aca="false">IF(AP$7*LN(AP$7)-AP$7*((AP58+AQ58)/2)+(1-AP$7)*LN(1-AP$7)-(1-AP$7)*LN(1-EXP(((AP58+AQ58)/2)))-AP$6&gt;0,AQ58,((AP58+AQ58)/2))</f>
        <v>-3.68963394600531</v>
      </c>
      <c r="AR59" s="37" t="n">
        <f aca="false">IF((((AR58+AS58)/2))*LN((((AR58+AS58)/2))/(AR$7))+(1-(((AR58+AS58)/2)))*LN((1-(((AR58+AS58)/2)))/(1-(AR$7)))-AR$6&lt;0,((AR58+AS58)/2),AR58)</f>
        <v>0.0836482674857245</v>
      </c>
      <c r="AS59" s="37" t="n">
        <f aca="false">IF((((AR58+AS58)/2))*LN((((AR58+AS58)/2))/(AR$7))+(1-(((AR58+AS58)/2)))*LN((1-(((AR58+AS58)/2)))/(1-(AR$7)))-AR$6&lt;0,AS58,((AR58+AS58)/2))</f>
        <v>0.0836482674857254</v>
      </c>
    </row>
    <row r="60" customFormat="false" ht="15" hidden="false" customHeight="false" outlineLevel="0" collapsed="false">
      <c r="B60" s="37" t="n">
        <f aca="false">IF(B$7*LN(B$7)-B$7*((B59+C59)/2)+(1-B$7)*LN(1-B$7)-(1-B$7)*LN(1-EXP(((B59+C59)/2)))-B$6&gt;0,((B59+C59)/2),B59)</f>
        <v>-12.741680608658</v>
      </c>
      <c r="C60" s="37" t="n">
        <f aca="false">IF(B$7*LN(B$7)-B$7*((B59+C59)/2)+(1-B$7)*LN(1-B$7)-(1-B$7)*LN(1-EXP(((B59+C59)/2)))-B$6&gt;0,C59,((B59+C59)/2))</f>
        <v>-12.7416806086579</v>
      </c>
      <c r="D60" s="37" t="n">
        <f aca="false">IF(D$7*LN(D$7)-D$7*((D59+E59)/2)+(1-D$7)*LN(1-D$7)-(1-D$7)*LN(1-EXP(((D59+E59)/2)))-D$6&gt;0,((D59+E59)/2),D59)</f>
        <v>-16.0341341195425</v>
      </c>
      <c r="E60" s="37" t="n">
        <f aca="false">IF(D$7*LN(D$7)-D$7*((D59+E59)/2)+(1-D$7)*LN(1-D$7)-(1-D$7)*LN(1-EXP(((D59+E59)/2)))-D$6&gt;0,E59,((D59+E59)/2))</f>
        <v>-16.0341341195425</v>
      </c>
      <c r="F60" s="37" t="n">
        <f aca="false">IF(F$7*LN(F$7)-F$7*((F59+G59)/2)+(1-F$7)*LN(1-F$7)-(1-F$7)*LN(1-EXP(((F59+G59)/2)))-F$6&gt;0,((F59+G59)/2),F59)</f>
        <v>-24.805567532226</v>
      </c>
      <c r="G60" s="37" t="n">
        <f aca="false">IF(F$7*LN(F$7)-F$7*((F59+G59)/2)+(1-F$7)*LN(1-F$7)-(1-F$7)*LN(1-EXP(((F59+G59)/2)))-F$6&gt;0,G59,((F59+G59)/2))</f>
        <v>-24.805567532226</v>
      </c>
      <c r="H60" s="37" t="n">
        <f aca="false">IF(H$7*LN(H$7)-H$7*((H59+I59)/2)+(1-H$7)*LN(1-H$7)-(1-H$7)*LN(1-EXP(((H59+I59)/2)))-H$6&gt;0,((H59+I59)/2),H59)</f>
        <v>-3.19789114182588</v>
      </c>
      <c r="I60" s="37" t="n">
        <f aca="false">IF(H$7*LN(H$7)-H$7*((H59+I59)/2)+(1-H$7)*LN(1-H$7)-(1-H$7)*LN(1-EXP(((H59+I59)/2)))-H$6&gt;0,I59,((H59+I59)/2))</f>
        <v>-3.19789114182585</v>
      </c>
      <c r="J60" s="37" t="n">
        <f aca="false">IF(J$7*LN(J$7)-J$7*((J59+K59)/2)+(1-J$7)*LN(1-J$7)-(1-J$7)*LN(1-EXP(((J59+K59)/2)))-J$6&gt;0,((J59+K59)/2),J59)</f>
        <v>-3.28605085212553</v>
      </c>
      <c r="K60" s="37" t="n">
        <f aca="false">IF(J$7*LN(J$7)-J$7*((J59+K59)/2)+(1-J$7)*LN(1-J$7)-(1-J$7)*LN(1-EXP(((J59+K59)/2)))-J$6&gt;0,K59,((J59+K59)/2))</f>
        <v>-3.2860508521255</v>
      </c>
      <c r="L60" s="37" t="n">
        <f aca="false">IF(L$7*LN(L$7)-L$7*((L59+M59)/2)+(1-L$7)*LN(1-L$7)-(1-L$7)*LN(1-EXP(((L59+M59)/2)))-L$6&gt;0,((L59+M59)/2),L59)</f>
        <v>-3.46919733848087</v>
      </c>
      <c r="M60" s="37" t="n">
        <f aca="false">IF(L$7*LN(L$7)-L$7*((L59+M59)/2)+(1-L$7)*LN(1-L$7)-(1-L$7)*LN(1-EXP(((L59+M59)/2)))-L$6&gt;0,M59,((L59+M59)/2))</f>
        <v>-3.46919733848084</v>
      </c>
      <c r="N60" s="37" t="n">
        <f aca="false">IF(N$7*LN(N$7)-N$7*((N59+O59)/2)+(1-N$7)*LN(1-N$7)-(1-N$7)*LN(1-EXP(((N59+O59)/2)))-N$6&gt;0,((N59+O59)/2),N59)</f>
        <v>-3.68963394600533</v>
      </c>
      <c r="O60" s="37" t="n">
        <f aca="false">IF(N$7*LN(N$7)-N$7*((N59+O59)/2)+(1-N$7)*LN(1-N$7)-(1-N$7)*LN(1-EXP(((N59+O59)/2)))-N$6&gt;0,O59,((N59+O59)/2))</f>
        <v>-3.68963394600531</v>
      </c>
      <c r="P60" s="37" t="n">
        <f aca="false">IF(P$7*LN(P$7)-P$7*((P59+Q59)/2)+(1-P$7)*LN(1-P$7)-(1-P$7)*LN(1-EXP(((P59+Q59)/2)))-P$6&gt;0,((P59+Q59)/2),P59)</f>
        <v>-4.02932208427778</v>
      </c>
      <c r="Q60" s="37" t="n">
        <f aca="false">IF(P$7*LN(P$7)-P$7*((P59+Q59)/2)+(1-P$7)*LN(1-P$7)-(1-P$7)*LN(1-EXP(((P59+Q59)/2)))-P$6&gt;0,Q59,((P59+Q59)/2))</f>
        <v>-4.02932208427775</v>
      </c>
      <c r="R60" s="37" t="n">
        <f aca="false">IF(R$7*LN(R$7)-R$7*((R59+S59)/2)+(1-R$7)*LN(1-R$7)-(1-R$7)*LN(1-EXP(((R59+S59)/2)))-R$6&gt;0,((R59+S59)/2),R59)</f>
        <v>-4.31449878690351</v>
      </c>
      <c r="S60" s="37" t="n">
        <f aca="false">IF(R$7*LN(R$7)-R$7*((R59+S59)/2)+(1-R$7)*LN(1-R$7)-(1-R$7)*LN(1-EXP(((R59+S59)/2)))-R$6&gt;0,S59,((R59+S59)/2))</f>
        <v>-4.31449878690348</v>
      </c>
      <c r="T60" s="37" t="n">
        <f aca="false">IF(T$7*LN(T$7)-T$7*((T59+U59)/2)+(1-T$7)*LN(1-T$7)-(1-T$7)*LN(1-EXP(((T59+U59)/2)))-T$6&gt;0,((T59+U59)/2),T59)</f>
        <v>-4.81575742542864</v>
      </c>
      <c r="U60" s="37" t="n">
        <f aca="false">IF(T$7*LN(T$7)-T$7*((T59+U59)/2)+(1-T$7)*LN(1-T$7)-(1-T$7)*LN(1-EXP(((T59+U59)/2)))-T$6&gt;0,U59,((T59+U59)/2))</f>
        <v>-4.81575742542861</v>
      </c>
      <c r="V60" s="37" t="n">
        <f aca="false">IF(V$7*LN(V$7)-V$7*((V59+W59)/2)+(1-V$7)*LN(1-V$7)-(1-V$7)*LN(1-EXP(((V59+W59)/2)))-V$6&gt;0,((V59+W59)/2),V59)</f>
        <v>-5.3827998346134</v>
      </c>
      <c r="W60" s="37" t="n">
        <f aca="false">IF(V$7*LN(V$7)-V$7*((V59+W59)/2)+(1-V$7)*LN(1-V$7)-(1-V$7)*LN(1-EXP(((V59+W59)/2)))-V$6&gt;0,W59,((V59+W59)/2))</f>
        <v>-5.38279983461337</v>
      </c>
      <c r="X60" s="37" t="n">
        <f aca="false">IF(X$7*LN(X$7)-X$7*((X59+Y59)/2)+(1-X$7)*LN(1-X$7)-(1-X$7)*LN(1-EXP(((X59+Y59)/2)))-X$6&gt;0,((X59+Y59)/2),X59)</f>
        <v>-5.91917523349285</v>
      </c>
      <c r="Y60" s="37" t="n">
        <f aca="false">IF(X$7*LN(X$7)-X$7*((X59+Y59)/2)+(1-X$7)*LN(1-X$7)-(1-X$7)*LN(1-EXP(((X59+Y59)/2)))-X$6&gt;0,Y59,((X59+Y59)/2))</f>
        <v>-5.91917523349282</v>
      </c>
      <c r="Z60" s="37" t="n">
        <f aca="false">IF(Z$7*LN(Z$7)-Z$7*((Z59+AA59)/2)+(1-Z$7)*LN(1-Z$7)-(1-Z$7)*LN(1-EXP(((Z59+AA59)/2)))-Z$6&gt;0,((Z59+AA59)/2),Z59)</f>
        <v>-6.95212068545723</v>
      </c>
      <c r="AA60" s="37" t="n">
        <f aca="false">IF(Z$7*LN(Z$7)-Z$7*((Z59+AA59)/2)+(1-Z$7)*LN(1-Z$7)-(1-Z$7)*LN(1-EXP(((Z59+AA59)/2)))-Z$6&gt;0,AA59,((Z59+AA59)/2))</f>
        <v>-6.9521206854572</v>
      </c>
      <c r="AB60" s="37" t="n">
        <f aca="false">IF((((AB59+AC59)/2))*LN((((AB59+AC59)/2))/(AB$7))+(1-(((AB59+AC59)/2)))*LN((1-(((AB59+AC59)/2)))/(1-(AB$7)))-AB$6&lt;0,((AB59+AC59)/2),AB59)</f>
        <v>0.0600408213770421</v>
      </c>
      <c r="AC60" s="37" t="n">
        <f aca="false">IF((((AB59+AC59)/2))*LN((((AB59+AC59)/2))/(AB$7))+(1-(((AB59+AC59)/2)))*LN((1-(((AB59+AC59)/2)))/(1-(AB$7)))-AB$6&lt;0,AC59,((AB59+AC59)/2))</f>
        <v>0.0600408213770425</v>
      </c>
      <c r="AD60" s="37" t="n">
        <f aca="false">IF((((AD59+AE59)/2))*LN((((AD59+AE59)/2))/(AD$7))+(1-(((AD59+AE59)/2)))*LN((1-(((AD59+AE59)/2)))/(1-(AD$7)))-AD$6&lt;0,((AD59+AE59)/2),AD59)</f>
        <v>0.0677518178859634</v>
      </c>
      <c r="AE60" s="37" t="n">
        <f aca="false">IF((((AD59+AE59)/2))*LN((((AD59+AE59)/2))/(AD$7))+(1-(((AD59+AE59)/2)))*LN((1-(((AD59+AE59)/2)))/(1-(AD$7)))-AD$6&lt;0,AE59,((AD59+AE59)/2))</f>
        <v>0.0677518178859639</v>
      </c>
      <c r="AF60" s="37" t="n">
        <f aca="false">IF((((AF59+AG59)/2))*LN((((AF59+AG59)/2))/(AF$7))+(1-(((AF59+AG59)/2)))*LN((1-(((AF59+AG59)/2)))/(1-(AF$7)))-AF$6&lt;0,((AF59+AG59)/2),AF59)</f>
        <v>0.0836482674857245</v>
      </c>
      <c r="AG60" s="37" t="n">
        <f aca="false">IF((((AF59+AG59)/2))*LN((((AF59+AG59)/2))/(AF$7))+(1-(((AF59+AG59)/2)))*LN((1-(((AF59+AG59)/2)))/(1-(AF$7)))-AF$6&lt;0,AG59,((AF59+AG59)/2))</f>
        <v>0.0836482674857249</v>
      </c>
      <c r="AH60" s="37" t="n">
        <f aca="false">IF((((AH59+AI59)/2))*LN((((AH59+AI59)/2))/(AH$7))+(1-(((AH59+AI59)/2)))*LN((1-(((AH59+AI59)/2)))/(1-(AH$7)))-AH$6&lt;0,((AH59+AI59)/2),AH59)</f>
        <v>0.111548048226802</v>
      </c>
      <c r="AI60" s="37" t="n">
        <f aca="false">IF((((AH59+AI59)/2))*LN((((AH59+AI59)/2))/(AH$7))+(1-(((AH59+AI59)/2)))*LN((1-(((AH59+AI59)/2)))/(1-(AH$7)))-AH$6&lt;0,AI59,((AH59+AI59)/2))</f>
        <v>0.111548048226802</v>
      </c>
      <c r="AJ60" s="37" t="n">
        <f aca="false">IF((((AJ59+AK59)/2))*LN((((AJ59+AK59)/2))/(AJ$7))+(1-(((AJ59+AK59)/2)))*LN((1-(((AJ59+AK59)/2)))/(1-(AJ$7)))-AJ$6&lt;0,((AJ59+AK59)/2),AJ59)</f>
        <v>0.172949347713484</v>
      </c>
      <c r="AK60" s="37" t="n">
        <f aca="false">IF((((AJ59+AK59)/2))*LN((((AJ59+AK59)/2))/(AJ$7))+(1-(((AJ59+AK59)/2)))*LN((1-(((AJ59+AK59)/2)))/(1-(AJ$7)))-AJ$6&lt;0,AK59,((AJ59+AK59)/2))</f>
        <v>0.172949347713484</v>
      </c>
      <c r="AL60" s="37" t="n">
        <f aca="false">IF((((AL59+AM59)/2))*LN((((AL59+AM59)/2))/(AL$7))+(1-(((AL59+AM59)/2)))*LN((1-(((AL59+AM59)/2)))/(1-(AL$7)))-AL$6&lt;0,((AL59+AM59)/2),AL59)</f>
        <v>0.288519197341886</v>
      </c>
      <c r="AM60" s="37" t="n">
        <f aca="false">IF((((AL59+AM59)/2))*LN((((AL59+AM59)/2))/(AL$7))+(1-(((AL59+AM59)/2)))*LN((1-(((AL59+AM59)/2)))/(1-(AL$7)))-AL$6&lt;0,AM59,((AL59+AM59)/2))</f>
        <v>0.288519197341887</v>
      </c>
      <c r="AN60" s="37" t="n">
        <f aca="false">IF((((AN59+AO59)/2))*LN((((AN59+AO59)/2))/(AN$7))+(1-(((AN59+AO59)/2)))*LN((1-(((AN59+AO59)/2)))/(1-(AN$7)))-AN$6&lt;0,((AN59+AO59)/2),AN59)</f>
        <v>0.555514150436409</v>
      </c>
      <c r="AO60" s="37" t="n">
        <f aca="false">IF((((AN59+AO59)/2))*LN((((AN59+AO59)/2))/(AN$7))+(1-(((AN59+AO59)/2)))*LN((1-(((AN59+AO59)/2)))/(1-(AN$7)))-AN$6&lt;0,AO59,((AN59+AO59)/2))</f>
        <v>0.555514150436409</v>
      </c>
      <c r="AP60" s="37" t="n">
        <f aca="false">IF(AP$7*LN(AP$7)-AP$7*((AP59+AQ59)/2)+(1-AP$7)*LN(1-AP$7)-(1-AP$7)*LN(1-EXP(((AP59+AQ59)/2)))-AP$6&gt;0,((AP59+AQ59)/2),AP59)</f>
        <v>-3.68963394600533</v>
      </c>
      <c r="AQ60" s="37" t="n">
        <f aca="false">IF(AP$7*LN(AP$7)-AP$7*((AP59+AQ59)/2)+(1-AP$7)*LN(1-AP$7)-(1-AP$7)*LN(1-EXP(((AP59+AQ59)/2)))-AP$6&gt;0,AQ59,((AP59+AQ59)/2))</f>
        <v>-3.68963394600531</v>
      </c>
      <c r="AR60" s="37" t="n">
        <f aca="false">IF((((AR59+AS59)/2))*LN((((AR59+AS59)/2))/(AR$7))+(1-(((AR59+AS59)/2)))*LN((1-(((AR59+AS59)/2)))/(1-(AR$7)))-AR$6&lt;0,((AR59+AS59)/2),AR59)</f>
        <v>0.0836482674857245</v>
      </c>
      <c r="AS60" s="37" t="n">
        <f aca="false">IF((((AR59+AS59)/2))*LN((((AR59+AS59)/2))/(AR$7))+(1-(((AR59+AS59)/2)))*LN((1-(((AR59+AS59)/2)))/(1-(AR$7)))-AR$6&lt;0,AS59,((AR59+AS59)/2))</f>
        <v>0.0836482674857249</v>
      </c>
    </row>
    <row r="61" customFormat="false" ht="15" hidden="false" customHeight="false" outlineLevel="0" collapsed="false">
      <c r="B61" s="37" t="n">
        <f aca="false">IF(B$7*LN(B$7)-B$7*((B60+C60)/2)+(1-B$7)*LN(1-B$7)-(1-B$7)*LN(1-EXP(((B60+C60)/2)))-B$6&gt;0,((B60+C60)/2),B60)</f>
        <v>-12.741680608658</v>
      </c>
      <c r="C61" s="37" t="n">
        <f aca="false">IF(B$7*LN(B$7)-B$7*((B60+C60)/2)+(1-B$7)*LN(1-B$7)-(1-B$7)*LN(1-EXP(((B60+C60)/2)))-B$6&gt;0,C60,((B60+C60)/2))</f>
        <v>-12.7416806086579</v>
      </c>
      <c r="D61" s="37" t="n">
        <f aca="false">IF(D$7*LN(D$7)-D$7*((D60+E60)/2)+(1-D$7)*LN(1-D$7)-(1-D$7)*LN(1-EXP(((D60+E60)/2)))-D$6&gt;0,((D60+E60)/2),D60)</f>
        <v>-16.0341341195425</v>
      </c>
      <c r="E61" s="37" t="n">
        <f aca="false">IF(D$7*LN(D$7)-D$7*((D60+E60)/2)+(1-D$7)*LN(1-D$7)-(1-D$7)*LN(1-EXP(((D60+E60)/2)))-D$6&gt;0,E60,((D60+E60)/2))</f>
        <v>-16.0341341195425</v>
      </c>
      <c r="F61" s="37" t="n">
        <f aca="false">IF(F$7*LN(F$7)-F$7*((F60+G60)/2)+(1-F$7)*LN(1-F$7)-(1-F$7)*LN(1-EXP(((F60+G60)/2)))-F$6&gt;0,((F60+G60)/2),F60)</f>
        <v>-24.805567532226</v>
      </c>
      <c r="G61" s="37" t="n">
        <f aca="false">IF(F$7*LN(F$7)-F$7*((F60+G60)/2)+(1-F$7)*LN(1-F$7)-(1-F$7)*LN(1-EXP(((F60+G60)/2)))-F$6&gt;0,G60,((F60+G60)/2))</f>
        <v>-24.805567532226</v>
      </c>
      <c r="H61" s="37" t="n">
        <f aca="false">IF(H$7*LN(H$7)-H$7*((H60+I60)/2)+(1-H$7)*LN(1-H$7)-(1-H$7)*LN(1-EXP(((H60+I60)/2)))-H$6&gt;0,((H60+I60)/2),H60)</f>
        <v>-3.19789114182588</v>
      </c>
      <c r="I61" s="37" t="n">
        <f aca="false">IF(H$7*LN(H$7)-H$7*((H60+I60)/2)+(1-H$7)*LN(1-H$7)-(1-H$7)*LN(1-EXP(((H60+I60)/2)))-H$6&gt;0,I60,((H60+I60)/2))</f>
        <v>-3.19789114182586</v>
      </c>
      <c r="J61" s="37" t="n">
        <f aca="false">IF(J$7*LN(J$7)-J$7*((J60+K60)/2)+(1-J$7)*LN(1-J$7)-(1-J$7)*LN(1-EXP(((J60+K60)/2)))-J$6&gt;0,((J60+K60)/2),J60)</f>
        <v>-3.28605085212553</v>
      </c>
      <c r="K61" s="37" t="n">
        <f aca="false">IF(J$7*LN(J$7)-J$7*((J60+K60)/2)+(1-J$7)*LN(1-J$7)-(1-J$7)*LN(1-EXP(((J60+K60)/2)))-J$6&gt;0,K60,((J60+K60)/2))</f>
        <v>-3.28605085212552</v>
      </c>
      <c r="L61" s="37" t="n">
        <f aca="false">IF(L$7*LN(L$7)-L$7*((L60+M60)/2)+(1-L$7)*LN(1-L$7)-(1-L$7)*LN(1-EXP(((L60+M60)/2)))-L$6&gt;0,((L60+M60)/2),L60)</f>
        <v>-3.46919733848087</v>
      </c>
      <c r="M61" s="37" t="n">
        <f aca="false">IF(L$7*LN(L$7)-L$7*((L60+M60)/2)+(1-L$7)*LN(1-L$7)-(1-L$7)*LN(1-EXP(((L60+M60)/2)))-L$6&gt;0,M60,((L60+M60)/2))</f>
        <v>-3.46919733848085</v>
      </c>
      <c r="N61" s="37" t="n">
        <f aca="false">IF(N$7*LN(N$7)-N$7*((N60+O60)/2)+(1-N$7)*LN(1-N$7)-(1-N$7)*LN(1-EXP(((N60+O60)/2)))-N$6&gt;0,((N60+O60)/2),N60)</f>
        <v>-3.68963394600533</v>
      </c>
      <c r="O61" s="37" t="n">
        <f aca="false">IF(N$7*LN(N$7)-N$7*((N60+O60)/2)+(1-N$7)*LN(1-N$7)-(1-N$7)*LN(1-EXP(((N60+O60)/2)))-N$6&gt;0,O60,((N60+O60)/2))</f>
        <v>-3.68963394600532</v>
      </c>
      <c r="P61" s="37" t="n">
        <f aca="false">IF(P$7*LN(P$7)-P$7*((P60+Q60)/2)+(1-P$7)*LN(1-P$7)-(1-P$7)*LN(1-EXP(((P60+Q60)/2)))-P$6&gt;0,((P60+Q60)/2),P60)</f>
        <v>-4.02932208427776</v>
      </c>
      <c r="Q61" s="37" t="n">
        <f aca="false">IF(P$7*LN(P$7)-P$7*((P60+Q60)/2)+(1-P$7)*LN(1-P$7)-(1-P$7)*LN(1-EXP(((P60+Q60)/2)))-P$6&gt;0,Q60,((P60+Q60)/2))</f>
        <v>-4.02932208427775</v>
      </c>
      <c r="R61" s="37" t="n">
        <f aca="false">IF(R$7*LN(R$7)-R$7*((R60+S60)/2)+(1-R$7)*LN(1-R$7)-(1-R$7)*LN(1-EXP(((R60+S60)/2)))-R$6&gt;0,((R60+S60)/2),R60)</f>
        <v>-4.31449878690351</v>
      </c>
      <c r="S61" s="37" t="n">
        <f aca="false">IF(R$7*LN(R$7)-R$7*((R60+S60)/2)+(1-R$7)*LN(1-R$7)-(1-R$7)*LN(1-EXP(((R60+S60)/2)))-R$6&gt;0,S60,((R60+S60)/2))</f>
        <v>-4.3144987869035</v>
      </c>
      <c r="T61" s="37" t="n">
        <f aca="false">IF(T$7*LN(T$7)-T$7*((T60+U60)/2)+(1-T$7)*LN(1-T$7)-(1-T$7)*LN(1-EXP(((T60+U60)/2)))-T$6&gt;0,((T60+U60)/2),T60)</f>
        <v>-4.81575742542862</v>
      </c>
      <c r="U61" s="37" t="n">
        <f aca="false">IF(T$7*LN(T$7)-T$7*((T60+U60)/2)+(1-T$7)*LN(1-T$7)-(1-T$7)*LN(1-EXP(((T60+U60)/2)))-T$6&gt;0,U60,((T60+U60)/2))</f>
        <v>-4.81575742542861</v>
      </c>
      <c r="V61" s="37" t="n">
        <f aca="false">IF(V$7*LN(V$7)-V$7*((V60+W60)/2)+(1-V$7)*LN(1-V$7)-(1-V$7)*LN(1-EXP(((V60+W60)/2)))-V$6&gt;0,((V60+W60)/2),V60)</f>
        <v>-5.3827998346134</v>
      </c>
      <c r="W61" s="37" t="n">
        <f aca="false">IF(V$7*LN(V$7)-V$7*((V60+W60)/2)+(1-V$7)*LN(1-V$7)-(1-V$7)*LN(1-EXP(((V60+W60)/2)))-V$6&gt;0,W60,((V60+W60)/2))</f>
        <v>-5.38279983461339</v>
      </c>
      <c r="X61" s="37" t="n">
        <f aca="false">IF(X$7*LN(X$7)-X$7*((X60+Y60)/2)+(1-X$7)*LN(1-X$7)-(1-X$7)*LN(1-EXP(((X60+Y60)/2)))-X$6&gt;0,((X60+Y60)/2),X60)</f>
        <v>-5.91917523349283</v>
      </c>
      <c r="Y61" s="37" t="n">
        <f aca="false">IF(X$7*LN(X$7)-X$7*((X60+Y60)/2)+(1-X$7)*LN(1-X$7)-(1-X$7)*LN(1-EXP(((X60+Y60)/2)))-X$6&gt;0,Y60,((X60+Y60)/2))</f>
        <v>-5.91917523349282</v>
      </c>
      <c r="Z61" s="37" t="n">
        <f aca="false">IF(Z$7*LN(Z$7)-Z$7*((Z60+AA60)/2)+(1-Z$7)*LN(1-Z$7)-(1-Z$7)*LN(1-EXP(((Z60+AA60)/2)))-Z$6&gt;0,((Z60+AA60)/2),Z60)</f>
        <v>-6.95212068545721</v>
      </c>
      <c r="AA61" s="37" t="n">
        <f aca="false">IF(Z$7*LN(Z$7)-Z$7*((Z60+AA60)/2)+(1-Z$7)*LN(1-Z$7)-(1-Z$7)*LN(1-EXP(((Z60+AA60)/2)))-Z$6&gt;0,AA60,((Z60+AA60)/2))</f>
        <v>-6.9521206854572</v>
      </c>
      <c r="AB61" s="37" t="n">
        <f aca="false">IF((((AB60+AC60)/2))*LN((((AB60+AC60)/2))/(AB$7))+(1-(((AB60+AC60)/2)))*LN((1-(((AB60+AC60)/2)))/(1-(AB$7)))-AB$6&lt;0,((AB60+AC60)/2),AB60)</f>
        <v>0.0600408213770421</v>
      </c>
      <c r="AC61" s="37" t="n">
        <f aca="false">IF((((AB60+AC60)/2))*LN((((AB60+AC60)/2))/(AB$7))+(1-(((AB60+AC60)/2)))*LN((1-(((AB60+AC60)/2)))/(1-(AB$7)))-AB$6&lt;0,AC60,((AB60+AC60)/2))</f>
        <v>0.0600408213770423</v>
      </c>
      <c r="AD61" s="37" t="n">
        <f aca="false">IF((((AD60+AE60)/2))*LN((((AD60+AE60)/2))/(AD$7))+(1-(((AD60+AE60)/2)))*LN((1-(((AD60+AE60)/2)))/(1-(AD$7)))-AD$6&lt;0,((AD60+AE60)/2),AD60)</f>
        <v>0.0677518178859636</v>
      </c>
      <c r="AE61" s="37" t="n">
        <f aca="false">IF((((AD60+AE60)/2))*LN((((AD60+AE60)/2))/(AD$7))+(1-(((AD60+AE60)/2)))*LN((1-(((AD60+AE60)/2)))/(1-(AD$7)))-AD$6&lt;0,AE60,((AD60+AE60)/2))</f>
        <v>0.0677518178859639</v>
      </c>
      <c r="AF61" s="37" t="n">
        <f aca="false">IF((((AF60+AG60)/2))*LN((((AF60+AG60)/2))/(AF$7))+(1-(((AF60+AG60)/2)))*LN((1-(((AF60+AG60)/2)))/(1-(AF$7)))-AF$6&lt;0,((AF60+AG60)/2),AF60)</f>
        <v>0.0836482674857245</v>
      </c>
      <c r="AG61" s="37" t="n">
        <f aca="false">IF((((AF60+AG60)/2))*LN((((AF60+AG60)/2))/(AF$7))+(1-(((AF60+AG60)/2)))*LN((1-(((AF60+AG60)/2)))/(1-(AF$7)))-AF$6&lt;0,AG60,((AF60+AG60)/2))</f>
        <v>0.0836482674857247</v>
      </c>
      <c r="AH61" s="37" t="n">
        <f aca="false">IF((((AH60+AI60)/2))*LN((((AH60+AI60)/2))/(AH$7))+(1-(((AH60+AI60)/2)))*LN((1-(((AH60+AI60)/2)))/(1-(AH$7)))-AH$6&lt;0,((AH60+AI60)/2),AH60)</f>
        <v>0.111548048226802</v>
      </c>
      <c r="AI61" s="37" t="n">
        <f aca="false">IF((((AH60+AI60)/2))*LN((((AH60+AI60)/2))/(AH$7))+(1-(((AH60+AI60)/2)))*LN((1-(((AH60+AI60)/2)))/(1-(AH$7)))-AH$6&lt;0,AI60,((AH60+AI60)/2))</f>
        <v>0.111548048226802</v>
      </c>
      <c r="AJ61" s="37" t="n">
        <f aca="false">IF((((AJ60+AK60)/2))*LN((((AJ60+AK60)/2))/(AJ$7))+(1-(((AJ60+AK60)/2)))*LN((1-(((AJ60+AK60)/2)))/(1-(AJ$7)))-AJ$6&lt;0,((AJ60+AK60)/2),AJ60)</f>
        <v>0.172949347713484</v>
      </c>
      <c r="AK61" s="37" t="n">
        <f aca="false">IF((((AJ60+AK60)/2))*LN((((AJ60+AK60)/2))/(AJ$7))+(1-(((AJ60+AK60)/2)))*LN((1-(((AJ60+AK60)/2)))/(1-(AJ$7)))-AJ$6&lt;0,AK60,((AJ60+AK60)/2))</f>
        <v>0.172949347713484</v>
      </c>
      <c r="AL61" s="37" t="n">
        <f aca="false">IF((((AL60+AM60)/2))*LN((((AL60+AM60)/2))/(AL$7))+(1-(((AL60+AM60)/2)))*LN((1-(((AL60+AM60)/2)))/(1-(AL$7)))-AL$6&lt;0,((AL60+AM60)/2),AL60)</f>
        <v>0.288519197341886</v>
      </c>
      <c r="AM61" s="37" t="n">
        <f aca="false">IF((((AL60+AM60)/2))*LN((((AL60+AM60)/2))/(AL$7))+(1-(((AL60+AM60)/2)))*LN((1-(((AL60+AM60)/2)))/(1-(AL$7)))-AL$6&lt;0,AM60,((AL60+AM60)/2))</f>
        <v>0.288519197341887</v>
      </c>
      <c r="AN61" s="37" t="n">
        <f aca="false">IF((((AN60+AO60)/2))*LN((((AN60+AO60)/2))/(AN$7))+(1-(((AN60+AO60)/2)))*LN((1-(((AN60+AO60)/2)))/(1-(AN$7)))-AN$6&lt;0,((AN60+AO60)/2),AN60)</f>
        <v>0.555514150436409</v>
      </c>
      <c r="AO61" s="37" t="n">
        <f aca="false">IF((((AN60+AO60)/2))*LN((((AN60+AO60)/2))/(AN$7))+(1-(((AN60+AO60)/2)))*LN((1-(((AN60+AO60)/2)))/(1-(AN$7)))-AN$6&lt;0,AO60,((AN60+AO60)/2))</f>
        <v>0.555514150436409</v>
      </c>
      <c r="AP61" s="37" t="n">
        <f aca="false">IF(AP$7*LN(AP$7)-AP$7*((AP60+AQ60)/2)+(1-AP$7)*LN(1-AP$7)-(1-AP$7)*LN(1-EXP(((AP60+AQ60)/2)))-AP$6&gt;0,((AP60+AQ60)/2),AP60)</f>
        <v>-3.68963394600533</v>
      </c>
      <c r="AQ61" s="37" t="n">
        <f aca="false">IF(AP$7*LN(AP$7)-AP$7*((AP60+AQ60)/2)+(1-AP$7)*LN(1-AP$7)-(1-AP$7)*LN(1-EXP(((AP60+AQ60)/2)))-AP$6&gt;0,AQ60,((AP60+AQ60)/2))</f>
        <v>-3.68963394600532</v>
      </c>
      <c r="AR61" s="37" t="n">
        <f aca="false">IF((((AR60+AS60)/2))*LN((((AR60+AS60)/2))/(AR$7))+(1-(((AR60+AS60)/2)))*LN((1-(((AR60+AS60)/2)))/(1-(AR$7)))-AR$6&lt;0,((AR60+AS60)/2),AR60)</f>
        <v>0.0836482674857245</v>
      </c>
      <c r="AS61" s="37" t="n">
        <f aca="false">IF((((AR60+AS60)/2))*LN((((AR60+AS60)/2))/(AR$7))+(1-(((AR60+AS60)/2)))*LN((1-(((AR60+AS60)/2)))/(1-(AR$7)))-AR$6&lt;0,AS60,((AR60+AS60)/2))</f>
        <v>0.0836482674857247</v>
      </c>
    </row>
    <row r="62" customFormat="false" ht="15" hidden="false" customHeight="false" outlineLevel="0" collapsed="false">
      <c r="B62" s="37" t="n">
        <f aca="false">IF(B$7*LN(B$7)-B$7*((B61+C61)/2)+(1-B$7)*LN(1-B$7)-(1-B$7)*LN(1-EXP(((B61+C61)/2)))-B$6&gt;0,((B61+C61)/2),B61)</f>
        <v>-12.7416806086579</v>
      </c>
      <c r="C62" s="37" t="n">
        <f aca="false">IF(B$7*LN(B$7)-B$7*((B61+C61)/2)+(1-B$7)*LN(1-B$7)-(1-B$7)*LN(1-EXP(((B61+C61)/2)))-B$6&gt;0,C61,((B61+C61)/2))</f>
        <v>-12.7416806086579</v>
      </c>
      <c r="D62" s="37" t="n">
        <f aca="false">IF(D$7*LN(D$7)-D$7*((D61+E61)/2)+(1-D$7)*LN(1-D$7)-(1-D$7)*LN(1-EXP(((D61+E61)/2)))-D$6&gt;0,((D61+E61)/2),D61)</f>
        <v>-16.0341341195425</v>
      </c>
      <c r="E62" s="37" t="n">
        <f aca="false">IF(D$7*LN(D$7)-D$7*((D61+E61)/2)+(1-D$7)*LN(1-D$7)-(1-D$7)*LN(1-EXP(((D61+E61)/2)))-D$6&gt;0,E61,((D61+E61)/2))</f>
        <v>-16.0341341195425</v>
      </c>
      <c r="F62" s="37" t="n">
        <f aca="false">IF(F$7*LN(F$7)-F$7*((F61+G61)/2)+(1-F$7)*LN(1-F$7)-(1-F$7)*LN(1-EXP(((F61+G61)/2)))-F$6&gt;0,((F61+G61)/2),F61)</f>
        <v>-24.805567532226</v>
      </c>
      <c r="G62" s="37" t="n">
        <f aca="false">IF(F$7*LN(F$7)-F$7*((F61+G61)/2)+(1-F$7)*LN(1-F$7)-(1-F$7)*LN(1-EXP(((F61+G61)/2)))-F$6&gt;0,G61,((F61+G61)/2))</f>
        <v>-24.805567532226</v>
      </c>
      <c r="H62" s="37" t="n">
        <f aca="false">IF(H$7*LN(H$7)-H$7*((H61+I61)/2)+(1-H$7)*LN(1-H$7)-(1-H$7)*LN(1-EXP(((H61+I61)/2)))-H$6&gt;0,((H61+I61)/2),H61)</f>
        <v>-3.19789114182587</v>
      </c>
      <c r="I62" s="37" t="n">
        <f aca="false">IF(H$7*LN(H$7)-H$7*((H61+I61)/2)+(1-H$7)*LN(1-H$7)-(1-H$7)*LN(1-EXP(((H61+I61)/2)))-H$6&gt;0,I61,((H61+I61)/2))</f>
        <v>-3.19789114182586</v>
      </c>
      <c r="J62" s="37" t="n">
        <f aca="false">IF(J$7*LN(J$7)-J$7*((J61+K61)/2)+(1-J$7)*LN(1-J$7)-(1-J$7)*LN(1-EXP(((J61+K61)/2)))-J$6&gt;0,((J61+K61)/2),J61)</f>
        <v>-3.28605085212553</v>
      </c>
      <c r="K62" s="37" t="n">
        <f aca="false">IF(J$7*LN(J$7)-J$7*((J61+K61)/2)+(1-J$7)*LN(1-J$7)-(1-J$7)*LN(1-EXP(((J61+K61)/2)))-J$6&gt;0,K61,((J61+K61)/2))</f>
        <v>-3.28605085212553</v>
      </c>
      <c r="L62" s="37" t="n">
        <f aca="false">IF(L$7*LN(L$7)-L$7*((L61+M61)/2)+(1-L$7)*LN(1-L$7)-(1-L$7)*LN(1-EXP(((L61+M61)/2)))-L$6&gt;0,((L61+M61)/2),L61)</f>
        <v>-3.46919733848086</v>
      </c>
      <c r="M62" s="37" t="n">
        <f aca="false">IF(L$7*LN(L$7)-L$7*((L61+M61)/2)+(1-L$7)*LN(1-L$7)-(1-L$7)*LN(1-EXP(((L61+M61)/2)))-L$6&gt;0,M61,((L61+M61)/2))</f>
        <v>-3.46919733848085</v>
      </c>
      <c r="N62" s="37" t="n">
        <f aca="false">IF(N$7*LN(N$7)-N$7*((N61+O61)/2)+(1-N$7)*LN(1-N$7)-(1-N$7)*LN(1-EXP(((N61+O61)/2)))-N$6&gt;0,((N61+O61)/2),N61)</f>
        <v>-3.68963394600533</v>
      </c>
      <c r="O62" s="37" t="n">
        <f aca="false">IF(N$7*LN(N$7)-N$7*((N61+O61)/2)+(1-N$7)*LN(1-N$7)-(1-N$7)*LN(1-EXP(((N61+O61)/2)))-N$6&gt;0,O61,((N61+O61)/2))</f>
        <v>-3.68963394600533</v>
      </c>
      <c r="P62" s="37" t="n">
        <f aca="false">IF(P$7*LN(P$7)-P$7*((P61+Q61)/2)+(1-P$7)*LN(1-P$7)-(1-P$7)*LN(1-EXP(((P61+Q61)/2)))-P$6&gt;0,((P61+Q61)/2),P61)</f>
        <v>-4.02932208427776</v>
      </c>
      <c r="Q62" s="37" t="n">
        <f aca="false">IF(P$7*LN(P$7)-P$7*((P61+Q61)/2)+(1-P$7)*LN(1-P$7)-(1-P$7)*LN(1-EXP(((P61+Q61)/2)))-P$6&gt;0,Q61,((P61+Q61)/2))</f>
        <v>-4.02932208427775</v>
      </c>
      <c r="R62" s="37" t="n">
        <f aca="false">IF(R$7*LN(R$7)-R$7*((R61+S61)/2)+(1-R$7)*LN(1-R$7)-(1-R$7)*LN(1-EXP(((R61+S61)/2)))-R$6&gt;0,((R61+S61)/2),R61)</f>
        <v>-4.3144987869035</v>
      </c>
      <c r="S62" s="37" t="n">
        <f aca="false">IF(R$7*LN(R$7)-R$7*((R61+S61)/2)+(1-R$7)*LN(1-R$7)-(1-R$7)*LN(1-EXP(((R61+S61)/2)))-R$6&gt;0,S61,((R61+S61)/2))</f>
        <v>-4.3144987869035</v>
      </c>
      <c r="T62" s="37" t="n">
        <f aca="false">IF(T$7*LN(T$7)-T$7*((T61+U61)/2)+(1-T$7)*LN(1-T$7)-(1-T$7)*LN(1-EXP(((T61+U61)/2)))-T$6&gt;0,((T61+U61)/2),T61)</f>
        <v>-4.81575742542862</v>
      </c>
      <c r="U62" s="37" t="n">
        <f aca="false">IF(T$7*LN(T$7)-T$7*((T61+U61)/2)+(1-T$7)*LN(1-T$7)-(1-T$7)*LN(1-EXP(((T61+U61)/2)))-T$6&gt;0,U61,((T61+U61)/2))</f>
        <v>-4.81575742542861</v>
      </c>
      <c r="V62" s="37" t="n">
        <f aca="false">IF(V$7*LN(V$7)-V$7*((V61+W61)/2)+(1-V$7)*LN(1-V$7)-(1-V$7)*LN(1-EXP(((V61+W61)/2)))-V$6&gt;0,((V61+W61)/2),V61)</f>
        <v>-5.38279983461339</v>
      </c>
      <c r="W62" s="37" t="n">
        <f aca="false">IF(V$7*LN(V$7)-V$7*((V61+W61)/2)+(1-V$7)*LN(1-V$7)-(1-V$7)*LN(1-EXP(((V61+W61)/2)))-V$6&gt;0,W61,((V61+W61)/2))</f>
        <v>-5.38279983461339</v>
      </c>
      <c r="X62" s="37" t="n">
        <f aca="false">IF(X$7*LN(X$7)-X$7*((X61+Y61)/2)+(1-X$7)*LN(1-X$7)-(1-X$7)*LN(1-EXP(((X61+Y61)/2)))-X$6&gt;0,((X61+Y61)/2),X61)</f>
        <v>-5.91917523349283</v>
      </c>
      <c r="Y62" s="37" t="n">
        <f aca="false">IF(X$7*LN(X$7)-X$7*((X61+Y61)/2)+(1-X$7)*LN(1-X$7)-(1-X$7)*LN(1-EXP(((X61+Y61)/2)))-X$6&gt;0,Y61,((X61+Y61)/2))</f>
        <v>-5.91917523349283</v>
      </c>
      <c r="Z62" s="37" t="n">
        <f aca="false">IF(Z$7*LN(Z$7)-Z$7*((Z61+AA61)/2)+(1-Z$7)*LN(1-Z$7)-(1-Z$7)*LN(1-EXP(((Z61+AA61)/2)))-Z$6&gt;0,((Z61+AA61)/2),Z61)</f>
        <v>-6.95212068545721</v>
      </c>
      <c r="AA62" s="37" t="n">
        <f aca="false">IF(Z$7*LN(Z$7)-Z$7*((Z61+AA61)/2)+(1-Z$7)*LN(1-Z$7)-(1-Z$7)*LN(1-EXP(((Z61+AA61)/2)))-Z$6&gt;0,AA61,((Z61+AA61)/2))</f>
        <v>-6.9521206854572</v>
      </c>
      <c r="AB62" s="37" t="n">
        <f aca="false">IF((((AB61+AC61)/2))*LN((((AB61+AC61)/2))/(AB$7))+(1-(((AB61+AC61)/2)))*LN((1-(((AB61+AC61)/2)))/(1-(AB$7)))-AB$6&lt;0,((AB61+AC61)/2),AB61)</f>
        <v>0.0600408213770422</v>
      </c>
      <c r="AC62" s="37" t="n">
        <f aca="false">IF((((AB61+AC61)/2))*LN((((AB61+AC61)/2))/(AB$7))+(1-(((AB61+AC61)/2)))*LN((1-(((AB61+AC61)/2)))/(1-(AB$7)))-AB$6&lt;0,AC61,((AB61+AC61)/2))</f>
        <v>0.0600408213770423</v>
      </c>
      <c r="AD62" s="37" t="n">
        <f aca="false">IF((((AD61+AE61)/2))*LN((((AD61+AE61)/2))/(AD$7))+(1-(((AD61+AE61)/2)))*LN((1-(((AD61+AE61)/2)))/(1-(AD$7)))-AD$6&lt;0,((AD61+AE61)/2),AD61)</f>
        <v>0.0677518178859636</v>
      </c>
      <c r="AE62" s="37" t="n">
        <f aca="false">IF((((AD61+AE61)/2))*LN((((AD61+AE61)/2))/(AD$7))+(1-(((AD61+AE61)/2)))*LN((1-(((AD61+AE61)/2)))/(1-(AD$7)))-AD$6&lt;0,AE61,((AD61+AE61)/2))</f>
        <v>0.0677518178859637</v>
      </c>
      <c r="AF62" s="37" t="n">
        <f aca="false">IF((((AF61+AG61)/2))*LN((((AF61+AG61)/2))/(AF$7))+(1-(((AF61+AG61)/2)))*LN((1-(((AF61+AG61)/2)))/(1-(AF$7)))-AF$6&lt;0,((AF61+AG61)/2),AF61)</f>
        <v>0.0836482674857246</v>
      </c>
      <c r="AG62" s="37" t="n">
        <f aca="false">IF((((AF61+AG61)/2))*LN((((AF61+AG61)/2))/(AF$7))+(1-(((AF61+AG61)/2)))*LN((1-(((AF61+AG61)/2)))/(1-(AF$7)))-AF$6&lt;0,AG61,((AF61+AG61)/2))</f>
        <v>0.0836482674857247</v>
      </c>
      <c r="AH62" s="37" t="n">
        <f aca="false">IF((((AH61+AI61)/2))*LN((((AH61+AI61)/2))/(AH$7))+(1-(((AH61+AI61)/2)))*LN((1-(((AH61+AI61)/2)))/(1-(AH$7)))-AH$6&lt;0,((AH61+AI61)/2),AH61)</f>
        <v>0.111548048226802</v>
      </c>
      <c r="AI62" s="37" t="n">
        <f aca="false">IF((((AH61+AI61)/2))*LN((((AH61+AI61)/2))/(AH$7))+(1-(((AH61+AI61)/2)))*LN((1-(((AH61+AI61)/2)))/(1-(AH$7)))-AH$6&lt;0,AI61,((AH61+AI61)/2))</f>
        <v>0.111548048226802</v>
      </c>
      <c r="AJ62" s="37" t="n">
        <f aca="false">IF((((AJ61+AK61)/2))*LN((((AJ61+AK61)/2))/(AJ$7))+(1-(((AJ61+AK61)/2)))*LN((1-(((AJ61+AK61)/2)))/(1-(AJ$7)))-AJ$6&lt;0,((AJ61+AK61)/2),AJ61)</f>
        <v>0.172949347713484</v>
      </c>
      <c r="AK62" s="37" t="n">
        <f aca="false">IF((((AJ61+AK61)/2))*LN((((AJ61+AK61)/2))/(AJ$7))+(1-(((AJ61+AK61)/2)))*LN((1-(((AJ61+AK61)/2)))/(1-(AJ$7)))-AJ$6&lt;0,AK61,((AJ61+AK61)/2))</f>
        <v>0.172949347713484</v>
      </c>
      <c r="AL62" s="37" t="n">
        <f aca="false">IF((((AL61+AM61)/2))*LN((((AL61+AM61)/2))/(AL$7))+(1-(((AL61+AM61)/2)))*LN((1-(((AL61+AM61)/2)))/(1-(AL$7)))-AL$6&lt;0,((AL61+AM61)/2),AL61)</f>
        <v>0.288519197341886</v>
      </c>
      <c r="AM62" s="37" t="n">
        <f aca="false">IF((((AL61+AM61)/2))*LN((((AL61+AM61)/2))/(AL$7))+(1-(((AL61+AM61)/2)))*LN((1-(((AL61+AM61)/2)))/(1-(AL$7)))-AL$6&lt;0,AM61,((AL61+AM61)/2))</f>
        <v>0.288519197341886</v>
      </c>
      <c r="AN62" s="37" t="n">
        <f aca="false">IF((((AN61+AO61)/2))*LN((((AN61+AO61)/2))/(AN$7))+(1-(((AN61+AO61)/2)))*LN((1-(((AN61+AO61)/2)))/(1-(AN$7)))-AN$6&lt;0,((AN61+AO61)/2),AN61)</f>
        <v>0.555514150436409</v>
      </c>
      <c r="AO62" s="37" t="n">
        <f aca="false">IF((((AN61+AO61)/2))*LN((((AN61+AO61)/2))/(AN$7))+(1-(((AN61+AO61)/2)))*LN((1-(((AN61+AO61)/2)))/(1-(AN$7)))-AN$6&lt;0,AO61,((AN61+AO61)/2))</f>
        <v>0.555514150436409</v>
      </c>
      <c r="AP62" s="37" t="n">
        <f aca="false">IF(AP$7*LN(AP$7)-AP$7*((AP61+AQ61)/2)+(1-AP$7)*LN(1-AP$7)-(1-AP$7)*LN(1-EXP(((AP61+AQ61)/2)))-AP$6&gt;0,((AP61+AQ61)/2),AP61)</f>
        <v>-3.68963394600533</v>
      </c>
      <c r="AQ62" s="37" t="n">
        <f aca="false">IF(AP$7*LN(AP$7)-AP$7*((AP61+AQ61)/2)+(1-AP$7)*LN(1-AP$7)-(1-AP$7)*LN(1-EXP(((AP61+AQ61)/2)))-AP$6&gt;0,AQ61,((AP61+AQ61)/2))</f>
        <v>-3.68963394600533</v>
      </c>
      <c r="AR62" s="37" t="n">
        <f aca="false">IF((((AR61+AS61)/2))*LN((((AR61+AS61)/2))/(AR$7))+(1-(((AR61+AS61)/2)))*LN((1-(((AR61+AS61)/2)))/(1-(AR$7)))-AR$6&lt;0,((AR61+AS61)/2),AR61)</f>
        <v>0.0836482674857246</v>
      </c>
      <c r="AS62" s="37" t="n">
        <f aca="false">IF((((AR61+AS61)/2))*LN((((AR61+AS61)/2))/(AR$7))+(1-(((AR61+AS61)/2)))*LN((1-(((AR61+AS61)/2)))/(1-(AR$7)))-AR$6&lt;0,AS61,((AR61+AS61)/2))</f>
        <v>0.0836482674857247</v>
      </c>
    </row>
    <row r="63" customFormat="false" ht="15" hidden="false" customHeight="false" outlineLevel="0" collapsed="false">
      <c r="B63" s="37" t="n">
        <f aca="false">IF(B$7*LN(B$7)-B$7*((B62+C62)/2)+(1-B$7)*LN(1-B$7)-(1-B$7)*LN(1-EXP(((B62+C62)/2)))-B$6&gt;0,((B62+C62)/2),B62)</f>
        <v>-12.7416806086579</v>
      </c>
      <c r="C63" s="37" t="n">
        <f aca="false">IF(B$7*LN(B$7)-B$7*((B62+C62)/2)+(1-B$7)*LN(1-B$7)-(1-B$7)*LN(1-EXP(((B62+C62)/2)))-B$6&gt;0,C62,((B62+C62)/2))</f>
        <v>-12.7416806086579</v>
      </c>
      <c r="D63" s="37" t="n">
        <f aca="false">IF(D$7*LN(D$7)-D$7*((D62+E62)/2)+(1-D$7)*LN(1-D$7)-(1-D$7)*LN(1-EXP(((D62+E62)/2)))-D$6&gt;0,((D62+E62)/2),D62)</f>
        <v>-16.0341341195425</v>
      </c>
      <c r="E63" s="37" t="n">
        <f aca="false">IF(D$7*LN(D$7)-D$7*((D62+E62)/2)+(1-D$7)*LN(1-D$7)-(1-D$7)*LN(1-EXP(((D62+E62)/2)))-D$6&gt;0,E62,((D62+E62)/2))</f>
        <v>-16.0341341195425</v>
      </c>
      <c r="F63" s="37" t="n">
        <f aca="false">IF(F$7*LN(F$7)-F$7*((F62+G62)/2)+(1-F$7)*LN(1-F$7)-(1-F$7)*LN(1-EXP(((F62+G62)/2)))-F$6&gt;0,((F62+G62)/2),F62)</f>
        <v>-24.805567532226</v>
      </c>
      <c r="G63" s="37" t="n">
        <f aca="false">IF(F$7*LN(F$7)-F$7*((F62+G62)/2)+(1-F$7)*LN(1-F$7)-(1-F$7)*LN(1-EXP(((F62+G62)/2)))-F$6&gt;0,G62,((F62+G62)/2))</f>
        <v>-24.805567532226</v>
      </c>
      <c r="H63" s="37" t="n">
        <f aca="false">IF(H$7*LN(H$7)-H$7*((H62+I62)/2)+(1-H$7)*LN(1-H$7)-(1-H$7)*LN(1-EXP(((H62+I62)/2)))-H$6&gt;0,((H62+I62)/2),H62)</f>
        <v>-3.19789114182587</v>
      </c>
      <c r="I63" s="37" t="n">
        <f aca="false">IF(H$7*LN(H$7)-H$7*((H62+I62)/2)+(1-H$7)*LN(1-H$7)-(1-H$7)*LN(1-EXP(((H62+I62)/2)))-H$6&gt;0,I62,((H62+I62)/2))</f>
        <v>-3.19789114182586</v>
      </c>
      <c r="J63" s="37" t="n">
        <f aca="false">IF(J$7*LN(J$7)-J$7*((J62+K62)/2)+(1-J$7)*LN(1-J$7)-(1-J$7)*LN(1-EXP(((J62+K62)/2)))-J$6&gt;0,((J62+K62)/2),J62)</f>
        <v>-3.28605085212553</v>
      </c>
      <c r="K63" s="37" t="n">
        <f aca="false">IF(J$7*LN(J$7)-J$7*((J62+K62)/2)+(1-J$7)*LN(1-J$7)-(1-J$7)*LN(1-EXP(((J62+K62)/2)))-J$6&gt;0,K62,((J62+K62)/2))</f>
        <v>-3.28605085212553</v>
      </c>
      <c r="L63" s="37" t="n">
        <f aca="false">IF(L$7*LN(L$7)-L$7*((L62+M62)/2)+(1-L$7)*LN(1-L$7)-(1-L$7)*LN(1-EXP(((L62+M62)/2)))-L$6&gt;0,((L62+M62)/2),L62)</f>
        <v>-3.46919733848086</v>
      </c>
      <c r="M63" s="37" t="n">
        <f aca="false">IF(L$7*LN(L$7)-L$7*((L62+M62)/2)+(1-L$7)*LN(1-L$7)-(1-L$7)*LN(1-EXP(((L62+M62)/2)))-L$6&gt;0,M62,((L62+M62)/2))</f>
        <v>-3.46919733848085</v>
      </c>
      <c r="N63" s="37" t="n">
        <f aca="false">IF(N$7*LN(N$7)-N$7*((N62+O62)/2)+(1-N$7)*LN(1-N$7)-(1-N$7)*LN(1-EXP(((N62+O62)/2)))-N$6&gt;0,((N62+O62)/2),N62)</f>
        <v>-3.68963394600533</v>
      </c>
      <c r="O63" s="37" t="n">
        <f aca="false">IF(N$7*LN(N$7)-N$7*((N62+O62)/2)+(1-N$7)*LN(1-N$7)-(1-N$7)*LN(1-EXP(((N62+O62)/2)))-N$6&gt;0,O62,((N62+O62)/2))</f>
        <v>-3.68963394600533</v>
      </c>
      <c r="P63" s="37" t="n">
        <f aca="false">IF(P$7*LN(P$7)-P$7*((P62+Q62)/2)+(1-P$7)*LN(1-P$7)-(1-P$7)*LN(1-EXP(((P62+Q62)/2)))-P$6&gt;0,((P62+Q62)/2),P62)</f>
        <v>-4.02932208427776</v>
      </c>
      <c r="Q63" s="37" t="n">
        <f aca="false">IF(P$7*LN(P$7)-P$7*((P62+Q62)/2)+(1-P$7)*LN(1-P$7)-(1-P$7)*LN(1-EXP(((P62+Q62)/2)))-P$6&gt;0,Q62,((P62+Q62)/2))</f>
        <v>-4.02932208427775</v>
      </c>
      <c r="R63" s="37" t="n">
        <f aca="false">IF(R$7*LN(R$7)-R$7*((R62+S62)/2)+(1-R$7)*LN(1-R$7)-(1-R$7)*LN(1-EXP(((R62+S62)/2)))-R$6&gt;0,((R62+S62)/2),R62)</f>
        <v>-4.3144987869035</v>
      </c>
      <c r="S63" s="37" t="n">
        <f aca="false">IF(R$7*LN(R$7)-R$7*((R62+S62)/2)+(1-R$7)*LN(1-R$7)-(1-R$7)*LN(1-EXP(((R62+S62)/2)))-R$6&gt;0,S62,((R62+S62)/2))</f>
        <v>-4.3144987869035</v>
      </c>
      <c r="T63" s="37" t="n">
        <f aca="false">IF(T$7*LN(T$7)-T$7*((T62+U62)/2)+(1-T$7)*LN(1-T$7)-(1-T$7)*LN(1-EXP(((T62+U62)/2)))-T$6&gt;0,((T62+U62)/2),T62)</f>
        <v>-4.81575742542862</v>
      </c>
      <c r="U63" s="37" t="n">
        <f aca="false">IF(T$7*LN(T$7)-T$7*((T62+U62)/2)+(1-T$7)*LN(1-T$7)-(1-T$7)*LN(1-EXP(((T62+U62)/2)))-T$6&gt;0,U62,((T62+U62)/2))</f>
        <v>-4.81575742542861</v>
      </c>
      <c r="V63" s="37" t="n">
        <f aca="false">IF(V$7*LN(V$7)-V$7*((V62+W62)/2)+(1-V$7)*LN(1-V$7)-(1-V$7)*LN(1-EXP(((V62+W62)/2)))-V$6&gt;0,((V62+W62)/2),V62)</f>
        <v>-5.38279983461339</v>
      </c>
      <c r="W63" s="37" t="n">
        <f aca="false">IF(V$7*LN(V$7)-V$7*((V62+W62)/2)+(1-V$7)*LN(1-V$7)-(1-V$7)*LN(1-EXP(((V62+W62)/2)))-V$6&gt;0,W62,((V62+W62)/2))</f>
        <v>-5.38279983461339</v>
      </c>
      <c r="X63" s="37" t="n">
        <f aca="false">IF(X$7*LN(X$7)-X$7*((X62+Y62)/2)+(1-X$7)*LN(1-X$7)-(1-X$7)*LN(1-EXP(((X62+Y62)/2)))-X$6&gt;0,((X62+Y62)/2),X62)</f>
        <v>-5.91917523349283</v>
      </c>
      <c r="Y63" s="37" t="n">
        <f aca="false">IF(X$7*LN(X$7)-X$7*((X62+Y62)/2)+(1-X$7)*LN(1-X$7)-(1-X$7)*LN(1-EXP(((X62+Y62)/2)))-X$6&gt;0,Y62,((X62+Y62)/2))</f>
        <v>-5.91917523349283</v>
      </c>
      <c r="Z63" s="37" t="n">
        <f aca="false">IF(Z$7*LN(Z$7)-Z$7*((Z62+AA62)/2)+(1-Z$7)*LN(1-Z$7)-(1-Z$7)*LN(1-EXP(((Z62+AA62)/2)))-Z$6&gt;0,((Z62+AA62)/2),Z62)</f>
        <v>-6.95212068545721</v>
      </c>
      <c r="AA63" s="37" t="n">
        <f aca="false">IF(Z$7*LN(Z$7)-Z$7*((Z62+AA62)/2)+(1-Z$7)*LN(1-Z$7)-(1-Z$7)*LN(1-EXP(((Z62+AA62)/2)))-Z$6&gt;0,AA62,((Z62+AA62)/2))</f>
        <v>-6.9521206854572</v>
      </c>
      <c r="AB63" s="37" t="n">
        <f aca="false">IF((((AB62+AC62)/2))*LN((((AB62+AC62)/2))/(AB$7))+(1-(((AB62+AC62)/2)))*LN((1-(((AB62+AC62)/2)))/(1-(AB$7)))-AB$6&lt;0,((AB62+AC62)/2),AB62)</f>
        <v>0.0600408213770422</v>
      </c>
      <c r="AC63" s="37" t="n">
        <f aca="false">IF((((AB62+AC62)/2))*LN((((AB62+AC62)/2))/(AB$7))+(1-(((AB62+AC62)/2)))*LN((1-(((AB62+AC62)/2)))/(1-(AB$7)))-AB$6&lt;0,AC62,((AB62+AC62)/2))</f>
        <v>0.0600408213770423</v>
      </c>
      <c r="AD63" s="37" t="n">
        <f aca="false">IF((((AD62+AE62)/2))*LN((((AD62+AE62)/2))/(AD$7))+(1-(((AD62+AE62)/2)))*LN((1-(((AD62+AE62)/2)))/(1-(AD$7)))-AD$6&lt;0,((AD62+AE62)/2),AD62)</f>
        <v>0.0677518178859637</v>
      </c>
      <c r="AE63" s="37" t="n">
        <f aca="false">IF((((AD62+AE62)/2))*LN((((AD62+AE62)/2))/(AD$7))+(1-(((AD62+AE62)/2)))*LN((1-(((AD62+AE62)/2)))/(1-(AD$7)))-AD$6&lt;0,AE62,((AD62+AE62)/2))</f>
        <v>0.0677518178859637</v>
      </c>
      <c r="AF63" s="37" t="n">
        <f aca="false">IF((((AF62+AG62)/2))*LN((((AF62+AG62)/2))/(AF$7))+(1-(((AF62+AG62)/2)))*LN((1-(((AF62+AG62)/2)))/(1-(AF$7)))-AF$6&lt;0,((AF62+AG62)/2),AF62)</f>
        <v>0.0836482674857246</v>
      </c>
      <c r="AG63" s="37" t="n">
        <f aca="false">IF((((AF62+AG62)/2))*LN((((AF62+AG62)/2))/(AF$7))+(1-(((AF62+AG62)/2)))*LN((1-(((AF62+AG62)/2)))/(1-(AF$7)))-AF$6&lt;0,AG62,((AF62+AG62)/2))</f>
        <v>0.0836482674857247</v>
      </c>
      <c r="AH63" s="37" t="n">
        <f aca="false">IF((((AH62+AI62)/2))*LN((((AH62+AI62)/2))/(AH$7))+(1-(((AH62+AI62)/2)))*LN((1-(((AH62+AI62)/2)))/(1-(AH$7)))-AH$6&lt;0,((AH62+AI62)/2),AH62)</f>
        <v>0.111548048226802</v>
      </c>
      <c r="AI63" s="37" t="n">
        <f aca="false">IF((((AH62+AI62)/2))*LN((((AH62+AI62)/2))/(AH$7))+(1-(((AH62+AI62)/2)))*LN((1-(((AH62+AI62)/2)))/(1-(AH$7)))-AH$6&lt;0,AI62,((AH62+AI62)/2))</f>
        <v>0.111548048226802</v>
      </c>
      <c r="AJ63" s="37" t="n">
        <f aca="false">IF((((AJ62+AK62)/2))*LN((((AJ62+AK62)/2))/(AJ$7))+(1-(((AJ62+AK62)/2)))*LN((1-(((AJ62+AK62)/2)))/(1-(AJ$7)))-AJ$6&lt;0,((AJ62+AK62)/2),AJ62)</f>
        <v>0.172949347713484</v>
      </c>
      <c r="AK63" s="37" t="n">
        <f aca="false">IF((((AJ62+AK62)/2))*LN((((AJ62+AK62)/2))/(AJ$7))+(1-(((AJ62+AK62)/2)))*LN((1-(((AJ62+AK62)/2)))/(1-(AJ$7)))-AJ$6&lt;0,AK62,((AJ62+AK62)/2))</f>
        <v>0.172949347713484</v>
      </c>
      <c r="AL63" s="37" t="n">
        <f aca="false">IF((((AL62+AM62)/2))*LN((((AL62+AM62)/2))/(AL$7))+(1-(((AL62+AM62)/2)))*LN((1-(((AL62+AM62)/2)))/(1-(AL$7)))-AL$6&lt;0,((AL62+AM62)/2),AL62)</f>
        <v>0.288519197341886</v>
      </c>
      <c r="AM63" s="37" t="n">
        <f aca="false">IF((((AL62+AM62)/2))*LN((((AL62+AM62)/2))/(AL$7))+(1-(((AL62+AM62)/2)))*LN((1-(((AL62+AM62)/2)))/(1-(AL$7)))-AL$6&lt;0,AM62,((AL62+AM62)/2))</f>
        <v>0.288519197341886</v>
      </c>
      <c r="AN63" s="37" t="n">
        <f aca="false">IF((((AN62+AO62)/2))*LN((((AN62+AO62)/2))/(AN$7))+(1-(((AN62+AO62)/2)))*LN((1-(((AN62+AO62)/2)))/(1-(AN$7)))-AN$6&lt;0,((AN62+AO62)/2),AN62)</f>
        <v>0.555514150436409</v>
      </c>
      <c r="AO63" s="37" t="n">
        <f aca="false">IF((((AN62+AO62)/2))*LN((((AN62+AO62)/2))/(AN$7))+(1-(((AN62+AO62)/2)))*LN((1-(((AN62+AO62)/2)))/(1-(AN$7)))-AN$6&lt;0,AO62,((AN62+AO62)/2))</f>
        <v>0.555514150436409</v>
      </c>
      <c r="AP63" s="37" t="n">
        <f aca="false">IF(AP$7*LN(AP$7)-AP$7*((AP62+AQ62)/2)+(1-AP$7)*LN(1-AP$7)-(1-AP$7)*LN(1-EXP(((AP62+AQ62)/2)))-AP$6&gt;0,((AP62+AQ62)/2),AP62)</f>
        <v>-3.68963394600533</v>
      </c>
      <c r="AQ63" s="37" t="n">
        <f aca="false">IF(AP$7*LN(AP$7)-AP$7*((AP62+AQ62)/2)+(1-AP$7)*LN(1-AP$7)-(1-AP$7)*LN(1-EXP(((AP62+AQ62)/2)))-AP$6&gt;0,AQ62,((AP62+AQ62)/2))</f>
        <v>-3.68963394600533</v>
      </c>
      <c r="AR63" s="37" t="n">
        <f aca="false">IF((((AR62+AS62)/2))*LN((((AR62+AS62)/2))/(AR$7))+(1-(((AR62+AS62)/2)))*LN((1-(((AR62+AS62)/2)))/(1-(AR$7)))-AR$6&lt;0,((AR62+AS62)/2),AR62)</f>
        <v>0.0836482674857246</v>
      </c>
      <c r="AS63" s="37" t="n">
        <f aca="false">IF((((AR62+AS62)/2))*LN((((AR62+AS62)/2))/(AR$7))+(1-(((AR62+AS62)/2)))*LN((1-(((AR62+AS62)/2)))/(1-(AR$7)))-AR$6&lt;0,AS62,((AR62+AS62)/2))</f>
        <v>0.0836482674857247</v>
      </c>
    </row>
    <row r="64" customFormat="false" ht="15" hidden="false" customHeight="false" outlineLevel="0" collapsed="false">
      <c r="B64" s="37" t="n">
        <f aca="false">IF(B$7*LN(B$7)-B$7*((B63+C63)/2)+(1-B$7)*LN(1-B$7)-(1-B$7)*LN(1-EXP(((B63+C63)/2)))-B$6&gt;0,((B63+C63)/2),B63)</f>
        <v>-12.7416806086579</v>
      </c>
      <c r="C64" s="37" t="n">
        <f aca="false">IF(B$7*LN(B$7)-B$7*((B63+C63)/2)+(1-B$7)*LN(1-B$7)-(1-B$7)*LN(1-EXP(((B63+C63)/2)))-B$6&gt;0,C63,((B63+C63)/2))</f>
        <v>-12.7416806086579</v>
      </c>
      <c r="D64" s="37" t="n">
        <f aca="false">IF(D$7*LN(D$7)-D$7*((D63+E63)/2)+(1-D$7)*LN(1-D$7)-(1-D$7)*LN(1-EXP(((D63+E63)/2)))-D$6&gt;0,((D63+E63)/2),D63)</f>
        <v>-16.0341341195425</v>
      </c>
      <c r="E64" s="37" t="n">
        <f aca="false">IF(D$7*LN(D$7)-D$7*((D63+E63)/2)+(1-D$7)*LN(1-D$7)-(1-D$7)*LN(1-EXP(((D63+E63)/2)))-D$6&gt;0,E63,((D63+E63)/2))</f>
        <v>-16.0341341195425</v>
      </c>
      <c r="F64" s="37" t="n">
        <f aca="false">IF(F$7*LN(F$7)-F$7*((F63+G63)/2)+(1-F$7)*LN(1-F$7)-(1-F$7)*LN(1-EXP(((F63+G63)/2)))-F$6&gt;0,((F63+G63)/2),F63)</f>
        <v>-24.805567532226</v>
      </c>
      <c r="G64" s="37" t="n">
        <f aca="false">IF(F$7*LN(F$7)-F$7*((F63+G63)/2)+(1-F$7)*LN(1-F$7)-(1-F$7)*LN(1-EXP(((F63+G63)/2)))-F$6&gt;0,G63,((F63+G63)/2))</f>
        <v>-24.805567532226</v>
      </c>
      <c r="H64" s="37" t="n">
        <f aca="false">IF(H$7*LN(H$7)-H$7*((H63+I63)/2)+(1-H$7)*LN(1-H$7)-(1-H$7)*LN(1-EXP(((H63+I63)/2)))-H$6&gt;0,((H63+I63)/2),H63)</f>
        <v>-3.19789114182587</v>
      </c>
      <c r="I64" s="37" t="n">
        <f aca="false">IF(H$7*LN(H$7)-H$7*((H63+I63)/2)+(1-H$7)*LN(1-H$7)-(1-H$7)*LN(1-EXP(((H63+I63)/2)))-H$6&gt;0,I63,((H63+I63)/2))</f>
        <v>-3.19789114182586</v>
      </c>
      <c r="J64" s="37" t="n">
        <f aca="false">IF(J$7*LN(J$7)-J$7*((J63+K63)/2)+(1-J$7)*LN(1-J$7)-(1-J$7)*LN(1-EXP(((J63+K63)/2)))-J$6&gt;0,((J63+K63)/2),J63)</f>
        <v>-3.28605085212553</v>
      </c>
      <c r="K64" s="37" t="n">
        <f aca="false">IF(J$7*LN(J$7)-J$7*((J63+K63)/2)+(1-J$7)*LN(1-J$7)-(1-J$7)*LN(1-EXP(((J63+K63)/2)))-J$6&gt;0,K63,((J63+K63)/2))</f>
        <v>-3.28605085212553</v>
      </c>
      <c r="L64" s="37" t="n">
        <f aca="false">IF(L$7*LN(L$7)-L$7*((L63+M63)/2)+(1-L$7)*LN(1-L$7)-(1-L$7)*LN(1-EXP(((L63+M63)/2)))-L$6&gt;0,((L63+M63)/2),L63)</f>
        <v>-3.46919733848086</v>
      </c>
      <c r="M64" s="37" t="n">
        <f aca="false">IF(L$7*LN(L$7)-L$7*((L63+M63)/2)+(1-L$7)*LN(1-L$7)-(1-L$7)*LN(1-EXP(((L63+M63)/2)))-L$6&gt;0,M63,((L63+M63)/2))</f>
        <v>-3.46919733848085</v>
      </c>
      <c r="N64" s="37" t="n">
        <f aca="false">IF(N$7*LN(N$7)-N$7*((N63+O63)/2)+(1-N$7)*LN(1-N$7)-(1-N$7)*LN(1-EXP(((N63+O63)/2)))-N$6&gt;0,((N63+O63)/2),N63)</f>
        <v>-3.68963394600533</v>
      </c>
      <c r="O64" s="37" t="n">
        <f aca="false">IF(N$7*LN(N$7)-N$7*((N63+O63)/2)+(1-N$7)*LN(1-N$7)-(1-N$7)*LN(1-EXP(((N63+O63)/2)))-N$6&gt;0,O63,((N63+O63)/2))</f>
        <v>-3.68963394600533</v>
      </c>
      <c r="P64" s="37" t="n">
        <f aca="false">IF(P$7*LN(P$7)-P$7*((P63+Q63)/2)+(1-P$7)*LN(1-P$7)-(1-P$7)*LN(1-EXP(((P63+Q63)/2)))-P$6&gt;0,((P63+Q63)/2),P63)</f>
        <v>-4.02932208427776</v>
      </c>
      <c r="Q64" s="37" t="n">
        <f aca="false">IF(P$7*LN(P$7)-P$7*((P63+Q63)/2)+(1-P$7)*LN(1-P$7)-(1-P$7)*LN(1-EXP(((P63+Q63)/2)))-P$6&gt;0,Q63,((P63+Q63)/2))</f>
        <v>-4.02932208427775</v>
      </c>
      <c r="R64" s="37" t="n">
        <f aca="false">IF(R$7*LN(R$7)-R$7*((R63+S63)/2)+(1-R$7)*LN(1-R$7)-(1-R$7)*LN(1-EXP(((R63+S63)/2)))-R$6&gt;0,((R63+S63)/2),R63)</f>
        <v>-4.3144987869035</v>
      </c>
      <c r="S64" s="37" t="n">
        <f aca="false">IF(R$7*LN(R$7)-R$7*((R63+S63)/2)+(1-R$7)*LN(1-R$7)-(1-R$7)*LN(1-EXP(((R63+S63)/2)))-R$6&gt;0,S63,((R63+S63)/2))</f>
        <v>-4.3144987869035</v>
      </c>
      <c r="T64" s="37" t="n">
        <f aca="false">IF(T$7*LN(T$7)-T$7*((T63+U63)/2)+(1-T$7)*LN(1-T$7)-(1-T$7)*LN(1-EXP(((T63+U63)/2)))-T$6&gt;0,((T63+U63)/2),T63)</f>
        <v>-4.81575742542861</v>
      </c>
      <c r="U64" s="37" t="n">
        <f aca="false">IF(T$7*LN(T$7)-T$7*((T63+U63)/2)+(1-T$7)*LN(1-T$7)-(1-T$7)*LN(1-EXP(((T63+U63)/2)))-T$6&gt;0,U63,((T63+U63)/2))</f>
        <v>-4.81575742542861</v>
      </c>
      <c r="V64" s="37" t="n">
        <f aca="false">IF(V$7*LN(V$7)-V$7*((V63+W63)/2)+(1-V$7)*LN(1-V$7)-(1-V$7)*LN(1-EXP(((V63+W63)/2)))-V$6&gt;0,((V63+W63)/2),V63)</f>
        <v>-5.38279983461339</v>
      </c>
      <c r="W64" s="37" t="n">
        <f aca="false">IF(V$7*LN(V$7)-V$7*((V63+W63)/2)+(1-V$7)*LN(1-V$7)-(1-V$7)*LN(1-EXP(((V63+W63)/2)))-V$6&gt;0,W63,((V63+W63)/2))</f>
        <v>-5.38279983461339</v>
      </c>
      <c r="X64" s="37" t="n">
        <f aca="false">IF(X$7*LN(X$7)-X$7*((X63+Y63)/2)+(1-X$7)*LN(1-X$7)-(1-X$7)*LN(1-EXP(((X63+Y63)/2)))-X$6&gt;0,((X63+Y63)/2),X63)</f>
        <v>-5.91917523349283</v>
      </c>
      <c r="Y64" s="37" t="n">
        <f aca="false">IF(X$7*LN(X$7)-X$7*((X63+Y63)/2)+(1-X$7)*LN(1-X$7)-(1-X$7)*LN(1-EXP(((X63+Y63)/2)))-X$6&gt;0,Y63,((X63+Y63)/2))</f>
        <v>-5.91917523349283</v>
      </c>
      <c r="Z64" s="37" t="n">
        <f aca="false">IF(Z$7*LN(Z$7)-Z$7*((Z63+AA63)/2)+(1-Z$7)*LN(1-Z$7)-(1-Z$7)*LN(1-EXP(((Z63+AA63)/2)))-Z$6&gt;0,((Z63+AA63)/2),Z63)</f>
        <v>-6.95212068545721</v>
      </c>
      <c r="AA64" s="37" t="n">
        <f aca="false">IF(Z$7*LN(Z$7)-Z$7*((Z63+AA63)/2)+(1-Z$7)*LN(1-Z$7)-(1-Z$7)*LN(1-EXP(((Z63+AA63)/2)))-Z$6&gt;0,AA63,((Z63+AA63)/2))</f>
        <v>-6.95212068545721</v>
      </c>
      <c r="AB64" s="37" t="n">
        <f aca="false">IF((((AB63+AC63)/2))*LN((((AB63+AC63)/2))/(AB$7))+(1-(((AB63+AC63)/2)))*LN((1-(((AB63+AC63)/2)))/(1-(AB$7)))-AB$6&lt;0,((AB63+AC63)/2),AB63)</f>
        <v>0.0600408213770422</v>
      </c>
      <c r="AC64" s="37" t="n">
        <f aca="false">IF((((AB63+AC63)/2))*LN((((AB63+AC63)/2))/(AB$7))+(1-(((AB63+AC63)/2)))*LN((1-(((AB63+AC63)/2)))/(1-(AB$7)))-AB$6&lt;0,AC63,((AB63+AC63)/2))</f>
        <v>0.0600408213770422</v>
      </c>
      <c r="AD64" s="37" t="n">
        <f aca="false">IF((((AD63+AE63)/2))*LN((((AD63+AE63)/2))/(AD$7))+(1-(((AD63+AE63)/2)))*LN((1-(((AD63+AE63)/2)))/(1-(AD$7)))-AD$6&lt;0,((AD63+AE63)/2),AD63)</f>
        <v>0.0677518178859637</v>
      </c>
      <c r="AE64" s="37" t="n">
        <f aca="false">IF((((AD63+AE63)/2))*LN((((AD63+AE63)/2))/(AD$7))+(1-(((AD63+AE63)/2)))*LN((1-(((AD63+AE63)/2)))/(1-(AD$7)))-AD$6&lt;0,AE63,((AD63+AE63)/2))</f>
        <v>0.0677518178859637</v>
      </c>
      <c r="AF64" s="37" t="n">
        <f aca="false">IF((((AF63+AG63)/2))*LN((((AF63+AG63)/2))/(AF$7))+(1-(((AF63+AG63)/2)))*LN((1-(((AF63+AG63)/2)))/(1-(AF$7)))-AF$6&lt;0,((AF63+AG63)/2),AF63)</f>
        <v>0.0836482674857246</v>
      </c>
      <c r="AG64" s="37" t="n">
        <f aca="false">IF((((AF63+AG63)/2))*LN((((AF63+AG63)/2))/(AF$7))+(1-(((AF63+AG63)/2)))*LN((1-(((AF63+AG63)/2)))/(1-(AF$7)))-AF$6&lt;0,AG63,((AF63+AG63)/2))</f>
        <v>0.0836482674857247</v>
      </c>
      <c r="AH64" s="37" t="n">
        <f aca="false">IF((((AH63+AI63)/2))*LN((((AH63+AI63)/2))/(AH$7))+(1-(((AH63+AI63)/2)))*LN((1-(((AH63+AI63)/2)))/(1-(AH$7)))-AH$6&lt;0,((AH63+AI63)/2),AH63)</f>
        <v>0.111548048226802</v>
      </c>
      <c r="AI64" s="37" t="n">
        <f aca="false">IF((((AH63+AI63)/2))*LN((((AH63+AI63)/2))/(AH$7))+(1-(((AH63+AI63)/2)))*LN((1-(((AH63+AI63)/2)))/(1-(AH$7)))-AH$6&lt;0,AI63,((AH63+AI63)/2))</f>
        <v>0.111548048226802</v>
      </c>
      <c r="AJ64" s="37" t="n">
        <f aca="false">IF((((AJ63+AK63)/2))*LN((((AJ63+AK63)/2))/(AJ$7))+(1-(((AJ63+AK63)/2)))*LN((1-(((AJ63+AK63)/2)))/(1-(AJ$7)))-AJ$6&lt;0,((AJ63+AK63)/2),AJ63)</f>
        <v>0.172949347713484</v>
      </c>
      <c r="AK64" s="37" t="n">
        <f aca="false">IF((((AJ63+AK63)/2))*LN((((AJ63+AK63)/2))/(AJ$7))+(1-(((AJ63+AK63)/2)))*LN((1-(((AJ63+AK63)/2)))/(1-(AJ$7)))-AJ$6&lt;0,AK63,((AJ63+AK63)/2))</f>
        <v>0.172949347713484</v>
      </c>
      <c r="AL64" s="37" t="n">
        <f aca="false">IF((((AL63+AM63)/2))*LN((((AL63+AM63)/2))/(AL$7))+(1-(((AL63+AM63)/2)))*LN((1-(((AL63+AM63)/2)))/(1-(AL$7)))-AL$6&lt;0,((AL63+AM63)/2),AL63)</f>
        <v>0.288519197341886</v>
      </c>
      <c r="AM64" s="37" t="n">
        <f aca="false">IF((((AL63+AM63)/2))*LN((((AL63+AM63)/2))/(AL$7))+(1-(((AL63+AM63)/2)))*LN((1-(((AL63+AM63)/2)))/(1-(AL$7)))-AL$6&lt;0,AM63,((AL63+AM63)/2))</f>
        <v>0.288519197341886</v>
      </c>
      <c r="AN64" s="37" t="n">
        <f aca="false">IF((((AN63+AO63)/2))*LN((((AN63+AO63)/2))/(AN$7))+(1-(((AN63+AO63)/2)))*LN((1-(((AN63+AO63)/2)))/(1-(AN$7)))-AN$6&lt;0,((AN63+AO63)/2),AN63)</f>
        <v>0.555514150436409</v>
      </c>
      <c r="AO64" s="37" t="n">
        <f aca="false">IF((((AN63+AO63)/2))*LN((((AN63+AO63)/2))/(AN$7))+(1-(((AN63+AO63)/2)))*LN((1-(((AN63+AO63)/2)))/(1-(AN$7)))-AN$6&lt;0,AO63,((AN63+AO63)/2))</f>
        <v>0.555514150436409</v>
      </c>
      <c r="AP64" s="37" t="n">
        <f aca="false">IF(AP$7*LN(AP$7)-AP$7*((AP63+AQ63)/2)+(1-AP$7)*LN(1-AP$7)-(1-AP$7)*LN(1-EXP(((AP63+AQ63)/2)))-AP$6&gt;0,((AP63+AQ63)/2),AP63)</f>
        <v>-3.68963394600533</v>
      </c>
      <c r="AQ64" s="37" t="n">
        <f aca="false">IF(AP$7*LN(AP$7)-AP$7*((AP63+AQ63)/2)+(1-AP$7)*LN(1-AP$7)-(1-AP$7)*LN(1-EXP(((AP63+AQ63)/2)))-AP$6&gt;0,AQ63,((AP63+AQ63)/2))</f>
        <v>-3.68963394600533</v>
      </c>
      <c r="AR64" s="37" t="n">
        <f aca="false">IF((((AR63+AS63)/2))*LN((((AR63+AS63)/2))/(AR$7))+(1-(((AR63+AS63)/2)))*LN((1-(((AR63+AS63)/2)))/(1-(AR$7)))-AR$6&lt;0,((AR63+AS63)/2),AR63)</f>
        <v>0.0836482674857246</v>
      </c>
      <c r="AS64" s="37" t="n">
        <f aca="false">IF((((AR63+AS63)/2))*LN((((AR63+AS63)/2))/(AR$7))+(1-(((AR63+AS63)/2)))*LN((1-(((AR63+AS63)/2)))/(1-(AR$7)))-AR$6&lt;0,AS63,((AR63+AS63)/2))</f>
        <v>0.0836482674857247</v>
      </c>
    </row>
    <row r="65" customFormat="false" ht="15" hidden="false" customHeight="false" outlineLevel="0" collapsed="false">
      <c r="B65" s="37" t="n">
        <f aca="false">IF(B$7*LN(B$7)-B$7*((B64+C64)/2)+(1-B$7)*LN(1-B$7)-(1-B$7)*LN(1-EXP(((B64+C64)/2)))-B$6&gt;0,((B64+C64)/2),B64)</f>
        <v>-12.7416806086579</v>
      </c>
      <c r="C65" s="37" t="n">
        <f aca="false">IF(B$7*LN(B$7)-B$7*((B64+C64)/2)+(1-B$7)*LN(1-B$7)-(1-B$7)*LN(1-EXP(((B64+C64)/2)))-B$6&gt;0,C64,((B64+C64)/2))</f>
        <v>-12.7416806086579</v>
      </c>
      <c r="D65" s="37" t="n">
        <f aca="false">IF(D$7*LN(D$7)-D$7*((D64+E64)/2)+(1-D$7)*LN(1-D$7)-(1-D$7)*LN(1-EXP(((D64+E64)/2)))-D$6&gt;0,((D64+E64)/2),D64)</f>
        <v>-16.0341341195425</v>
      </c>
      <c r="E65" s="37" t="n">
        <f aca="false">IF(D$7*LN(D$7)-D$7*((D64+E64)/2)+(1-D$7)*LN(1-D$7)-(1-D$7)*LN(1-EXP(((D64+E64)/2)))-D$6&gt;0,E64,((D64+E64)/2))</f>
        <v>-16.0341341195425</v>
      </c>
      <c r="F65" s="37" t="n">
        <f aca="false">IF(F$7*LN(F$7)-F$7*((F64+G64)/2)+(1-F$7)*LN(1-F$7)-(1-F$7)*LN(1-EXP(((F64+G64)/2)))-F$6&gt;0,((F64+G64)/2),F64)</f>
        <v>-24.805567532226</v>
      </c>
      <c r="G65" s="37" t="n">
        <f aca="false">IF(F$7*LN(F$7)-F$7*((F64+G64)/2)+(1-F$7)*LN(1-F$7)-(1-F$7)*LN(1-EXP(((F64+G64)/2)))-F$6&gt;0,G64,((F64+G64)/2))</f>
        <v>-24.805567532226</v>
      </c>
      <c r="H65" s="37" t="n">
        <f aca="false">IF(H$7*LN(H$7)-H$7*((H64+I64)/2)+(1-H$7)*LN(1-H$7)-(1-H$7)*LN(1-EXP(((H64+I64)/2)))-H$6&gt;0,((H64+I64)/2),H64)</f>
        <v>-3.19789114182586</v>
      </c>
      <c r="I65" s="37" t="n">
        <f aca="false">IF(H$7*LN(H$7)-H$7*((H64+I64)/2)+(1-H$7)*LN(1-H$7)-(1-H$7)*LN(1-EXP(((H64+I64)/2)))-H$6&gt;0,I64,((H64+I64)/2))</f>
        <v>-3.19789114182586</v>
      </c>
      <c r="J65" s="37" t="n">
        <f aca="false">IF(J$7*LN(J$7)-J$7*((J64+K64)/2)+(1-J$7)*LN(1-J$7)-(1-J$7)*LN(1-EXP(((J64+K64)/2)))-J$6&gt;0,((J64+K64)/2),J64)</f>
        <v>-3.28605085212553</v>
      </c>
      <c r="K65" s="37" t="n">
        <f aca="false">IF(J$7*LN(J$7)-J$7*((J64+K64)/2)+(1-J$7)*LN(1-J$7)-(1-J$7)*LN(1-EXP(((J64+K64)/2)))-J$6&gt;0,K64,((J64+K64)/2))</f>
        <v>-3.28605085212553</v>
      </c>
      <c r="L65" s="37" t="n">
        <f aca="false">IF(L$7*LN(L$7)-L$7*((L64+M64)/2)+(1-L$7)*LN(1-L$7)-(1-L$7)*LN(1-EXP(((L64+M64)/2)))-L$6&gt;0,((L64+M64)/2),L64)</f>
        <v>-3.46919733848086</v>
      </c>
      <c r="M65" s="37" t="n">
        <f aca="false">IF(L$7*LN(L$7)-L$7*((L64+M64)/2)+(1-L$7)*LN(1-L$7)-(1-L$7)*LN(1-EXP(((L64+M64)/2)))-L$6&gt;0,M64,((L64+M64)/2))</f>
        <v>-3.46919733848085</v>
      </c>
      <c r="N65" s="37" t="n">
        <f aca="false">IF(N$7*LN(N$7)-N$7*((N64+O64)/2)+(1-N$7)*LN(1-N$7)-(1-N$7)*LN(1-EXP(((N64+O64)/2)))-N$6&gt;0,((N64+O64)/2),N64)</f>
        <v>-3.68963394600533</v>
      </c>
      <c r="O65" s="37" t="n">
        <f aca="false">IF(N$7*LN(N$7)-N$7*((N64+O64)/2)+(1-N$7)*LN(1-N$7)-(1-N$7)*LN(1-EXP(((N64+O64)/2)))-N$6&gt;0,O64,((N64+O64)/2))</f>
        <v>-3.68963394600533</v>
      </c>
      <c r="P65" s="37" t="n">
        <f aca="false">IF(P$7*LN(P$7)-P$7*((P64+Q64)/2)+(1-P$7)*LN(1-P$7)-(1-P$7)*LN(1-EXP(((P64+Q64)/2)))-P$6&gt;0,((P64+Q64)/2),P64)</f>
        <v>-4.02932208427775</v>
      </c>
      <c r="Q65" s="37" t="n">
        <f aca="false">IF(P$7*LN(P$7)-P$7*((P64+Q64)/2)+(1-P$7)*LN(1-P$7)-(1-P$7)*LN(1-EXP(((P64+Q64)/2)))-P$6&gt;0,Q64,((P64+Q64)/2))</f>
        <v>-4.02932208427775</v>
      </c>
      <c r="R65" s="37" t="n">
        <f aca="false">IF(R$7*LN(R$7)-R$7*((R64+S64)/2)+(1-R$7)*LN(1-R$7)-(1-R$7)*LN(1-EXP(((R64+S64)/2)))-R$6&gt;0,((R64+S64)/2),R64)</f>
        <v>-4.3144987869035</v>
      </c>
      <c r="S65" s="37" t="n">
        <f aca="false">IF(R$7*LN(R$7)-R$7*((R64+S64)/2)+(1-R$7)*LN(1-R$7)-(1-R$7)*LN(1-EXP(((R64+S64)/2)))-R$6&gt;0,S64,((R64+S64)/2))</f>
        <v>-4.3144987869035</v>
      </c>
      <c r="T65" s="37" t="n">
        <f aca="false">IF(T$7*LN(T$7)-T$7*((T64+U64)/2)+(1-T$7)*LN(1-T$7)-(1-T$7)*LN(1-EXP(((T64+U64)/2)))-T$6&gt;0,((T64+U64)/2),T64)</f>
        <v>-4.81575742542861</v>
      </c>
      <c r="U65" s="37" t="n">
        <f aca="false">IF(T$7*LN(T$7)-T$7*((T64+U64)/2)+(1-T$7)*LN(1-T$7)-(1-T$7)*LN(1-EXP(((T64+U64)/2)))-T$6&gt;0,U64,((T64+U64)/2))</f>
        <v>-4.81575742542861</v>
      </c>
      <c r="V65" s="37" t="n">
        <f aca="false">IF(V$7*LN(V$7)-V$7*((V64+W64)/2)+(1-V$7)*LN(1-V$7)-(1-V$7)*LN(1-EXP(((V64+W64)/2)))-V$6&gt;0,((V64+W64)/2),V64)</f>
        <v>-5.38279983461339</v>
      </c>
      <c r="W65" s="37" t="n">
        <f aca="false">IF(V$7*LN(V$7)-V$7*((V64+W64)/2)+(1-V$7)*LN(1-V$7)-(1-V$7)*LN(1-EXP(((V64+W64)/2)))-V$6&gt;0,W64,((V64+W64)/2))</f>
        <v>-5.38279983461339</v>
      </c>
      <c r="X65" s="37" t="n">
        <f aca="false">IF(X$7*LN(X$7)-X$7*((X64+Y64)/2)+(1-X$7)*LN(1-X$7)-(1-X$7)*LN(1-EXP(((X64+Y64)/2)))-X$6&gt;0,((X64+Y64)/2),X64)</f>
        <v>-5.91917523349283</v>
      </c>
      <c r="Y65" s="37" t="n">
        <f aca="false">IF(X$7*LN(X$7)-X$7*((X64+Y64)/2)+(1-X$7)*LN(1-X$7)-(1-X$7)*LN(1-EXP(((X64+Y64)/2)))-X$6&gt;0,Y64,((X64+Y64)/2))</f>
        <v>-5.91917523349283</v>
      </c>
      <c r="Z65" s="37" t="n">
        <f aca="false">IF(Z$7*LN(Z$7)-Z$7*((Z64+AA64)/2)+(1-Z$7)*LN(1-Z$7)-(1-Z$7)*LN(1-EXP(((Z64+AA64)/2)))-Z$6&gt;0,((Z64+AA64)/2),Z64)</f>
        <v>-6.95212068545721</v>
      </c>
      <c r="AA65" s="37" t="n">
        <f aca="false">IF(Z$7*LN(Z$7)-Z$7*((Z64+AA64)/2)+(1-Z$7)*LN(1-Z$7)-(1-Z$7)*LN(1-EXP(((Z64+AA64)/2)))-Z$6&gt;0,AA64,((Z64+AA64)/2))</f>
        <v>-6.95212068545721</v>
      </c>
      <c r="AB65" s="37" t="n">
        <f aca="false">IF((((AB64+AC64)/2))*LN((((AB64+AC64)/2))/(AB$7))+(1-(((AB64+AC64)/2)))*LN((1-(((AB64+AC64)/2)))/(1-(AB$7)))-AB$6&lt;0,((AB64+AC64)/2),AB64)</f>
        <v>0.0600408213770422</v>
      </c>
      <c r="AC65" s="37" t="n">
        <f aca="false">IF((((AB64+AC64)/2))*LN((((AB64+AC64)/2))/(AB$7))+(1-(((AB64+AC64)/2)))*LN((1-(((AB64+AC64)/2)))/(1-(AB$7)))-AB$6&lt;0,AC64,((AB64+AC64)/2))</f>
        <v>0.0600408213770422</v>
      </c>
      <c r="AD65" s="37" t="n">
        <f aca="false">IF((((AD64+AE64)/2))*LN((((AD64+AE64)/2))/(AD$7))+(1-(((AD64+AE64)/2)))*LN((1-(((AD64+AE64)/2)))/(1-(AD$7)))-AD$6&lt;0,((AD64+AE64)/2),AD64)</f>
        <v>0.0677518178859637</v>
      </c>
      <c r="AE65" s="37" t="n">
        <f aca="false">IF((((AD64+AE64)/2))*LN((((AD64+AE64)/2))/(AD$7))+(1-(((AD64+AE64)/2)))*LN((1-(((AD64+AE64)/2)))/(1-(AD$7)))-AD$6&lt;0,AE64,((AD64+AE64)/2))</f>
        <v>0.0677518178859637</v>
      </c>
      <c r="AF65" s="37" t="n">
        <f aca="false">IF((((AF64+AG64)/2))*LN((((AF64+AG64)/2))/(AF$7))+(1-(((AF64+AG64)/2)))*LN((1-(((AF64+AG64)/2)))/(1-(AF$7)))-AF$6&lt;0,((AF64+AG64)/2),AF64)</f>
        <v>0.0836482674857246</v>
      </c>
      <c r="AG65" s="37" t="n">
        <f aca="false">IF((((AF64+AG64)/2))*LN((((AF64+AG64)/2))/(AF$7))+(1-(((AF64+AG64)/2)))*LN((1-(((AF64+AG64)/2)))/(1-(AF$7)))-AF$6&lt;0,AG64,((AF64+AG64)/2))</f>
        <v>0.0836482674857246</v>
      </c>
      <c r="AH65" s="37" t="n">
        <f aca="false">IF((((AH64+AI64)/2))*LN((((AH64+AI64)/2))/(AH$7))+(1-(((AH64+AI64)/2)))*LN((1-(((AH64+AI64)/2)))/(1-(AH$7)))-AH$6&lt;0,((AH64+AI64)/2),AH64)</f>
        <v>0.111548048226802</v>
      </c>
      <c r="AI65" s="37" t="n">
        <f aca="false">IF((((AH64+AI64)/2))*LN((((AH64+AI64)/2))/(AH$7))+(1-(((AH64+AI64)/2)))*LN((1-(((AH64+AI64)/2)))/(1-(AH$7)))-AH$6&lt;0,AI64,((AH64+AI64)/2))</f>
        <v>0.111548048226802</v>
      </c>
      <c r="AJ65" s="37" t="n">
        <f aca="false">IF((((AJ64+AK64)/2))*LN((((AJ64+AK64)/2))/(AJ$7))+(1-(((AJ64+AK64)/2)))*LN((1-(((AJ64+AK64)/2)))/(1-(AJ$7)))-AJ$6&lt;0,((AJ64+AK64)/2),AJ64)</f>
        <v>0.172949347713484</v>
      </c>
      <c r="AK65" s="37" t="n">
        <f aca="false">IF((((AJ64+AK64)/2))*LN((((AJ64+AK64)/2))/(AJ$7))+(1-(((AJ64+AK64)/2)))*LN((1-(((AJ64+AK64)/2)))/(1-(AJ$7)))-AJ$6&lt;0,AK64,((AJ64+AK64)/2))</f>
        <v>0.172949347713484</v>
      </c>
      <c r="AL65" s="37" t="n">
        <f aca="false">IF((((AL64+AM64)/2))*LN((((AL64+AM64)/2))/(AL$7))+(1-(((AL64+AM64)/2)))*LN((1-(((AL64+AM64)/2)))/(1-(AL$7)))-AL$6&lt;0,((AL64+AM64)/2),AL64)</f>
        <v>0.288519197341886</v>
      </c>
      <c r="AM65" s="37" t="n">
        <f aca="false">IF((((AL64+AM64)/2))*LN((((AL64+AM64)/2))/(AL$7))+(1-(((AL64+AM64)/2)))*LN((1-(((AL64+AM64)/2)))/(1-(AL$7)))-AL$6&lt;0,AM64,((AL64+AM64)/2))</f>
        <v>0.288519197341886</v>
      </c>
      <c r="AN65" s="37" t="n">
        <f aca="false">IF((((AN64+AO64)/2))*LN((((AN64+AO64)/2))/(AN$7))+(1-(((AN64+AO64)/2)))*LN((1-(((AN64+AO64)/2)))/(1-(AN$7)))-AN$6&lt;0,((AN64+AO64)/2),AN64)</f>
        <v>0.555514150436409</v>
      </c>
      <c r="AO65" s="37" t="n">
        <f aca="false">IF((((AN64+AO64)/2))*LN((((AN64+AO64)/2))/(AN$7))+(1-(((AN64+AO64)/2)))*LN((1-(((AN64+AO64)/2)))/(1-(AN$7)))-AN$6&lt;0,AO64,((AN64+AO64)/2))</f>
        <v>0.555514150436409</v>
      </c>
      <c r="AP65" s="37" t="n">
        <f aca="false">IF(AP$7*LN(AP$7)-AP$7*((AP64+AQ64)/2)+(1-AP$7)*LN(1-AP$7)-(1-AP$7)*LN(1-EXP(((AP64+AQ64)/2)))-AP$6&gt;0,((AP64+AQ64)/2),AP64)</f>
        <v>-3.68963394600533</v>
      </c>
      <c r="AQ65" s="37" t="n">
        <f aca="false">IF(AP$7*LN(AP$7)-AP$7*((AP64+AQ64)/2)+(1-AP$7)*LN(1-AP$7)-(1-AP$7)*LN(1-EXP(((AP64+AQ64)/2)))-AP$6&gt;0,AQ64,((AP64+AQ64)/2))</f>
        <v>-3.68963394600533</v>
      </c>
      <c r="AR65" s="37" t="n">
        <f aca="false">IF((((AR64+AS64)/2))*LN((((AR64+AS64)/2))/(AR$7))+(1-(((AR64+AS64)/2)))*LN((1-(((AR64+AS64)/2)))/(1-(AR$7)))-AR$6&lt;0,((AR64+AS64)/2),AR64)</f>
        <v>0.0836482674857246</v>
      </c>
      <c r="AS65" s="37" t="n">
        <f aca="false">IF((((AR64+AS64)/2))*LN((((AR64+AS64)/2))/(AR$7))+(1-(((AR64+AS64)/2)))*LN((1-(((AR64+AS64)/2)))/(1-(AR$7)))-AR$6&lt;0,AS64,((AR64+AS64)/2))</f>
        <v>0.0836482674857246</v>
      </c>
    </row>
    <row r="66" customFormat="false" ht="15" hidden="false" customHeight="false" outlineLevel="0" collapsed="false">
      <c r="B66" s="37" t="n">
        <f aca="false">IF(B$7*LN(B$7)-B$7*((B65+C65)/2)+(1-B$7)*LN(1-B$7)-(1-B$7)*LN(1-EXP(((B65+C65)/2)))-B$6&gt;0,((B65+C65)/2),B65)</f>
        <v>-12.7416806086579</v>
      </c>
      <c r="C66" s="37" t="n">
        <f aca="false">IF(B$7*LN(B$7)-B$7*((B65+C65)/2)+(1-B$7)*LN(1-B$7)-(1-B$7)*LN(1-EXP(((B65+C65)/2)))-B$6&gt;0,C65,((B65+C65)/2))</f>
        <v>-12.7416806086579</v>
      </c>
      <c r="D66" s="37" t="n">
        <f aca="false">IF(D$7*LN(D$7)-D$7*((D65+E65)/2)+(1-D$7)*LN(1-D$7)-(1-D$7)*LN(1-EXP(((D65+E65)/2)))-D$6&gt;0,((D65+E65)/2),D65)</f>
        <v>-16.0341341195425</v>
      </c>
      <c r="E66" s="37" t="n">
        <f aca="false">IF(D$7*LN(D$7)-D$7*((D65+E65)/2)+(1-D$7)*LN(1-D$7)-(1-D$7)*LN(1-EXP(((D65+E65)/2)))-D$6&gt;0,E65,((D65+E65)/2))</f>
        <v>-16.0341341195425</v>
      </c>
      <c r="F66" s="37" t="n">
        <f aca="false">IF(F$7*LN(F$7)-F$7*((F65+G65)/2)+(1-F$7)*LN(1-F$7)-(1-F$7)*LN(1-EXP(((F65+G65)/2)))-F$6&gt;0,((F65+G65)/2),F65)</f>
        <v>-24.805567532226</v>
      </c>
      <c r="G66" s="37" t="n">
        <f aca="false">IF(F$7*LN(F$7)-F$7*((F65+G65)/2)+(1-F$7)*LN(1-F$7)-(1-F$7)*LN(1-EXP(((F65+G65)/2)))-F$6&gt;0,G65,((F65+G65)/2))</f>
        <v>-24.805567532226</v>
      </c>
      <c r="H66" s="37" t="n">
        <f aca="false">IF(H$7*LN(H$7)-H$7*((H65+I65)/2)+(1-H$7)*LN(1-H$7)-(1-H$7)*LN(1-EXP(((H65+I65)/2)))-H$6&gt;0,((H65+I65)/2),H65)</f>
        <v>-3.19789114182586</v>
      </c>
      <c r="I66" s="37" t="n">
        <f aca="false">IF(H$7*LN(H$7)-H$7*((H65+I65)/2)+(1-H$7)*LN(1-H$7)-(1-H$7)*LN(1-EXP(((H65+I65)/2)))-H$6&gt;0,I65,((H65+I65)/2))</f>
        <v>-3.19789114182586</v>
      </c>
      <c r="J66" s="37" t="n">
        <f aca="false">IF(J$7*LN(J$7)-J$7*((J65+K65)/2)+(1-J$7)*LN(1-J$7)-(1-J$7)*LN(1-EXP(((J65+K65)/2)))-J$6&gt;0,((J65+K65)/2),J65)</f>
        <v>-3.28605085212553</v>
      </c>
      <c r="K66" s="37" t="n">
        <f aca="false">IF(J$7*LN(J$7)-J$7*((J65+K65)/2)+(1-J$7)*LN(1-J$7)-(1-J$7)*LN(1-EXP(((J65+K65)/2)))-J$6&gt;0,K65,((J65+K65)/2))</f>
        <v>-3.28605085212553</v>
      </c>
      <c r="L66" s="37" t="n">
        <f aca="false">IF(L$7*LN(L$7)-L$7*((L65+M65)/2)+(1-L$7)*LN(1-L$7)-(1-L$7)*LN(1-EXP(((L65+M65)/2)))-L$6&gt;0,((L65+M65)/2),L65)</f>
        <v>-3.46919733848085</v>
      </c>
      <c r="M66" s="37" t="n">
        <f aca="false">IF(L$7*LN(L$7)-L$7*((L65+M65)/2)+(1-L$7)*LN(1-L$7)-(1-L$7)*LN(1-EXP(((L65+M65)/2)))-L$6&gt;0,M65,((L65+M65)/2))</f>
        <v>-3.46919733848085</v>
      </c>
      <c r="N66" s="37" t="n">
        <f aca="false">IF(N$7*LN(N$7)-N$7*((N65+O65)/2)+(1-N$7)*LN(1-N$7)-(1-N$7)*LN(1-EXP(((N65+O65)/2)))-N$6&gt;0,((N65+O65)/2),N65)</f>
        <v>-3.68963394600533</v>
      </c>
      <c r="O66" s="37" t="n">
        <f aca="false">IF(N$7*LN(N$7)-N$7*((N65+O65)/2)+(1-N$7)*LN(1-N$7)-(1-N$7)*LN(1-EXP(((N65+O65)/2)))-N$6&gt;0,O65,((N65+O65)/2))</f>
        <v>-3.68963394600533</v>
      </c>
      <c r="P66" s="37" t="n">
        <f aca="false">IF(P$7*LN(P$7)-P$7*((P65+Q65)/2)+(1-P$7)*LN(1-P$7)-(1-P$7)*LN(1-EXP(((P65+Q65)/2)))-P$6&gt;0,((P65+Q65)/2),P65)</f>
        <v>-4.02932208427775</v>
      </c>
      <c r="Q66" s="37" t="n">
        <f aca="false">IF(P$7*LN(P$7)-P$7*((P65+Q65)/2)+(1-P$7)*LN(1-P$7)-(1-P$7)*LN(1-EXP(((P65+Q65)/2)))-P$6&gt;0,Q65,((P65+Q65)/2))</f>
        <v>-4.02932208427775</v>
      </c>
      <c r="R66" s="37" t="n">
        <f aca="false">IF(R$7*LN(R$7)-R$7*((R65+S65)/2)+(1-R$7)*LN(1-R$7)-(1-R$7)*LN(1-EXP(((R65+S65)/2)))-R$6&gt;0,((R65+S65)/2),R65)</f>
        <v>-4.3144987869035</v>
      </c>
      <c r="S66" s="37" t="n">
        <f aca="false">IF(R$7*LN(R$7)-R$7*((R65+S65)/2)+(1-R$7)*LN(1-R$7)-(1-R$7)*LN(1-EXP(((R65+S65)/2)))-R$6&gt;0,S65,((R65+S65)/2))</f>
        <v>-4.3144987869035</v>
      </c>
      <c r="T66" s="37" t="n">
        <f aca="false">IF(T$7*LN(T$7)-T$7*((T65+U65)/2)+(1-T$7)*LN(1-T$7)-(1-T$7)*LN(1-EXP(((T65+U65)/2)))-T$6&gt;0,((T65+U65)/2),T65)</f>
        <v>-4.81575742542861</v>
      </c>
      <c r="U66" s="37" t="n">
        <f aca="false">IF(T$7*LN(T$7)-T$7*((T65+U65)/2)+(1-T$7)*LN(1-T$7)-(1-T$7)*LN(1-EXP(((T65+U65)/2)))-T$6&gt;0,U65,((T65+U65)/2))</f>
        <v>-4.81575742542861</v>
      </c>
      <c r="V66" s="37" t="n">
        <f aca="false">IF(V$7*LN(V$7)-V$7*((V65+W65)/2)+(1-V$7)*LN(1-V$7)-(1-V$7)*LN(1-EXP(((V65+W65)/2)))-V$6&gt;0,((V65+W65)/2),V65)</f>
        <v>-5.38279983461339</v>
      </c>
      <c r="W66" s="37" t="n">
        <f aca="false">IF(V$7*LN(V$7)-V$7*((V65+W65)/2)+(1-V$7)*LN(1-V$7)-(1-V$7)*LN(1-EXP(((V65+W65)/2)))-V$6&gt;0,W65,((V65+W65)/2))</f>
        <v>-5.38279983461339</v>
      </c>
      <c r="X66" s="37" t="n">
        <f aca="false">IF(X$7*LN(X$7)-X$7*((X65+Y65)/2)+(1-X$7)*LN(1-X$7)-(1-X$7)*LN(1-EXP(((X65+Y65)/2)))-X$6&gt;0,((X65+Y65)/2),X65)</f>
        <v>-5.91917523349283</v>
      </c>
      <c r="Y66" s="37" t="n">
        <f aca="false">IF(X$7*LN(X$7)-X$7*((X65+Y65)/2)+(1-X$7)*LN(1-X$7)-(1-X$7)*LN(1-EXP(((X65+Y65)/2)))-X$6&gt;0,Y65,((X65+Y65)/2))</f>
        <v>-5.91917523349283</v>
      </c>
      <c r="Z66" s="37" t="n">
        <f aca="false">IF(Z$7*LN(Z$7)-Z$7*((Z65+AA65)/2)+(1-Z$7)*LN(1-Z$7)-(1-Z$7)*LN(1-EXP(((Z65+AA65)/2)))-Z$6&gt;0,((Z65+AA65)/2),Z65)</f>
        <v>-6.95212068545721</v>
      </c>
      <c r="AA66" s="37" t="n">
        <f aca="false">IF(Z$7*LN(Z$7)-Z$7*((Z65+AA65)/2)+(1-Z$7)*LN(1-Z$7)-(1-Z$7)*LN(1-EXP(((Z65+AA65)/2)))-Z$6&gt;0,AA65,((Z65+AA65)/2))</f>
        <v>-6.95212068545721</v>
      </c>
      <c r="AB66" s="37" t="n">
        <f aca="false">IF((((AB65+AC65)/2))*LN((((AB65+AC65)/2))/(AB$7))+(1-(((AB65+AC65)/2)))*LN((1-(((AB65+AC65)/2)))/(1-(AB$7)))-AB$6&lt;0,((AB65+AC65)/2),AB65)</f>
        <v>0.0600408213770422</v>
      </c>
      <c r="AC66" s="37" t="n">
        <f aca="false">IF((((AB65+AC65)/2))*LN((((AB65+AC65)/2))/(AB$7))+(1-(((AB65+AC65)/2)))*LN((1-(((AB65+AC65)/2)))/(1-(AB$7)))-AB$6&lt;0,AC65,((AB65+AC65)/2))</f>
        <v>0.0600408213770422</v>
      </c>
      <c r="AD66" s="37" t="n">
        <f aca="false">IF((((AD65+AE65)/2))*LN((((AD65+AE65)/2))/(AD$7))+(1-(((AD65+AE65)/2)))*LN((1-(((AD65+AE65)/2)))/(1-(AD$7)))-AD$6&lt;0,((AD65+AE65)/2),AD65)</f>
        <v>0.0677518178859637</v>
      </c>
      <c r="AE66" s="37" t="n">
        <f aca="false">IF((((AD65+AE65)/2))*LN((((AD65+AE65)/2))/(AD$7))+(1-(((AD65+AE65)/2)))*LN((1-(((AD65+AE65)/2)))/(1-(AD$7)))-AD$6&lt;0,AE65,((AD65+AE65)/2))</f>
        <v>0.0677518178859637</v>
      </c>
      <c r="AF66" s="37" t="n">
        <f aca="false">IF((((AF65+AG65)/2))*LN((((AF65+AG65)/2))/(AF$7))+(1-(((AF65+AG65)/2)))*LN((1-(((AF65+AG65)/2)))/(1-(AF$7)))-AF$6&lt;0,((AF65+AG65)/2),AF65)</f>
        <v>0.0836482674857246</v>
      </c>
      <c r="AG66" s="37" t="n">
        <f aca="false">IF((((AF65+AG65)/2))*LN((((AF65+AG65)/2))/(AF$7))+(1-(((AF65+AG65)/2)))*LN((1-(((AF65+AG65)/2)))/(1-(AF$7)))-AF$6&lt;0,AG65,((AF65+AG65)/2))</f>
        <v>0.0836482674857246</v>
      </c>
      <c r="AH66" s="37" t="n">
        <f aca="false">IF((((AH65+AI65)/2))*LN((((AH65+AI65)/2))/(AH$7))+(1-(((AH65+AI65)/2)))*LN((1-(((AH65+AI65)/2)))/(1-(AH$7)))-AH$6&lt;0,((AH65+AI65)/2),AH65)</f>
        <v>0.111548048226802</v>
      </c>
      <c r="AI66" s="37" t="n">
        <f aca="false">IF((((AH65+AI65)/2))*LN((((AH65+AI65)/2))/(AH$7))+(1-(((AH65+AI65)/2)))*LN((1-(((AH65+AI65)/2)))/(1-(AH$7)))-AH$6&lt;0,AI65,((AH65+AI65)/2))</f>
        <v>0.111548048226802</v>
      </c>
      <c r="AJ66" s="37" t="n">
        <f aca="false">IF((((AJ65+AK65)/2))*LN((((AJ65+AK65)/2))/(AJ$7))+(1-(((AJ65+AK65)/2)))*LN((1-(((AJ65+AK65)/2)))/(1-(AJ$7)))-AJ$6&lt;0,((AJ65+AK65)/2),AJ65)</f>
        <v>0.172949347713484</v>
      </c>
      <c r="AK66" s="37" t="n">
        <f aca="false">IF((((AJ65+AK65)/2))*LN((((AJ65+AK65)/2))/(AJ$7))+(1-(((AJ65+AK65)/2)))*LN((1-(((AJ65+AK65)/2)))/(1-(AJ$7)))-AJ$6&lt;0,AK65,((AJ65+AK65)/2))</f>
        <v>0.172949347713484</v>
      </c>
      <c r="AL66" s="37" t="n">
        <f aca="false">IF((((AL65+AM65)/2))*LN((((AL65+AM65)/2))/(AL$7))+(1-(((AL65+AM65)/2)))*LN((1-(((AL65+AM65)/2)))/(1-(AL$7)))-AL$6&lt;0,((AL65+AM65)/2),AL65)</f>
        <v>0.288519197341886</v>
      </c>
      <c r="AM66" s="37" t="n">
        <f aca="false">IF((((AL65+AM65)/2))*LN((((AL65+AM65)/2))/(AL$7))+(1-(((AL65+AM65)/2)))*LN((1-(((AL65+AM65)/2)))/(1-(AL$7)))-AL$6&lt;0,AM65,((AL65+AM65)/2))</f>
        <v>0.288519197341886</v>
      </c>
      <c r="AN66" s="37" t="n">
        <f aca="false">IF((((AN65+AO65)/2))*LN((((AN65+AO65)/2))/(AN$7))+(1-(((AN65+AO65)/2)))*LN((1-(((AN65+AO65)/2)))/(1-(AN$7)))-AN$6&lt;0,((AN65+AO65)/2),AN65)</f>
        <v>0.555514150436409</v>
      </c>
      <c r="AO66" s="37" t="n">
        <f aca="false">IF((((AN65+AO65)/2))*LN((((AN65+AO65)/2))/(AN$7))+(1-(((AN65+AO65)/2)))*LN((1-(((AN65+AO65)/2)))/(1-(AN$7)))-AN$6&lt;0,AO65,((AN65+AO65)/2))</f>
        <v>0.555514150436409</v>
      </c>
      <c r="AP66" s="37" t="n">
        <f aca="false">IF(AP$7*LN(AP$7)-AP$7*((AP65+AQ65)/2)+(1-AP$7)*LN(1-AP$7)-(1-AP$7)*LN(1-EXP(((AP65+AQ65)/2)))-AP$6&gt;0,((AP65+AQ65)/2),AP65)</f>
        <v>-3.68963394600533</v>
      </c>
      <c r="AQ66" s="37" t="n">
        <f aca="false">IF(AP$7*LN(AP$7)-AP$7*((AP65+AQ65)/2)+(1-AP$7)*LN(1-AP$7)-(1-AP$7)*LN(1-EXP(((AP65+AQ65)/2)))-AP$6&gt;0,AQ65,((AP65+AQ65)/2))</f>
        <v>-3.68963394600533</v>
      </c>
      <c r="AR66" s="37" t="n">
        <f aca="false">IF((((AR65+AS65)/2))*LN((((AR65+AS65)/2))/(AR$7))+(1-(((AR65+AS65)/2)))*LN((1-(((AR65+AS65)/2)))/(1-(AR$7)))-AR$6&lt;0,((AR65+AS65)/2),AR65)</f>
        <v>0.0836482674857246</v>
      </c>
      <c r="AS66" s="37" t="n">
        <f aca="false">IF((((AR65+AS65)/2))*LN((((AR65+AS65)/2))/(AR$7))+(1-(((AR65+AS65)/2)))*LN((1-(((AR65+AS65)/2)))/(1-(AR$7)))-AR$6&lt;0,AS65,((AR65+AS65)/2))</f>
        <v>0.0836482674857246</v>
      </c>
    </row>
    <row r="67" customFormat="false" ht="15" hidden="false" customHeight="false" outlineLevel="0" collapsed="false">
      <c r="B67" s="37" t="n">
        <f aca="false">IF(B$7*LN(B$7)-B$7*((B66+C66)/2)+(1-B$7)*LN(1-B$7)-(1-B$7)*LN(1-EXP(((B66+C66)/2)))-B$6&gt;0,((B66+C66)/2),B66)</f>
        <v>-12.7416806086579</v>
      </c>
      <c r="C67" s="37" t="n">
        <f aca="false">IF(B$7*LN(B$7)-B$7*((B66+C66)/2)+(1-B$7)*LN(1-B$7)-(1-B$7)*LN(1-EXP(((B66+C66)/2)))-B$6&gt;0,C66,((B66+C66)/2))</f>
        <v>-12.7416806086579</v>
      </c>
      <c r="D67" s="37" t="n">
        <f aca="false">IF(D$7*LN(D$7)-D$7*((D66+E66)/2)+(1-D$7)*LN(1-D$7)-(1-D$7)*LN(1-EXP(((D66+E66)/2)))-D$6&gt;0,((D66+E66)/2),D66)</f>
        <v>-16.0341341195425</v>
      </c>
      <c r="E67" s="37" t="n">
        <f aca="false">IF(D$7*LN(D$7)-D$7*((D66+E66)/2)+(1-D$7)*LN(1-D$7)-(1-D$7)*LN(1-EXP(((D66+E66)/2)))-D$6&gt;0,E66,((D66+E66)/2))</f>
        <v>-16.0341341195425</v>
      </c>
      <c r="F67" s="37" t="n">
        <f aca="false">IF(F$7*LN(F$7)-F$7*((F66+G66)/2)+(1-F$7)*LN(1-F$7)-(1-F$7)*LN(1-EXP(((F66+G66)/2)))-F$6&gt;0,((F66+G66)/2),F66)</f>
        <v>-24.805567532226</v>
      </c>
      <c r="G67" s="37" t="n">
        <f aca="false">IF(F$7*LN(F$7)-F$7*((F66+G66)/2)+(1-F$7)*LN(1-F$7)-(1-F$7)*LN(1-EXP(((F66+G66)/2)))-F$6&gt;0,G66,((F66+G66)/2))</f>
        <v>-24.805567532226</v>
      </c>
      <c r="H67" s="37" t="n">
        <f aca="false">IF(H$7*LN(H$7)-H$7*((H66+I66)/2)+(1-H$7)*LN(1-H$7)-(1-H$7)*LN(1-EXP(((H66+I66)/2)))-H$6&gt;0,((H66+I66)/2),H66)</f>
        <v>-3.19789114182586</v>
      </c>
      <c r="I67" s="37" t="n">
        <f aca="false">IF(H$7*LN(H$7)-H$7*((H66+I66)/2)+(1-H$7)*LN(1-H$7)-(1-H$7)*LN(1-EXP(((H66+I66)/2)))-H$6&gt;0,I66,((H66+I66)/2))</f>
        <v>-3.19789114182586</v>
      </c>
      <c r="J67" s="37" t="n">
        <f aca="false">IF(J$7*LN(J$7)-J$7*((J66+K66)/2)+(1-J$7)*LN(1-J$7)-(1-J$7)*LN(1-EXP(((J66+K66)/2)))-J$6&gt;0,((J66+K66)/2),J66)</f>
        <v>-3.28605085212553</v>
      </c>
      <c r="K67" s="37" t="n">
        <f aca="false">IF(J$7*LN(J$7)-J$7*((J66+K66)/2)+(1-J$7)*LN(1-J$7)-(1-J$7)*LN(1-EXP(((J66+K66)/2)))-J$6&gt;0,K66,((J66+K66)/2))</f>
        <v>-3.28605085212553</v>
      </c>
      <c r="L67" s="37" t="n">
        <f aca="false">IF(L$7*LN(L$7)-L$7*((L66+M66)/2)+(1-L$7)*LN(1-L$7)-(1-L$7)*LN(1-EXP(((L66+M66)/2)))-L$6&gt;0,((L66+M66)/2),L66)</f>
        <v>-3.46919733848085</v>
      </c>
      <c r="M67" s="37" t="n">
        <f aca="false">IF(L$7*LN(L$7)-L$7*((L66+M66)/2)+(1-L$7)*LN(1-L$7)-(1-L$7)*LN(1-EXP(((L66+M66)/2)))-L$6&gt;0,M66,((L66+M66)/2))</f>
        <v>-3.46919733848085</v>
      </c>
      <c r="N67" s="37" t="n">
        <f aca="false">IF(N$7*LN(N$7)-N$7*((N66+O66)/2)+(1-N$7)*LN(1-N$7)-(1-N$7)*LN(1-EXP(((N66+O66)/2)))-N$6&gt;0,((N66+O66)/2),N66)</f>
        <v>-3.68963394600533</v>
      </c>
      <c r="O67" s="37" t="n">
        <f aca="false">IF(N$7*LN(N$7)-N$7*((N66+O66)/2)+(1-N$7)*LN(1-N$7)-(1-N$7)*LN(1-EXP(((N66+O66)/2)))-N$6&gt;0,O66,((N66+O66)/2))</f>
        <v>-3.68963394600533</v>
      </c>
      <c r="P67" s="37" t="n">
        <f aca="false">IF(P$7*LN(P$7)-P$7*((P66+Q66)/2)+(1-P$7)*LN(1-P$7)-(1-P$7)*LN(1-EXP(((P66+Q66)/2)))-P$6&gt;0,((P66+Q66)/2),P66)</f>
        <v>-4.02932208427775</v>
      </c>
      <c r="Q67" s="37" t="n">
        <f aca="false">IF(P$7*LN(P$7)-P$7*((P66+Q66)/2)+(1-P$7)*LN(1-P$7)-(1-P$7)*LN(1-EXP(((P66+Q66)/2)))-P$6&gt;0,Q66,((P66+Q66)/2))</f>
        <v>-4.02932208427775</v>
      </c>
      <c r="R67" s="37" t="n">
        <f aca="false">IF(R$7*LN(R$7)-R$7*((R66+S66)/2)+(1-R$7)*LN(1-R$7)-(1-R$7)*LN(1-EXP(((R66+S66)/2)))-R$6&gt;0,((R66+S66)/2),R66)</f>
        <v>-4.3144987869035</v>
      </c>
      <c r="S67" s="37" t="n">
        <f aca="false">IF(R$7*LN(R$7)-R$7*((R66+S66)/2)+(1-R$7)*LN(1-R$7)-(1-R$7)*LN(1-EXP(((R66+S66)/2)))-R$6&gt;0,S66,((R66+S66)/2))</f>
        <v>-4.3144987869035</v>
      </c>
      <c r="T67" s="37" t="n">
        <f aca="false">IF(T$7*LN(T$7)-T$7*((T66+U66)/2)+(1-T$7)*LN(1-T$7)-(1-T$7)*LN(1-EXP(((T66+U66)/2)))-T$6&gt;0,((T66+U66)/2),T66)</f>
        <v>-4.81575742542861</v>
      </c>
      <c r="U67" s="37" t="n">
        <f aca="false">IF(T$7*LN(T$7)-T$7*((T66+U66)/2)+(1-T$7)*LN(1-T$7)-(1-T$7)*LN(1-EXP(((T66+U66)/2)))-T$6&gt;0,U66,((T66+U66)/2))</f>
        <v>-4.81575742542861</v>
      </c>
      <c r="V67" s="37" t="n">
        <f aca="false">IF(V$7*LN(V$7)-V$7*((V66+W66)/2)+(1-V$7)*LN(1-V$7)-(1-V$7)*LN(1-EXP(((V66+W66)/2)))-V$6&gt;0,((V66+W66)/2),V66)</f>
        <v>-5.38279983461339</v>
      </c>
      <c r="W67" s="37" t="n">
        <f aca="false">IF(V$7*LN(V$7)-V$7*((V66+W66)/2)+(1-V$7)*LN(1-V$7)-(1-V$7)*LN(1-EXP(((V66+W66)/2)))-V$6&gt;0,W66,((V66+W66)/2))</f>
        <v>-5.38279983461339</v>
      </c>
      <c r="X67" s="37" t="n">
        <f aca="false">IF(X$7*LN(X$7)-X$7*((X66+Y66)/2)+(1-X$7)*LN(1-X$7)-(1-X$7)*LN(1-EXP(((X66+Y66)/2)))-X$6&gt;0,((X66+Y66)/2),X66)</f>
        <v>-5.91917523349283</v>
      </c>
      <c r="Y67" s="37" t="n">
        <f aca="false">IF(X$7*LN(X$7)-X$7*((X66+Y66)/2)+(1-X$7)*LN(1-X$7)-(1-X$7)*LN(1-EXP(((X66+Y66)/2)))-X$6&gt;0,Y66,((X66+Y66)/2))</f>
        <v>-5.91917523349283</v>
      </c>
      <c r="Z67" s="37" t="n">
        <f aca="false">IF(Z$7*LN(Z$7)-Z$7*((Z66+AA66)/2)+(1-Z$7)*LN(1-Z$7)-(1-Z$7)*LN(1-EXP(((Z66+AA66)/2)))-Z$6&gt;0,((Z66+AA66)/2),Z66)</f>
        <v>-6.95212068545721</v>
      </c>
      <c r="AA67" s="37" t="n">
        <f aca="false">IF(Z$7*LN(Z$7)-Z$7*((Z66+AA66)/2)+(1-Z$7)*LN(1-Z$7)-(1-Z$7)*LN(1-EXP(((Z66+AA66)/2)))-Z$6&gt;0,AA66,((Z66+AA66)/2))</f>
        <v>-6.95212068545721</v>
      </c>
      <c r="AB67" s="37" t="n">
        <f aca="false">IF((((AB66+AC66)/2))*LN((((AB66+AC66)/2))/(AB$7))+(1-(((AB66+AC66)/2)))*LN((1-(((AB66+AC66)/2)))/(1-(AB$7)))-AB$6&lt;0,((AB66+AC66)/2),AB66)</f>
        <v>0.0600408213770422</v>
      </c>
      <c r="AC67" s="37" t="n">
        <f aca="false">IF((((AB66+AC66)/2))*LN((((AB66+AC66)/2))/(AB$7))+(1-(((AB66+AC66)/2)))*LN((1-(((AB66+AC66)/2)))/(1-(AB$7)))-AB$6&lt;0,AC66,((AB66+AC66)/2))</f>
        <v>0.0600408213770422</v>
      </c>
      <c r="AD67" s="37" t="n">
        <f aca="false">IF((((AD66+AE66)/2))*LN((((AD66+AE66)/2))/(AD$7))+(1-(((AD66+AE66)/2)))*LN((1-(((AD66+AE66)/2)))/(1-(AD$7)))-AD$6&lt;0,((AD66+AE66)/2),AD66)</f>
        <v>0.0677518178859637</v>
      </c>
      <c r="AE67" s="37" t="n">
        <f aca="false">IF((((AD66+AE66)/2))*LN((((AD66+AE66)/2))/(AD$7))+(1-(((AD66+AE66)/2)))*LN((1-(((AD66+AE66)/2)))/(1-(AD$7)))-AD$6&lt;0,AE66,((AD66+AE66)/2))</f>
        <v>0.0677518178859637</v>
      </c>
      <c r="AF67" s="37" t="n">
        <f aca="false">IF((((AF66+AG66)/2))*LN((((AF66+AG66)/2))/(AF$7))+(1-(((AF66+AG66)/2)))*LN((1-(((AF66+AG66)/2)))/(1-(AF$7)))-AF$6&lt;0,((AF66+AG66)/2),AF66)</f>
        <v>0.0836482674857246</v>
      </c>
      <c r="AG67" s="37" t="n">
        <f aca="false">IF((((AF66+AG66)/2))*LN((((AF66+AG66)/2))/(AF$7))+(1-(((AF66+AG66)/2)))*LN((1-(((AF66+AG66)/2)))/(1-(AF$7)))-AF$6&lt;0,AG66,((AF66+AG66)/2))</f>
        <v>0.0836482674857246</v>
      </c>
      <c r="AH67" s="37" t="n">
        <f aca="false">IF((((AH66+AI66)/2))*LN((((AH66+AI66)/2))/(AH$7))+(1-(((AH66+AI66)/2)))*LN((1-(((AH66+AI66)/2)))/(1-(AH$7)))-AH$6&lt;0,((AH66+AI66)/2),AH66)</f>
        <v>0.111548048226802</v>
      </c>
      <c r="AI67" s="37" t="n">
        <f aca="false">IF((((AH66+AI66)/2))*LN((((AH66+AI66)/2))/(AH$7))+(1-(((AH66+AI66)/2)))*LN((1-(((AH66+AI66)/2)))/(1-(AH$7)))-AH$6&lt;0,AI66,((AH66+AI66)/2))</f>
        <v>0.111548048226802</v>
      </c>
      <c r="AJ67" s="37" t="n">
        <f aca="false">IF((((AJ66+AK66)/2))*LN((((AJ66+AK66)/2))/(AJ$7))+(1-(((AJ66+AK66)/2)))*LN((1-(((AJ66+AK66)/2)))/(1-(AJ$7)))-AJ$6&lt;0,((AJ66+AK66)/2),AJ66)</f>
        <v>0.172949347713484</v>
      </c>
      <c r="AK67" s="37" t="n">
        <f aca="false">IF((((AJ66+AK66)/2))*LN((((AJ66+AK66)/2))/(AJ$7))+(1-(((AJ66+AK66)/2)))*LN((1-(((AJ66+AK66)/2)))/(1-(AJ$7)))-AJ$6&lt;0,AK66,((AJ66+AK66)/2))</f>
        <v>0.172949347713484</v>
      </c>
      <c r="AL67" s="37" t="n">
        <f aca="false">IF((((AL66+AM66)/2))*LN((((AL66+AM66)/2))/(AL$7))+(1-(((AL66+AM66)/2)))*LN((1-(((AL66+AM66)/2)))/(1-(AL$7)))-AL$6&lt;0,((AL66+AM66)/2),AL66)</f>
        <v>0.288519197341886</v>
      </c>
      <c r="AM67" s="37" t="n">
        <f aca="false">IF((((AL66+AM66)/2))*LN((((AL66+AM66)/2))/(AL$7))+(1-(((AL66+AM66)/2)))*LN((1-(((AL66+AM66)/2)))/(1-(AL$7)))-AL$6&lt;0,AM66,((AL66+AM66)/2))</f>
        <v>0.288519197341886</v>
      </c>
      <c r="AN67" s="37" t="n">
        <f aca="false">IF((((AN66+AO66)/2))*LN((((AN66+AO66)/2))/(AN$7))+(1-(((AN66+AO66)/2)))*LN((1-(((AN66+AO66)/2)))/(1-(AN$7)))-AN$6&lt;0,((AN66+AO66)/2),AN66)</f>
        <v>0.555514150436409</v>
      </c>
      <c r="AO67" s="37" t="n">
        <f aca="false">IF((((AN66+AO66)/2))*LN((((AN66+AO66)/2))/(AN$7))+(1-(((AN66+AO66)/2)))*LN((1-(((AN66+AO66)/2)))/(1-(AN$7)))-AN$6&lt;0,AO66,((AN66+AO66)/2))</f>
        <v>0.555514150436409</v>
      </c>
      <c r="AP67" s="37" t="n">
        <f aca="false">IF(AP$7*LN(AP$7)-AP$7*((AP66+AQ66)/2)+(1-AP$7)*LN(1-AP$7)-(1-AP$7)*LN(1-EXP(((AP66+AQ66)/2)))-AP$6&gt;0,((AP66+AQ66)/2),AP66)</f>
        <v>-3.68963394600533</v>
      </c>
      <c r="AQ67" s="37" t="n">
        <f aca="false">IF(AP$7*LN(AP$7)-AP$7*((AP66+AQ66)/2)+(1-AP$7)*LN(1-AP$7)-(1-AP$7)*LN(1-EXP(((AP66+AQ66)/2)))-AP$6&gt;0,AQ66,((AP66+AQ66)/2))</f>
        <v>-3.68963394600533</v>
      </c>
      <c r="AR67" s="37" t="n">
        <f aca="false">IF((((AR66+AS66)/2))*LN((((AR66+AS66)/2))/(AR$7))+(1-(((AR66+AS66)/2)))*LN((1-(((AR66+AS66)/2)))/(1-(AR$7)))-AR$6&lt;0,((AR66+AS66)/2),AR66)</f>
        <v>0.0836482674857246</v>
      </c>
      <c r="AS67" s="37" t="n">
        <f aca="false">IF((((AR66+AS66)/2))*LN((((AR66+AS66)/2))/(AR$7))+(1-(((AR66+AS66)/2)))*LN((1-(((AR66+AS66)/2)))/(1-(AR$7)))-AR$6&lt;0,AS66,((AR66+AS66)/2))</f>
        <v>0.0836482674857246</v>
      </c>
    </row>
    <row r="68" customFormat="false" ht="15" hidden="false" customHeight="false" outlineLevel="0" collapsed="false">
      <c r="B68" s="37" t="n">
        <f aca="false">IF(B$7*LN(B$7)-B$7*((B67+C67)/2)+(1-B$7)*LN(1-B$7)-(1-B$7)*LN(1-EXP(((B67+C67)/2)))-B$6&gt;0,((B67+C67)/2),B67)</f>
        <v>-12.7416806086579</v>
      </c>
      <c r="C68" s="37" t="n">
        <f aca="false">IF(B$7*LN(B$7)-B$7*((B67+C67)/2)+(1-B$7)*LN(1-B$7)-(1-B$7)*LN(1-EXP(((B67+C67)/2)))-B$6&gt;0,C67,((B67+C67)/2))</f>
        <v>-12.7416806086579</v>
      </c>
      <c r="D68" s="37" t="n">
        <f aca="false">IF(D$7*LN(D$7)-D$7*((D67+E67)/2)+(1-D$7)*LN(1-D$7)-(1-D$7)*LN(1-EXP(((D67+E67)/2)))-D$6&gt;0,((D67+E67)/2),D67)</f>
        <v>-16.0341341195425</v>
      </c>
      <c r="E68" s="37" t="n">
        <f aca="false">IF(D$7*LN(D$7)-D$7*((D67+E67)/2)+(1-D$7)*LN(1-D$7)-(1-D$7)*LN(1-EXP(((D67+E67)/2)))-D$6&gt;0,E67,((D67+E67)/2))</f>
        <v>-16.0341341195425</v>
      </c>
      <c r="F68" s="37" t="n">
        <f aca="false">IF(F$7*LN(F$7)-F$7*((F67+G67)/2)+(1-F$7)*LN(1-F$7)-(1-F$7)*LN(1-EXP(((F67+G67)/2)))-F$6&gt;0,((F67+G67)/2),F67)</f>
        <v>-24.805567532226</v>
      </c>
      <c r="G68" s="37" t="n">
        <f aca="false">IF(F$7*LN(F$7)-F$7*((F67+G67)/2)+(1-F$7)*LN(1-F$7)-(1-F$7)*LN(1-EXP(((F67+G67)/2)))-F$6&gt;0,G67,((F67+G67)/2))</f>
        <v>-24.805567532226</v>
      </c>
      <c r="H68" s="37" t="n">
        <f aca="false">IF(H$7*LN(H$7)-H$7*((H67+I67)/2)+(1-H$7)*LN(1-H$7)-(1-H$7)*LN(1-EXP(((H67+I67)/2)))-H$6&gt;0,((H67+I67)/2),H67)</f>
        <v>-3.19789114182586</v>
      </c>
      <c r="I68" s="37" t="n">
        <f aca="false">IF(H$7*LN(H$7)-H$7*((H67+I67)/2)+(1-H$7)*LN(1-H$7)-(1-H$7)*LN(1-EXP(((H67+I67)/2)))-H$6&gt;0,I67,((H67+I67)/2))</f>
        <v>-3.19789114182586</v>
      </c>
      <c r="J68" s="37" t="n">
        <f aca="false">IF(J$7*LN(J$7)-J$7*((J67+K67)/2)+(1-J$7)*LN(1-J$7)-(1-J$7)*LN(1-EXP(((J67+K67)/2)))-J$6&gt;0,((J67+K67)/2),J67)</f>
        <v>-3.28605085212553</v>
      </c>
      <c r="K68" s="37" t="n">
        <f aca="false">IF(J$7*LN(J$7)-J$7*((J67+K67)/2)+(1-J$7)*LN(1-J$7)-(1-J$7)*LN(1-EXP(((J67+K67)/2)))-J$6&gt;0,K67,((J67+K67)/2))</f>
        <v>-3.28605085212553</v>
      </c>
      <c r="L68" s="37" t="n">
        <f aca="false">IF(L$7*LN(L$7)-L$7*((L67+M67)/2)+(1-L$7)*LN(1-L$7)-(1-L$7)*LN(1-EXP(((L67+M67)/2)))-L$6&gt;0,((L67+M67)/2),L67)</f>
        <v>-3.46919733848085</v>
      </c>
      <c r="M68" s="37" t="n">
        <f aca="false">IF(L$7*LN(L$7)-L$7*((L67+M67)/2)+(1-L$7)*LN(1-L$7)-(1-L$7)*LN(1-EXP(((L67+M67)/2)))-L$6&gt;0,M67,((L67+M67)/2))</f>
        <v>-3.46919733848085</v>
      </c>
      <c r="N68" s="37" t="n">
        <f aca="false">IF(N$7*LN(N$7)-N$7*((N67+O67)/2)+(1-N$7)*LN(1-N$7)-(1-N$7)*LN(1-EXP(((N67+O67)/2)))-N$6&gt;0,((N67+O67)/2),N67)</f>
        <v>-3.68963394600533</v>
      </c>
      <c r="O68" s="37" t="n">
        <f aca="false">IF(N$7*LN(N$7)-N$7*((N67+O67)/2)+(1-N$7)*LN(1-N$7)-(1-N$7)*LN(1-EXP(((N67+O67)/2)))-N$6&gt;0,O67,((N67+O67)/2))</f>
        <v>-3.68963394600533</v>
      </c>
      <c r="P68" s="37" t="n">
        <f aca="false">IF(P$7*LN(P$7)-P$7*((P67+Q67)/2)+(1-P$7)*LN(1-P$7)-(1-P$7)*LN(1-EXP(((P67+Q67)/2)))-P$6&gt;0,((P67+Q67)/2),P67)</f>
        <v>-4.02932208427775</v>
      </c>
      <c r="Q68" s="37" t="n">
        <f aca="false">IF(P$7*LN(P$7)-P$7*((P67+Q67)/2)+(1-P$7)*LN(1-P$7)-(1-P$7)*LN(1-EXP(((P67+Q67)/2)))-P$6&gt;0,Q67,((P67+Q67)/2))</f>
        <v>-4.02932208427775</v>
      </c>
      <c r="R68" s="37" t="n">
        <f aca="false">IF(R$7*LN(R$7)-R$7*((R67+S67)/2)+(1-R$7)*LN(1-R$7)-(1-R$7)*LN(1-EXP(((R67+S67)/2)))-R$6&gt;0,((R67+S67)/2),R67)</f>
        <v>-4.3144987869035</v>
      </c>
      <c r="S68" s="37" t="n">
        <f aca="false">IF(R$7*LN(R$7)-R$7*((R67+S67)/2)+(1-R$7)*LN(1-R$7)-(1-R$7)*LN(1-EXP(((R67+S67)/2)))-R$6&gt;0,S67,((R67+S67)/2))</f>
        <v>-4.3144987869035</v>
      </c>
      <c r="T68" s="37" t="n">
        <f aca="false">IF(T$7*LN(T$7)-T$7*((T67+U67)/2)+(1-T$7)*LN(1-T$7)-(1-T$7)*LN(1-EXP(((T67+U67)/2)))-T$6&gt;0,((T67+U67)/2),T67)</f>
        <v>-4.81575742542861</v>
      </c>
      <c r="U68" s="37" t="n">
        <f aca="false">IF(T$7*LN(T$7)-T$7*((T67+U67)/2)+(1-T$7)*LN(1-T$7)-(1-T$7)*LN(1-EXP(((T67+U67)/2)))-T$6&gt;0,U67,((T67+U67)/2))</f>
        <v>-4.81575742542861</v>
      </c>
      <c r="V68" s="37" t="n">
        <f aca="false">IF(V$7*LN(V$7)-V$7*((V67+W67)/2)+(1-V$7)*LN(1-V$7)-(1-V$7)*LN(1-EXP(((V67+W67)/2)))-V$6&gt;0,((V67+W67)/2),V67)</f>
        <v>-5.38279983461339</v>
      </c>
      <c r="W68" s="37" t="n">
        <f aca="false">IF(V$7*LN(V$7)-V$7*((V67+W67)/2)+(1-V$7)*LN(1-V$7)-(1-V$7)*LN(1-EXP(((V67+W67)/2)))-V$6&gt;0,W67,((V67+W67)/2))</f>
        <v>-5.38279983461339</v>
      </c>
      <c r="X68" s="37" t="n">
        <f aca="false">IF(X$7*LN(X$7)-X$7*((X67+Y67)/2)+(1-X$7)*LN(1-X$7)-(1-X$7)*LN(1-EXP(((X67+Y67)/2)))-X$6&gt;0,((X67+Y67)/2),X67)</f>
        <v>-5.91917523349283</v>
      </c>
      <c r="Y68" s="37" t="n">
        <f aca="false">IF(X$7*LN(X$7)-X$7*((X67+Y67)/2)+(1-X$7)*LN(1-X$7)-(1-X$7)*LN(1-EXP(((X67+Y67)/2)))-X$6&gt;0,Y67,((X67+Y67)/2))</f>
        <v>-5.91917523349283</v>
      </c>
      <c r="Z68" s="37" t="n">
        <f aca="false">IF(Z$7*LN(Z$7)-Z$7*((Z67+AA67)/2)+(1-Z$7)*LN(1-Z$7)-(1-Z$7)*LN(1-EXP(((Z67+AA67)/2)))-Z$6&gt;0,((Z67+AA67)/2),Z67)</f>
        <v>-6.95212068545721</v>
      </c>
      <c r="AA68" s="37" t="n">
        <f aca="false">IF(Z$7*LN(Z$7)-Z$7*((Z67+AA67)/2)+(1-Z$7)*LN(1-Z$7)-(1-Z$7)*LN(1-EXP(((Z67+AA67)/2)))-Z$6&gt;0,AA67,((Z67+AA67)/2))</f>
        <v>-6.95212068545721</v>
      </c>
      <c r="AB68" s="37" t="n">
        <f aca="false">IF((((AB67+AC67)/2))*LN((((AB67+AC67)/2))/(AB$7))+(1-(((AB67+AC67)/2)))*LN((1-(((AB67+AC67)/2)))/(1-(AB$7)))-AB$6&lt;0,((AB67+AC67)/2),AB67)</f>
        <v>0.0600408213770422</v>
      </c>
      <c r="AC68" s="37" t="n">
        <f aca="false">IF((((AB67+AC67)/2))*LN((((AB67+AC67)/2))/(AB$7))+(1-(((AB67+AC67)/2)))*LN((1-(((AB67+AC67)/2)))/(1-(AB$7)))-AB$6&lt;0,AC67,((AB67+AC67)/2))</f>
        <v>0.0600408213770422</v>
      </c>
      <c r="AD68" s="37" t="n">
        <f aca="false">IF((((AD67+AE67)/2))*LN((((AD67+AE67)/2))/(AD$7))+(1-(((AD67+AE67)/2)))*LN((1-(((AD67+AE67)/2)))/(1-(AD$7)))-AD$6&lt;0,((AD67+AE67)/2),AD67)</f>
        <v>0.0677518178859637</v>
      </c>
      <c r="AE68" s="37" t="n">
        <f aca="false">IF((((AD67+AE67)/2))*LN((((AD67+AE67)/2))/(AD$7))+(1-(((AD67+AE67)/2)))*LN((1-(((AD67+AE67)/2)))/(1-(AD$7)))-AD$6&lt;0,AE67,((AD67+AE67)/2))</f>
        <v>0.0677518178859637</v>
      </c>
      <c r="AF68" s="37" t="n">
        <f aca="false">IF((((AF67+AG67)/2))*LN((((AF67+AG67)/2))/(AF$7))+(1-(((AF67+AG67)/2)))*LN((1-(((AF67+AG67)/2)))/(1-(AF$7)))-AF$6&lt;0,((AF67+AG67)/2),AF67)</f>
        <v>0.0836482674857246</v>
      </c>
      <c r="AG68" s="37" t="n">
        <f aca="false">IF((((AF67+AG67)/2))*LN((((AF67+AG67)/2))/(AF$7))+(1-(((AF67+AG67)/2)))*LN((1-(((AF67+AG67)/2)))/(1-(AF$7)))-AF$6&lt;0,AG67,((AF67+AG67)/2))</f>
        <v>0.0836482674857246</v>
      </c>
      <c r="AH68" s="37" t="n">
        <f aca="false">IF((((AH67+AI67)/2))*LN((((AH67+AI67)/2))/(AH$7))+(1-(((AH67+AI67)/2)))*LN((1-(((AH67+AI67)/2)))/(1-(AH$7)))-AH$6&lt;0,((AH67+AI67)/2),AH67)</f>
        <v>0.111548048226802</v>
      </c>
      <c r="AI68" s="37" t="n">
        <f aca="false">IF((((AH67+AI67)/2))*LN((((AH67+AI67)/2))/(AH$7))+(1-(((AH67+AI67)/2)))*LN((1-(((AH67+AI67)/2)))/(1-(AH$7)))-AH$6&lt;0,AI67,((AH67+AI67)/2))</f>
        <v>0.111548048226802</v>
      </c>
      <c r="AJ68" s="37" t="n">
        <f aca="false">IF((((AJ67+AK67)/2))*LN((((AJ67+AK67)/2))/(AJ$7))+(1-(((AJ67+AK67)/2)))*LN((1-(((AJ67+AK67)/2)))/(1-(AJ$7)))-AJ$6&lt;0,((AJ67+AK67)/2),AJ67)</f>
        <v>0.172949347713484</v>
      </c>
      <c r="AK68" s="37" t="n">
        <f aca="false">IF((((AJ67+AK67)/2))*LN((((AJ67+AK67)/2))/(AJ$7))+(1-(((AJ67+AK67)/2)))*LN((1-(((AJ67+AK67)/2)))/(1-(AJ$7)))-AJ$6&lt;0,AK67,((AJ67+AK67)/2))</f>
        <v>0.172949347713484</v>
      </c>
      <c r="AL68" s="37" t="n">
        <f aca="false">IF((((AL67+AM67)/2))*LN((((AL67+AM67)/2))/(AL$7))+(1-(((AL67+AM67)/2)))*LN((1-(((AL67+AM67)/2)))/(1-(AL$7)))-AL$6&lt;0,((AL67+AM67)/2),AL67)</f>
        <v>0.288519197341886</v>
      </c>
      <c r="AM68" s="37" t="n">
        <f aca="false">IF((((AL67+AM67)/2))*LN((((AL67+AM67)/2))/(AL$7))+(1-(((AL67+AM67)/2)))*LN((1-(((AL67+AM67)/2)))/(1-(AL$7)))-AL$6&lt;0,AM67,((AL67+AM67)/2))</f>
        <v>0.288519197341886</v>
      </c>
      <c r="AN68" s="37" t="n">
        <f aca="false">IF((((AN67+AO67)/2))*LN((((AN67+AO67)/2))/(AN$7))+(1-(((AN67+AO67)/2)))*LN((1-(((AN67+AO67)/2)))/(1-(AN$7)))-AN$6&lt;0,((AN67+AO67)/2),AN67)</f>
        <v>0.555514150436409</v>
      </c>
      <c r="AO68" s="37" t="n">
        <f aca="false">IF((((AN67+AO67)/2))*LN((((AN67+AO67)/2))/(AN$7))+(1-(((AN67+AO67)/2)))*LN((1-(((AN67+AO67)/2)))/(1-(AN$7)))-AN$6&lt;0,AO67,((AN67+AO67)/2))</f>
        <v>0.555514150436409</v>
      </c>
      <c r="AP68" s="37" t="n">
        <f aca="false">IF(AP$7*LN(AP$7)-AP$7*((AP67+AQ67)/2)+(1-AP$7)*LN(1-AP$7)-(1-AP$7)*LN(1-EXP(((AP67+AQ67)/2)))-AP$6&gt;0,((AP67+AQ67)/2),AP67)</f>
        <v>-3.68963394600533</v>
      </c>
      <c r="AQ68" s="37" t="n">
        <f aca="false">IF(AP$7*LN(AP$7)-AP$7*((AP67+AQ67)/2)+(1-AP$7)*LN(1-AP$7)-(1-AP$7)*LN(1-EXP(((AP67+AQ67)/2)))-AP$6&gt;0,AQ67,((AP67+AQ67)/2))</f>
        <v>-3.68963394600533</v>
      </c>
      <c r="AR68" s="37" t="n">
        <f aca="false">IF((((AR67+AS67)/2))*LN((((AR67+AS67)/2))/(AR$7))+(1-(((AR67+AS67)/2)))*LN((1-(((AR67+AS67)/2)))/(1-(AR$7)))-AR$6&lt;0,((AR67+AS67)/2),AR67)</f>
        <v>0.0836482674857246</v>
      </c>
      <c r="AS68" s="37" t="n">
        <f aca="false">IF((((AR67+AS67)/2))*LN((((AR67+AS67)/2))/(AR$7))+(1-(((AR67+AS67)/2)))*LN((1-(((AR67+AS67)/2)))/(1-(AR$7)))-AR$6&lt;0,AS67,((AR67+AS67)/2))</f>
        <v>0.0836482674857246</v>
      </c>
    </row>
    <row r="69" customFormat="false" ht="15" hidden="false" customHeight="false" outlineLevel="0" collapsed="false">
      <c r="B69" s="37" t="n">
        <f aca="false">IF(B$7*LN(B$7)-B$7*((B68+C68)/2)+(1-B$7)*LN(1-B$7)-(1-B$7)*LN(1-EXP(((B68+C68)/2)))-B$6&gt;0,((B68+C68)/2),B68)</f>
        <v>-12.7416806086579</v>
      </c>
      <c r="C69" s="37" t="n">
        <f aca="false">IF(B$7*LN(B$7)-B$7*((B68+C68)/2)+(1-B$7)*LN(1-B$7)-(1-B$7)*LN(1-EXP(((B68+C68)/2)))-B$6&gt;0,C68,((B68+C68)/2))</f>
        <v>-12.7416806086579</v>
      </c>
      <c r="D69" s="37" t="n">
        <f aca="false">IF(D$7*LN(D$7)-D$7*((D68+E68)/2)+(1-D$7)*LN(1-D$7)-(1-D$7)*LN(1-EXP(((D68+E68)/2)))-D$6&gt;0,((D68+E68)/2),D68)</f>
        <v>-16.0341341195425</v>
      </c>
      <c r="E69" s="37" t="n">
        <f aca="false">IF(D$7*LN(D$7)-D$7*((D68+E68)/2)+(1-D$7)*LN(1-D$7)-(1-D$7)*LN(1-EXP(((D68+E68)/2)))-D$6&gt;0,E68,((D68+E68)/2))</f>
        <v>-16.0341341195425</v>
      </c>
      <c r="F69" s="37" t="n">
        <f aca="false">IF(F$7*LN(F$7)-F$7*((F68+G68)/2)+(1-F$7)*LN(1-F$7)-(1-F$7)*LN(1-EXP(((F68+G68)/2)))-F$6&gt;0,((F68+G68)/2),F68)</f>
        <v>-24.805567532226</v>
      </c>
      <c r="G69" s="37" t="n">
        <f aca="false">IF(F$7*LN(F$7)-F$7*((F68+G68)/2)+(1-F$7)*LN(1-F$7)-(1-F$7)*LN(1-EXP(((F68+G68)/2)))-F$6&gt;0,G68,((F68+G68)/2))</f>
        <v>-24.805567532226</v>
      </c>
      <c r="H69" s="37" t="n">
        <f aca="false">IF(H$7*LN(H$7)-H$7*((H68+I68)/2)+(1-H$7)*LN(1-H$7)-(1-H$7)*LN(1-EXP(((H68+I68)/2)))-H$6&gt;0,((H68+I68)/2),H68)</f>
        <v>-3.19789114182586</v>
      </c>
      <c r="I69" s="37" t="n">
        <f aca="false">IF(H$7*LN(H$7)-H$7*((H68+I68)/2)+(1-H$7)*LN(1-H$7)-(1-H$7)*LN(1-EXP(((H68+I68)/2)))-H$6&gt;0,I68,((H68+I68)/2))</f>
        <v>-3.19789114182586</v>
      </c>
      <c r="J69" s="37" t="n">
        <f aca="false">IF(J$7*LN(J$7)-J$7*((J68+K68)/2)+(1-J$7)*LN(1-J$7)-(1-J$7)*LN(1-EXP(((J68+K68)/2)))-J$6&gt;0,((J68+K68)/2),J68)</f>
        <v>-3.28605085212553</v>
      </c>
      <c r="K69" s="37" t="n">
        <f aca="false">IF(J$7*LN(J$7)-J$7*((J68+K68)/2)+(1-J$7)*LN(1-J$7)-(1-J$7)*LN(1-EXP(((J68+K68)/2)))-J$6&gt;0,K68,((J68+K68)/2))</f>
        <v>-3.28605085212553</v>
      </c>
      <c r="L69" s="37" t="n">
        <f aca="false">IF(L$7*LN(L$7)-L$7*((L68+M68)/2)+(1-L$7)*LN(1-L$7)-(1-L$7)*LN(1-EXP(((L68+M68)/2)))-L$6&gt;0,((L68+M68)/2),L68)</f>
        <v>-3.46919733848085</v>
      </c>
      <c r="M69" s="37" t="n">
        <f aca="false">IF(L$7*LN(L$7)-L$7*((L68+M68)/2)+(1-L$7)*LN(1-L$7)-(1-L$7)*LN(1-EXP(((L68+M68)/2)))-L$6&gt;0,M68,((L68+M68)/2))</f>
        <v>-3.46919733848085</v>
      </c>
      <c r="N69" s="37" t="n">
        <f aca="false">IF(N$7*LN(N$7)-N$7*((N68+O68)/2)+(1-N$7)*LN(1-N$7)-(1-N$7)*LN(1-EXP(((N68+O68)/2)))-N$6&gt;0,((N68+O68)/2),N68)</f>
        <v>-3.68963394600533</v>
      </c>
      <c r="O69" s="37" t="n">
        <f aca="false">IF(N$7*LN(N$7)-N$7*((N68+O68)/2)+(1-N$7)*LN(1-N$7)-(1-N$7)*LN(1-EXP(((N68+O68)/2)))-N$6&gt;0,O68,((N68+O68)/2))</f>
        <v>-3.68963394600533</v>
      </c>
      <c r="P69" s="37" t="n">
        <f aca="false">IF(P$7*LN(P$7)-P$7*((P68+Q68)/2)+(1-P$7)*LN(1-P$7)-(1-P$7)*LN(1-EXP(((P68+Q68)/2)))-P$6&gt;0,((P68+Q68)/2),P68)</f>
        <v>-4.02932208427775</v>
      </c>
      <c r="Q69" s="37" t="n">
        <f aca="false">IF(P$7*LN(P$7)-P$7*((P68+Q68)/2)+(1-P$7)*LN(1-P$7)-(1-P$7)*LN(1-EXP(((P68+Q68)/2)))-P$6&gt;0,Q68,((P68+Q68)/2))</f>
        <v>-4.02932208427775</v>
      </c>
      <c r="R69" s="37" t="n">
        <f aca="false">IF(R$7*LN(R$7)-R$7*((R68+S68)/2)+(1-R$7)*LN(1-R$7)-(1-R$7)*LN(1-EXP(((R68+S68)/2)))-R$6&gt;0,((R68+S68)/2),R68)</f>
        <v>-4.3144987869035</v>
      </c>
      <c r="S69" s="37" t="n">
        <f aca="false">IF(R$7*LN(R$7)-R$7*((R68+S68)/2)+(1-R$7)*LN(1-R$7)-(1-R$7)*LN(1-EXP(((R68+S68)/2)))-R$6&gt;0,S68,((R68+S68)/2))</f>
        <v>-4.3144987869035</v>
      </c>
      <c r="T69" s="37" t="n">
        <f aca="false">IF(T$7*LN(T$7)-T$7*((T68+U68)/2)+(1-T$7)*LN(1-T$7)-(1-T$7)*LN(1-EXP(((T68+U68)/2)))-T$6&gt;0,((T68+U68)/2),T68)</f>
        <v>-4.81575742542861</v>
      </c>
      <c r="U69" s="37" t="n">
        <f aca="false">IF(T$7*LN(T$7)-T$7*((T68+U68)/2)+(1-T$7)*LN(1-T$7)-(1-T$7)*LN(1-EXP(((T68+U68)/2)))-T$6&gt;0,U68,((T68+U68)/2))</f>
        <v>-4.81575742542861</v>
      </c>
      <c r="V69" s="37" t="n">
        <f aca="false">IF(V$7*LN(V$7)-V$7*((V68+W68)/2)+(1-V$7)*LN(1-V$7)-(1-V$7)*LN(1-EXP(((V68+W68)/2)))-V$6&gt;0,((V68+W68)/2),V68)</f>
        <v>-5.38279983461339</v>
      </c>
      <c r="W69" s="37" t="n">
        <f aca="false">IF(V$7*LN(V$7)-V$7*((V68+W68)/2)+(1-V$7)*LN(1-V$7)-(1-V$7)*LN(1-EXP(((V68+W68)/2)))-V$6&gt;0,W68,((V68+W68)/2))</f>
        <v>-5.38279983461339</v>
      </c>
      <c r="X69" s="37" t="n">
        <f aca="false">IF(X$7*LN(X$7)-X$7*((X68+Y68)/2)+(1-X$7)*LN(1-X$7)-(1-X$7)*LN(1-EXP(((X68+Y68)/2)))-X$6&gt;0,((X68+Y68)/2),X68)</f>
        <v>-5.91917523349283</v>
      </c>
      <c r="Y69" s="37" t="n">
        <f aca="false">IF(X$7*LN(X$7)-X$7*((X68+Y68)/2)+(1-X$7)*LN(1-X$7)-(1-X$7)*LN(1-EXP(((X68+Y68)/2)))-X$6&gt;0,Y68,((X68+Y68)/2))</f>
        <v>-5.91917523349283</v>
      </c>
      <c r="Z69" s="37" t="n">
        <f aca="false">IF(Z$7*LN(Z$7)-Z$7*((Z68+AA68)/2)+(1-Z$7)*LN(1-Z$7)-(1-Z$7)*LN(1-EXP(((Z68+AA68)/2)))-Z$6&gt;0,((Z68+AA68)/2),Z68)</f>
        <v>-6.95212068545721</v>
      </c>
      <c r="AA69" s="37" t="n">
        <f aca="false">IF(Z$7*LN(Z$7)-Z$7*((Z68+AA68)/2)+(1-Z$7)*LN(1-Z$7)-(1-Z$7)*LN(1-EXP(((Z68+AA68)/2)))-Z$6&gt;0,AA68,((Z68+AA68)/2))</f>
        <v>-6.95212068545721</v>
      </c>
      <c r="AB69" s="37" t="n">
        <f aca="false">IF((((AB68+AC68)/2))*LN((((AB68+AC68)/2))/(AB$7))+(1-(((AB68+AC68)/2)))*LN((1-(((AB68+AC68)/2)))/(1-(AB$7)))-AB$6&lt;0,((AB68+AC68)/2),AB68)</f>
        <v>0.0600408213770422</v>
      </c>
      <c r="AC69" s="37" t="n">
        <f aca="false">IF((((AB68+AC68)/2))*LN((((AB68+AC68)/2))/(AB$7))+(1-(((AB68+AC68)/2)))*LN((1-(((AB68+AC68)/2)))/(1-(AB$7)))-AB$6&lt;0,AC68,((AB68+AC68)/2))</f>
        <v>0.0600408213770422</v>
      </c>
      <c r="AD69" s="37" t="n">
        <f aca="false">IF((((AD68+AE68)/2))*LN((((AD68+AE68)/2))/(AD$7))+(1-(((AD68+AE68)/2)))*LN((1-(((AD68+AE68)/2)))/(1-(AD$7)))-AD$6&lt;0,((AD68+AE68)/2),AD68)</f>
        <v>0.0677518178859637</v>
      </c>
      <c r="AE69" s="37" t="n">
        <f aca="false">IF((((AD68+AE68)/2))*LN((((AD68+AE68)/2))/(AD$7))+(1-(((AD68+AE68)/2)))*LN((1-(((AD68+AE68)/2)))/(1-(AD$7)))-AD$6&lt;0,AE68,((AD68+AE68)/2))</f>
        <v>0.0677518178859637</v>
      </c>
      <c r="AF69" s="37" t="n">
        <f aca="false">IF((((AF68+AG68)/2))*LN((((AF68+AG68)/2))/(AF$7))+(1-(((AF68+AG68)/2)))*LN((1-(((AF68+AG68)/2)))/(1-(AF$7)))-AF$6&lt;0,((AF68+AG68)/2),AF68)</f>
        <v>0.0836482674857246</v>
      </c>
      <c r="AG69" s="37" t="n">
        <f aca="false">IF((((AF68+AG68)/2))*LN((((AF68+AG68)/2))/(AF$7))+(1-(((AF68+AG68)/2)))*LN((1-(((AF68+AG68)/2)))/(1-(AF$7)))-AF$6&lt;0,AG68,((AF68+AG68)/2))</f>
        <v>0.0836482674857246</v>
      </c>
      <c r="AH69" s="37" t="n">
        <f aca="false">IF((((AH68+AI68)/2))*LN((((AH68+AI68)/2))/(AH$7))+(1-(((AH68+AI68)/2)))*LN((1-(((AH68+AI68)/2)))/(1-(AH$7)))-AH$6&lt;0,((AH68+AI68)/2),AH68)</f>
        <v>0.111548048226802</v>
      </c>
      <c r="AI69" s="37" t="n">
        <f aca="false">IF((((AH68+AI68)/2))*LN((((AH68+AI68)/2))/(AH$7))+(1-(((AH68+AI68)/2)))*LN((1-(((AH68+AI68)/2)))/(1-(AH$7)))-AH$6&lt;0,AI68,((AH68+AI68)/2))</f>
        <v>0.111548048226802</v>
      </c>
      <c r="AJ69" s="37" t="n">
        <f aca="false">IF((((AJ68+AK68)/2))*LN((((AJ68+AK68)/2))/(AJ$7))+(1-(((AJ68+AK68)/2)))*LN((1-(((AJ68+AK68)/2)))/(1-(AJ$7)))-AJ$6&lt;0,((AJ68+AK68)/2),AJ68)</f>
        <v>0.172949347713484</v>
      </c>
      <c r="AK69" s="37" t="n">
        <f aca="false">IF((((AJ68+AK68)/2))*LN((((AJ68+AK68)/2))/(AJ$7))+(1-(((AJ68+AK68)/2)))*LN((1-(((AJ68+AK68)/2)))/(1-(AJ$7)))-AJ$6&lt;0,AK68,((AJ68+AK68)/2))</f>
        <v>0.172949347713484</v>
      </c>
      <c r="AL69" s="37" t="n">
        <f aca="false">IF((((AL68+AM68)/2))*LN((((AL68+AM68)/2))/(AL$7))+(1-(((AL68+AM68)/2)))*LN((1-(((AL68+AM68)/2)))/(1-(AL$7)))-AL$6&lt;0,((AL68+AM68)/2),AL68)</f>
        <v>0.288519197341886</v>
      </c>
      <c r="AM69" s="37" t="n">
        <f aca="false">IF((((AL68+AM68)/2))*LN((((AL68+AM68)/2))/(AL$7))+(1-(((AL68+AM68)/2)))*LN((1-(((AL68+AM68)/2)))/(1-(AL$7)))-AL$6&lt;0,AM68,((AL68+AM68)/2))</f>
        <v>0.288519197341886</v>
      </c>
      <c r="AN69" s="37" t="n">
        <f aca="false">IF((((AN68+AO68)/2))*LN((((AN68+AO68)/2))/(AN$7))+(1-(((AN68+AO68)/2)))*LN((1-(((AN68+AO68)/2)))/(1-(AN$7)))-AN$6&lt;0,((AN68+AO68)/2),AN68)</f>
        <v>0.555514150436409</v>
      </c>
      <c r="AO69" s="37" t="n">
        <f aca="false">IF((((AN68+AO68)/2))*LN((((AN68+AO68)/2))/(AN$7))+(1-(((AN68+AO68)/2)))*LN((1-(((AN68+AO68)/2)))/(1-(AN$7)))-AN$6&lt;0,AO68,((AN68+AO68)/2))</f>
        <v>0.555514150436409</v>
      </c>
      <c r="AP69" s="37" t="n">
        <f aca="false">IF(AP$7*LN(AP$7)-AP$7*((AP68+AQ68)/2)+(1-AP$7)*LN(1-AP$7)-(1-AP$7)*LN(1-EXP(((AP68+AQ68)/2)))-AP$6&gt;0,((AP68+AQ68)/2),AP68)</f>
        <v>-3.68963394600533</v>
      </c>
      <c r="AQ69" s="37" t="n">
        <f aca="false">IF(AP$7*LN(AP$7)-AP$7*((AP68+AQ68)/2)+(1-AP$7)*LN(1-AP$7)-(1-AP$7)*LN(1-EXP(((AP68+AQ68)/2)))-AP$6&gt;0,AQ68,((AP68+AQ68)/2))</f>
        <v>-3.68963394600533</v>
      </c>
      <c r="AR69" s="37" t="n">
        <f aca="false">IF((((AR68+AS68)/2))*LN((((AR68+AS68)/2))/(AR$7))+(1-(((AR68+AS68)/2)))*LN((1-(((AR68+AS68)/2)))/(1-(AR$7)))-AR$6&lt;0,((AR68+AS68)/2),AR68)</f>
        <v>0.0836482674857246</v>
      </c>
      <c r="AS69" s="37" t="n">
        <f aca="false">IF((((AR68+AS68)/2))*LN((((AR68+AS68)/2))/(AR$7))+(1-(((AR68+AS68)/2)))*LN((1-(((AR68+AS68)/2)))/(1-(AR$7)))-AR$6&lt;0,AS68,((AR68+AS68)/2))</f>
        <v>0.0836482674857246</v>
      </c>
    </row>
    <row r="71" customFormat="false" ht="15" hidden="false" customHeight="false" outlineLevel="0" collapsed="false">
      <c r="A71" s="4" t="s">
        <v>221</v>
      </c>
      <c r="B71" s="38" t="n">
        <f aca="false">EXP((B69+C69)/2)</f>
        <v>2.92656666513344E-006</v>
      </c>
      <c r="D71" s="38" t="n">
        <f aca="false">EXP((D69+E69)/2)</f>
        <v>1.0875870550699E-007</v>
      </c>
      <c r="F71" s="38" t="n">
        <f aca="false">EXP((F69+G69)/2)</f>
        <v>1.68685945706765E-011</v>
      </c>
      <c r="H71" s="38" t="n">
        <f aca="false">EXP((H69+I69)/2)</f>
        <v>0.0408482563896957</v>
      </c>
      <c r="J71" s="38" t="n">
        <f aca="false">EXP((J69+K69)/2)</f>
        <v>0.0374012612403768</v>
      </c>
      <c r="L71" s="38" t="n">
        <f aca="false">EXP((L69+M69)/2)</f>
        <v>0.0311420171306599</v>
      </c>
      <c r="N71" s="38" t="n">
        <f aca="false">EXP((N69+O69)/2)</f>
        <v>0.024981144816651</v>
      </c>
      <c r="P71" s="38" t="n">
        <f aca="false">EXP((P69+Q69)/2)</f>
        <v>0.0177863835365825</v>
      </c>
      <c r="R71" s="38" t="n">
        <f aca="false">EXP((R69+S69)/2)</f>
        <v>0.0133732506550018</v>
      </c>
      <c r="T71" s="38" t="n">
        <f aca="false">EXP((T69+U69)/2)</f>
        <v>0.00810108378668787</v>
      </c>
      <c r="V71" s="38" t="n">
        <f aca="false">EXP((V69+W69)/2)</f>
        <v>0.00459493883434537</v>
      </c>
      <c r="X71" s="38" t="n">
        <f aca="false">EXP((X69+Y69)/2)</f>
        <v>0.00268741575366596</v>
      </c>
      <c r="Z71" s="38" t="n">
        <f aca="false">EXP((Z69+AA69)/2)</f>
        <v>0.000956604344180015</v>
      </c>
      <c r="AB71" s="39" t="n">
        <f aca="false">(AB69+AC69)/2</f>
        <v>0.0600408213770422</v>
      </c>
      <c r="AD71" s="39" t="n">
        <f aca="false">(AD69+AE69)/2</f>
        <v>0.0677518178859637</v>
      </c>
      <c r="AF71" s="39" t="n">
        <f aca="false">(AF69+AG69)/2</f>
        <v>0.0836482674857246</v>
      </c>
      <c r="AH71" s="39" t="n">
        <f aca="false">(AH69+AI69)/2</f>
        <v>0.111548048226802</v>
      </c>
      <c r="AJ71" s="39" t="n">
        <f aca="false">(AJ69+AK69)/2</f>
        <v>0.172949347713484</v>
      </c>
      <c r="AL71" s="39" t="n">
        <f aca="false">(AL69+AM69)/2</f>
        <v>0.288519197341886</v>
      </c>
      <c r="AN71" s="39" t="n">
        <f aca="false">(AN69+AO69)/2</f>
        <v>0.555514150436409</v>
      </c>
      <c r="AP71" s="38" t="n">
        <f aca="false">EXP((AP69+AQ69)/2)</f>
        <v>0.024981144816651</v>
      </c>
      <c r="AR71" s="39" t="n">
        <f aca="false">(AR69+AS69)/2</f>
        <v>0.0836482674857246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22"/>
    <col collapsed="false" customWidth="true" hidden="false" outlineLevel="0" max="3" min="3" style="0" width="18"/>
    <col collapsed="false" customWidth="true" hidden="false" outlineLevel="0" max="4" min="4" style="0" width="20"/>
    <col collapsed="false" customWidth="true" hidden="false" outlineLevel="0" max="7" min="5" style="0" width="10"/>
    <col collapsed="false" customWidth="true" hidden="false" outlineLevel="0" max="10" min="8" style="0" width="14"/>
  </cols>
  <sheetData>
    <row r="1" customFormat="false" ht="15" hidden="false" customHeight="false" outlineLevel="0" collapsed="false">
      <c r="A1" s="1" t="s">
        <v>222</v>
      </c>
    </row>
    <row r="2" customFormat="false" ht="15" hidden="false" customHeight="false" outlineLevel="0" collapsed="false">
      <c r="A2" s="10" t="s">
        <v>223</v>
      </c>
    </row>
    <row r="4" customFormat="false" ht="15" hidden="false" customHeight="false" outlineLevel="0" collapsed="false">
      <c r="A4" s="2" t="s">
        <v>224</v>
      </c>
      <c r="B4" s="40" t="n">
        <f aca="false">Alpha*NPaths</f>
        <v>5000</v>
      </c>
      <c r="C4" s="10" t="s">
        <v>225</v>
      </c>
    </row>
    <row r="6" customFormat="false" ht="35.05" hidden="false" customHeight="false" outlineLevel="0" collapsed="false">
      <c r="A6" s="8" t="s">
        <v>226</v>
      </c>
      <c r="B6" s="8" t="s">
        <v>227</v>
      </c>
      <c r="C6" s="8" t="s">
        <v>228</v>
      </c>
      <c r="D6" s="8" t="s">
        <v>229</v>
      </c>
      <c r="E6" s="8" t="s">
        <v>131</v>
      </c>
      <c r="F6" s="8" t="s">
        <v>132</v>
      </c>
      <c r="G6" s="8" t="s">
        <v>135</v>
      </c>
      <c r="H6" s="8" t="s">
        <v>189</v>
      </c>
      <c r="I6" s="8" t="s">
        <v>190</v>
      </c>
      <c r="J6" s="8" t="s">
        <v>191</v>
      </c>
    </row>
    <row r="7" customFormat="false" ht="15" hidden="false" customHeight="false" outlineLevel="0" collapsed="false">
      <c r="A7" s="12" t="n">
        <v>0.01</v>
      </c>
      <c r="B7" s="17" t="n">
        <f aca="false">A7/Alpha</f>
        <v>0.2</v>
      </c>
      <c r="C7" s="41" t="n">
        <v>0.200000000673154</v>
      </c>
      <c r="D7" s="22" t="n">
        <v>0.0564256556067802</v>
      </c>
      <c r="E7" s="26" t="n">
        <v>165</v>
      </c>
      <c r="F7" s="27" t="n">
        <v>0.82696418085834</v>
      </c>
      <c r="G7" s="17" t="n">
        <f aca="false">Fee*E7+VQ*F7</f>
        <v>11.5657134468667</v>
      </c>
      <c r="H7" s="22" t="n">
        <v>0.044</v>
      </c>
      <c r="I7" s="22" t="n">
        <v>0.04317</v>
      </c>
      <c r="J7" s="17" t="n">
        <f aca="false">G7-Family!$J$5</f>
        <v>1.12510255545372</v>
      </c>
    </row>
    <row r="8" customFormat="false" ht="15" hidden="false" customHeight="false" outlineLevel="0" collapsed="false">
      <c r="A8" s="12" t="n">
        <v>0.02</v>
      </c>
      <c r="B8" s="17" t="n">
        <f aca="false">A8/Alpha</f>
        <v>0.4</v>
      </c>
      <c r="C8" s="41" t="n">
        <v>0.400000001426023</v>
      </c>
      <c r="E8" s="26" t="n">
        <v>165</v>
      </c>
      <c r="F8" s="27" t="n">
        <v>0.886519796622451</v>
      </c>
      <c r="G8" s="17" t="n">
        <f aca="false">Fee*E8+VQ*F8</f>
        <v>12.0421583729796</v>
      </c>
      <c r="H8" s="22" t="n">
        <v>0.04167</v>
      </c>
      <c r="I8" s="22" t="n">
        <v>0.04107</v>
      </c>
      <c r="J8" s="17" t="n">
        <f aca="false">G8-Family!$J$5</f>
        <v>1.60154748156661</v>
      </c>
    </row>
    <row r="9" customFormat="false" ht="15" hidden="false" customHeight="false" outlineLevel="0" collapsed="false">
      <c r="A9" s="12" t="n">
        <v>0.05</v>
      </c>
      <c r="B9" s="17" t="n">
        <f aca="false">A9/Alpha</f>
        <v>1</v>
      </c>
      <c r="C9" s="41" t="n">
        <v>1.000000000932</v>
      </c>
      <c r="D9" s="22" t="n">
        <v>0.0646928276959694</v>
      </c>
      <c r="E9" s="26" t="n">
        <v>165</v>
      </c>
      <c r="F9" s="27" t="n">
        <v>1.00684639468091</v>
      </c>
      <c r="G9" s="17" t="n">
        <f aca="false">Fee*E9+VQ*F9</f>
        <v>13.0047711574472</v>
      </c>
      <c r="H9" s="22" t="n">
        <v>0.03709</v>
      </c>
      <c r="I9" s="22" t="n">
        <v>0.03655</v>
      </c>
      <c r="J9" s="17" t="n">
        <f aca="false">G9-Family!$J$5</f>
        <v>2.56416026603425</v>
      </c>
    </row>
    <row r="10" customFormat="false" ht="15" hidden="false" customHeight="false" outlineLevel="0" collapsed="false">
      <c r="A10" s="12" t="n">
        <v>0.1</v>
      </c>
      <c r="B10" s="17" t="n">
        <f aca="false">A10/Alpha</f>
        <v>2</v>
      </c>
      <c r="C10" s="41" t="n">
        <v>2.00000000213126</v>
      </c>
      <c r="D10" s="22" t="n">
        <v>0.071131775846798</v>
      </c>
      <c r="E10" s="26" t="n">
        <v>165</v>
      </c>
      <c r="F10" s="27" t="n">
        <v>1.14804515475407</v>
      </c>
      <c r="G10" s="17" t="n">
        <f aca="false">Fee*E10+VQ*F10</f>
        <v>14.1343612380326</v>
      </c>
      <c r="H10" s="22" t="n">
        <v>0.03233</v>
      </c>
      <c r="I10" s="22" t="n">
        <v>0.03205</v>
      </c>
      <c r="J10" s="17" t="n">
        <f aca="false">G10-Family!$J$5</f>
        <v>3.69375034661958</v>
      </c>
    </row>
    <row r="11" customFormat="false" ht="15" hidden="false" customHeight="false" outlineLevel="0" collapsed="false">
      <c r="A11" s="12" t="n">
        <v>0.2</v>
      </c>
      <c r="B11" s="17" t="n">
        <f aca="false">A11/Alpha</f>
        <v>4</v>
      </c>
      <c r="C11" s="41" t="n">
        <v>4.0000000007331</v>
      </c>
      <c r="D11" s="22" t="n">
        <v>0.0805292375973189</v>
      </c>
      <c r="E11" s="26" t="n">
        <v>170</v>
      </c>
      <c r="F11" s="27" t="n">
        <v>1.33513182465686</v>
      </c>
      <c r="G11" s="17" t="n">
        <f aca="false">Fee*E11+VQ*F11</f>
        <v>15.7810545972548</v>
      </c>
      <c r="H11" s="22" t="n">
        <v>0.02613</v>
      </c>
      <c r="I11" s="22" t="n">
        <v>0.02607</v>
      </c>
      <c r="J11" s="17" t="n">
        <f aca="false">G11-Family!$J$5</f>
        <v>5.34044370584184</v>
      </c>
    </row>
    <row r="12" customFormat="false" ht="15" hidden="false" customHeight="false" outlineLevel="0" collapsed="false">
      <c r="A12" s="12" t="n">
        <v>0.5</v>
      </c>
      <c r="B12" s="17" t="n">
        <f aca="false">A12/Alpha</f>
        <v>10</v>
      </c>
      <c r="C12" s="41" t="n">
        <v>10.0000000046319</v>
      </c>
      <c r="D12" s="22" t="n">
        <v>0.100005865612748</v>
      </c>
      <c r="E12" s="26" t="n">
        <v>175</v>
      </c>
      <c r="F12" s="27" t="n">
        <v>1.76074673893163</v>
      </c>
      <c r="G12" s="17" t="n">
        <f aca="false">Fee*E12+VQ*F12</f>
        <v>19.335973911453</v>
      </c>
      <c r="H12" s="22" t="n">
        <v>0.0167</v>
      </c>
      <c r="I12" s="22" t="n">
        <v>0.01613</v>
      </c>
      <c r="J12" s="17" t="n">
        <f aca="false">G12-Family!$J$5</f>
        <v>8.89536302004004</v>
      </c>
    </row>
    <row r="13" customFormat="false" ht="15" hidden="false" customHeight="false" outlineLevel="0" collapsed="false">
      <c r="A13" s="12" t="n">
        <v>1</v>
      </c>
      <c r="B13" s="17" t="n">
        <f aca="false">A13/Alpha</f>
        <v>20</v>
      </c>
      <c r="C13" s="41" t="n">
        <v>20.000000000186</v>
      </c>
      <c r="D13" s="22" t="n">
        <v>0.123199540643756</v>
      </c>
      <c r="E13" s="26" t="n">
        <v>175</v>
      </c>
      <c r="F13" s="27" t="n">
        <v>2.33704368904</v>
      </c>
      <c r="G13" s="17" t="n">
        <f aca="false">Fee*E13+VQ*F13</f>
        <v>23.94634951232</v>
      </c>
      <c r="H13" s="22" t="n">
        <v>0.00912</v>
      </c>
      <c r="I13" s="22" t="n">
        <v>0.00889</v>
      </c>
      <c r="J13" s="17" t="n">
        <f aca="false">G13-Family!$J$5</f>
        <v>13.505738620907</v>
      </c>
    </row>
    <row r="16" customFormat="false" ht="15" hidden="false" customHeight="false" outlineLevel="0" collapsed="false">
      <c r="A16" s="2" t="s">
        <v>230</v>
      </c>
      <c r="B16" s="16" t="n">
        <f aca="false">Records!B11-1</f>
        <v>0.231982938136182</v>
      </c>
      <c r="C16" s="10" t="s">
        <v>231</v>
      </c>
    </row>
    <row r="17" customFormat="false" ht="15" hidden="false" customHeight="false" outlineLevel="0" collapsed="false">
      <c r="A17" s="2" t="s">
        <v>232</v>
      </c>
      <c r="B17" s="42" t="n">
        <v>113.231921897703</v>
      </c>
      <c r="C17" s="10" t="s">
        <v>233</v>
      </c>
    </row>
    <row r="18" customFormat="false" ht="15" hidden="false" customHeight="false" outlineLevel="0" collapsed="false">
      <c r="A18" s="2" t="s">
        <v>234</v>
      </c>
      <c r="B18" s="14" t="n">
        <f aca="false">B16*B17</f>
        <v>26.2678739326358</v>
      </c>
      <c r="C18" s="10" t="s">
        <v>235</v>
      </c>
    </row>
    <row r="19" customFormat="false" ht="15" hidden="false" customHeight="false" outlineLevel="0" collapsed="false">
      <c r="A19" s="2" t="s">
        <v>236</v>
      </c>
      <c r="B19" s="15" t="n">
        <f aca="false">B18/Alpha</f>
        <v>525.357478652717</v>
      </c>
      <c r="C19" s="10" t="s">
        <v>237</v>
      </c>
    </row>
    <row r="20" customFormat="false" ht="15" hidden="false" customHeight="false" outlineLevel="0" collapsed="false">
      <c r="A20" s="2" t="s">
        <v>238</v>
      </c>
      <c r="B20" s="42" t="n">
        <v>121.935569985777</v>
      </c>
      <c r="C20" s="10" t="s">
        <v>239</v>
      </c>
    </row>
    <row r="21" customFormat="false" ht="15" hidden="false" customHeight="false" outlineLevel="0" collapsed="false">
      <c r="A21" s="2" t="s">
        <v>240</v>
      </c>
      <c r="B21" s="14" t="n">
        <f aca="false">B19/B20</f>
        <v>4.30848421600026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8"/>
    <col collapsed="false" customWidth="true" hidden="false" outlineLevel="0" max="4" min="4" style="0" width="16"/>
    <col collapsed="false" customWidth="true" hidden="false" outlineLevel="0" max="6" min="5" style="0" width="14"/>
    <col collapsed="false" customWidth="true" hidden="false" outlineLevel="0" max="8" min="7" style="0" width="18"/>
    <col collapsed="false" customWidth="true" hidden="false" outlineLevel="0" max="9" min="9" style="0" width="22"/>
  </cols>
  <sheetData>
    <row r="1" customFormat="false" ht="15" hidden="false" customHeight="false" outlineLevel="0" collapsed="false">
      <c r="A1" s="1" t="s">
        <v>241</v>
      </c>
    </row>
    <row r="2" customFormat="false" ht="15" hidden="false" customHeight="false" outlineLevel="0" collapsed="false">
      <c r="A2" s="10" t="s">
        <v>242</v>
      </c>
    </row>
    <row r="4" customFormat="false" ht="23.85" hidden="false" customHeight="false" outlineLevel="0" collapsed="false">
      <c r="A4" s="8" t="s">
        <v>243</v>
      </c>
      <c r="B4" s="8" t="s">
        <v>244</v>
      </c>
      <c r="C4" s="8" t="s">
        <v>245</v>
      </c>
      <c r="D4" s="8" t="s">
        <v>246</v>
      </c>
      <c r="E4" s="8" t="s">
        <v>247</v>
      </c>
      <c r="F4" s="8" t="s">
        <v>248</v>
      </c>
      <c r="G4" s="8" t="s">
        <v>249</v>
      </c>
      <c r="H4" s="8" t="s">
        <v>250</v>
      </c>
      <c r="I4" s="8" t="s">
        <v>251</v>
      </c>
    </row>
    <row r="5" customFormat="false" ht="15" hidden="false" customHeight="false" outlineLevel="0" collapsed="false">
      <c r="A5" s="4" t="s">
        <v>252</v>
      </c>
      <c r="B5" s="20" t="n">
        <v>0.385</v>
      </c>
      <c r="C5" s="22" t="n">
        <v>0.0520926</v>
      </c>
      <c r="D5" s="22" t="n">
        <v>0.062296</v>
      </c>
      <c r="E5" s="41" t="n">
        <v>10.1850446334743</v>
      </c>
      <c r="F5" s="42" t="n">
        <v>161.45</v>
      </c>
    </row>
    <row r="6" customFormat="false" ht="15" hidden="false" customHeight="false" outlineLevel="0" collapsed="false">
      <c r="A6" s="4" t="s">
        <v>253</v>
      </c>
      <c r="B6" s="20" t="n">
        <v>0.7</v>
      </c>
      <c r="C6" s="22" t="n">
        <v>0.047018</v>
      </c>
      <c r="D6" s="22" t="n">
        <v>0.057738</v>
      </c>
      <c r="E6" s="41" t="n">
        <v>11.0892523243831</v>
      </c>
      <c r="F6" s="42" t="n">
        <v>164.1</v>
      </c>
      <c r="G6" s="17" t="n">
        <f aca="false">E6-$E$5</f>
        <v>0.904207690908811</v>
      </c>
      <c r="H6" s="14" t="n">
        <f aca="false">100*(B6-$B$5)</f>
        <v>31.5</v>
      </c>
      <c r="I6" s="14" t="n">
        <f aca="false">H6/G6</f>
        <v>34.8371290320918</v>
      </c>
    </row>
    <row r="7" customFormat="false" ht="15" hidden="false" customHeight="false" outlineLevel="0" collapsed="false">
      <c r="A7" s="4" t="s">
        <v>254</v>
      </c>
      <c r="B7" s="20" t="n">
        <v>0.87</v>
      </c>
      <c r="C7" s="22" t="n">
        <v>0.04210155</v>
      </c>
      <c r="D7" s="22" t="n">
        <v>0.050855</v>
      </c>
      <c r="E7" s="41" t="n">
        <v>12.0863631176449</v>
      </c>
      <c r="F7" s="42" t="n">
        <v>163.75</v>
      </c>
      <c r="G7" s="17" t="n">
        <f aca="false">E7-$E$5</f>
        <v>1.90131848417055</v>
      </c>
      <c r="H7" s="14" t="n">
        <f aca="false">100*(B7-$B$5)</f>
        <v>48.5</v>
      </c>
      <c r="I7" s="14" t="n">
        <f aca="false">H7/G7</f>
        <v>25.5086143661818</v>
      </c>
    </row>
    <row r="8" customFormat="false" ht="15" hidden="false" customHeight="false" outlineLevel="0" collapsed="false">
      <c r="A8" s="4" t="s">
        <v>255</v>
      </c>
      <c r="B8" s="20" t="n">
        <v>0.985</v>
      </c>
      <c r="C8" s="22" t="n">
        <v>0.0372773</v>
      </c>
      <c r="D8" s="22" t="n">
        <v>0.045212</v>
      </c>
      <c r="E8" s="41" t="n">
        <v>13.1222943038867</v>
      </c>
      <c r="F8" s="42" t="n">
        <v>165.25</v>
      </c>
      <c r="G8" s="17" t="n">
        <f aca="false">E8-$E$5</f>
        <v>2.93724967041242</v>
      </c>
      <c r="H8" s="14" t="n">
        <f aca="false">100*(B8-$B$5)</f>
        <v>60</v>
      </c>
      <c r="I8" s="14" t="n">
        <f aca="false">H8/G8</f>
        <v>20.4272726981276</v>
      </c>
    </row>
    <row r="9" customFormat="false" ht="15" hidden="false" customHeight="false" outlineLevel="0" collapsed="false">
      <c r="A9" s="4" t="s">
        <v>256</v>
      </c>
      <c r="B9" s="20" t="n">
        <v>1</v>
      </c>
      <c r="C9" s="22" t="n">
        <v>0.0322493</v>
      </c>
      <c r="D9" s="22" t="n">
        <v>0.038511</v>
      </c>
      <c r="E9" s="41" t="n">
        <v>14.3275798898468</v>
      </c>
      <c r="F9" s="42" t="n">
        <v>168.625</v>
      </c>
      <c r="G9" s="17" t="n">
        <f aca="false">E9-$E$5</f>
        <v>4.14253525637247</v>
      </c>
      <c r="H9" s="14" t="n">
        <f aca="false">100*(B9-$B$5)</f>
        <v>61.5</v>
      </c>
      <c r="I9" s="14" t="n">
        <f aca="false">H9/G9</f>
        <v>14.8459810705037</v>
      </c>
    </row>
    <row r="10" customFormat="false" ht="15" hidden="false" customHeight="false" outlineLevel="0" collapsed="false">
      <c r="A10" s="4" t="s">
        <v>257</v>
      </c>
      <c r="B10" s="20" t="n">
        <v>0.785</v>
      </c>
      <c r="C10" s="22" t="n">
        <v>0.04505895</v>
      </c>
      <c r="D10" s="22" t="n">
        <v>0.055135</v>
      </c>
      <c r="E10" s="41" t="n">
        <v>11.4423224659413</v>
      </c>
      <c r="F10" s="42" t="n">
        <v>163.8</v>
      </c>
      <c r="G10" s="17" t="n">
        <f aca="false">E10-$E$5</f>
        <v>1.25727783246701</v>
      </c>
      <c r="H10" s="14" t="n">
        <f aca="false">100*(B10-$B$5)</f>
        <v>40</v>
      </c>
      <c r="I10" s="14" t="n">
        <f aca="false">H10/G10</f>
        <v>31.8147659706309</v>
      </c>
    </row>
    <row r="11" customFormat="false" ht="15" hidden="false" customHeight="false" outlineLevel="0" collapsed="false">
      <c r="A11" s="4" t="s">
        <v>258</v>
      </c>
      <c r="B11" s="20" t="n">
        <v>0.865</v>
      </c>
      <c r="C11" s="22" t="n">
        <v>0.0425661</v>
      </c>
      <c r="D11" s="22" t="n">
        <v>0.051903</v>
      </c>
      <c r="E11" s="41" t="n">
        <v>11.9416105509922</v>
      </c>
      <c r="F11" s="42" t="n">
        <v>164.875</v>
      </c>
      <c r="G11" s="17" t="n">
        <f aca="false">E11-$E$5</f>
        <v>1.75656591751789</v>
      </c>
      <c r="H11" s="14" t="n">
        <f aca="false">100*(B11-$B$5)</f>
        <v>48</v>
      </c>
      <c r="I11" s="14" t="n">
        <f aca="false">H11/G11</f>
        <v>27.3260453942009</v>
      </c>
    </row>
    <row r="12" customFormat="false" ht="15" hidden="false" customHeight="false" outlineLevel="0" collapsed="false">
      <c r="A12" s="4" t="s">
        <v>259</v>
      </c>
      <c r="B12" s="20" t="n">
        <v>0.915</v>
      </c>
      <c r="C12" s="22" t="n">
        <v>0.040799</v>
      </c>
      <c r="D12" s="22" t="n">
        <v>0.049599</v>
      </c>
      <c r="E12" s="41" t="n">
        <v>12.3272973487154</v>
      </c>
      <c r="F12" s="42" t="n">
        <v>164.375</v>
      </c>
      <c r="G12" s="17" t="n">
        <f aca="false">E12-$E$5</f>
        <v>2.14225271524107</v>
      </c>
      <c r="H12" s="14" t="n">
        <f aca="false">100*(B12-$B$5)</f>
        <v>53</v>
      </c>
      <c r="I12" s="14" t="n">
        <f aca="false">H12/G12</f>
        <v>24.740311739568</v>
      </c>
    </row>
    <row r="13" customFormat="false" ht="15" hidden="false" customHeight="false" outlineLevel="0" collapsed="false">
      <c r="A13" s="4" t="s">
        <v>260</v>
      </c>
      <c r="B13" s="20" t="n">
        <v>0.975</v>
      </c>
      <c r="C13" s="22" t="n">
        <v>0.0379999</v>
      </c>
      <c r="D13" s="22" t="n">
        <v>0.046046</v>
      </c>
      <c r="E13" s="41" t="n">
        <v>12.9388366015404</v>
      </c>
      <c r="F13" s="42" t="n">
        <v>164.55</v>
      </c>
      <c r="G13" s="17" t="n">
        <f aca="false">E13-$E$5</f>
        <v>2.75379196806614</v>
      </c>
      <c r="H13" s="14" t="n">
        <f aca="false">100*(B13-$B$5)</f>
        <v>59</v>
      </c>
      <c r="I13" s="14" t="n">
        <f aca="false">H13/G13</f>
        <v>21.4250025725193</v>
      </c>
    </row>
    <row r="14" customFormat="false" ht="15" hidden="false" customHeight="false" outlineLevel="0" collapsed="false">
      <c r="A14" s="4" t="s">
        <v>261</v>
      </c>
      <c r="B14" s="20" t="n">
        <v>0.995</v>
      </c>
      <c r="C14" s="22" t="n">
        <v>0.0332301</v>
      </c>
      <c r="D14" s="22" t="n">
        <v>0.040581</v>
      </c>
      <c r="E14" s="41" t="n">
        <v>14.0667689925805</v>
      </c>
      <c r="F14" s="42" t="n">
        <v>167.25</v>
      </c>
      <c r="G14" s="17" t="n">
        <f aca="false">E14-$E$5</f>
        <v>3.88172435910617</v>
      </c>
      <c r="H14" s="14" t="n">
        <f aca="false">100*(B14-$B$5)</f>
        <v>61</v>
      </c>
      <c r="I14" s="14" t="n">
        <f aca="false">H14/G14</f>
        <v>15.7146655343777</v>
      </c>
    </row>
    <row r="15" customFormat="false" ht="15" hidden="false" customHeight="false" outlineLevel="0" collapsed="false">
      <c r="A15" s="4" t="s">
        <v>262</v>
      </c>
      <c r="B15" s="20" t="n">
        <v>1</v>
      </c>
      <c r="C15" s="22" t="n">
        <v>0.02700645</v>
      </c>
      <c r="D15" s="22" t="n">
        <v>0.033121</v>
      </c>
      <c r="E15" s="41" t="n">
        <v>15.7319522180185</v>
      </c>
      <c r="F15" s="42" t="n">
        <v>169.3</v>
      </c>
      <c r="G15" s="17" t="n">
        <f aca="false">E15-$E$5</f>
        <v>5.54690758454417</v>
      </c>
      <c r="H15" s="14" t="n">
        <f aca="false">100*(B15-$B$5)</f>
        <v>61.5</v>
      </c>
      <c r="I15" s="14" t="n">
        <f aca="false">H15/G15</f>
        <v>11.0872588127054</v>
      </c>
    </row>
    <row r="17" customFormat="false" ht="15" hidden="false" customHeight="false" outlineLevel="0" collapsed="false">
      <c r="A17" s="10"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7" min="6" style="0" width="12"/>
    <col collapsed="false" customWidth="true" hidden="false" outlineLevel="0" max="8" min="8" style="0" width="18"/>
    <col collapsed="false" customWidth="true" hidden="false" outlineLevel="0" max="10" min="9" style="0" width="14"/>
  </cols>
  <sheetData>
    <row r="1" customFormat="false" ht="15" hidden="false" customHeight="false" outlineLevel="0" collapsed="false">
      <c r="A1" s="1" t="s">
        <v>264</v>
      </c>
    </row>
    <row r="2" customFormat="false" ht="15" hidden="false" customHeight="false" outlineLevel="0" collapsed="false">
      <c r="A2" s="10" t="s">
        <v>265</v>
      </c>
    </row>
    <row r="4" customFormat="false" ht="35.05" hidden="false" customHeight="false" outlineLevel="0" collapsed="false">
      <c r="A4" s="8" t="s">
        <v>266</v>
      </c>
      <c r="B4" s="8" t="s">
        <v>267</v>
      </c>
      <c r="C4" s="8" t="s">
        <v>268</v>
      </c>
      <c r="D4" s="8" t="s">
        <v>269</v>
      </c>
      <c r="E4" s="8" t="s">
        <v>270</v>
      </c>
      <c r="F4" s="8" t="s">
        <v>271</v>
      </c>
      <c r="G4" s="8" t="s">
        <v>272</v>
      </c>
      <c r="H4" s="8" t="s">
        <v>273</v>
      </c>
      <c r="I4" s="8" t="s">
        <v>274</v>
      </c>
      <c r="J4" s="8" t="s">
        <v>275</v>
      </c>
    </row>
    <row r="5" customFormat="false" ht="15" hidden="false" customHeight="false" outlineLevel="0" collapsed="false">
      <c r="A5" s="15" t="n">
        <v>1</v>
      </c>
      <c r="B5" s="17" t="n">
        <f aca="false">A5/4</f>
        <v>0.25</v>
      </c>
      <c r="C5" s="16" t="n">
        <f aca="false">(B5/Tpk)*EXP(1-B5/Tpk)</f>
        <v>0.299859411745887</v>
      </c>
      <c r="D5" s="17" t="n">
        <f aca="false">DPQ*PerPt*C5</f>
        <v>7.436513411298</v>
      </c>
      <c r="E5" s="42" t="n">
        <v>229.012406957387</v>
      </c>
      <c r="F5" s="42" t="n">
        <v>50.1050025481073</v>
      </c>
      <c r="G5" s="19" t="n">
        <f aca="false">IF(E5&gt;0,F5^2/(F5^2+E5^2),1)</f>
        <v>0.0456812130643655</v>
      </c>
      <c r="H5" s="42" t="n">
        <v>224.006914235904</v>
      </c>
      <c r="I5" s="42" t="n">
        <v>50.1379788803768</v>
      </c>
      <c r="J5" s="43" t="n">
        <f aca="false">MAX(0,($B$24*I5-H5)/D5)</f>
        <v>0</v>
      </c>
    </row>
    <row r="6" customFormat="false" ht="15" hidden="false" customHeight="false" outlineLevel="0" collapsed="false">
      <c r="A6" s="15" t="n">
        <v>2</v>
      </c>
      <c r="B6" s="17" t="n">
        <f aca="false">A6/4</f>
        <v>0.5</v>
      </c>
      <c r="C6" s="16" t="n">
        <f aca="false">(B6/Tpk)*EXP(1-B6/Tpk)</f>
        <v>0.529250004153169</v>
      </c>
      <c r="D6" s="17" t="n">
        <f aca="false">DPQ*PerPt*C6</f>
        <v>13.1254001029986</v>
      </c>
      <c r="E6" s="42" t="n">
        <v>198.615058566806</v>
      </c>
      <c r="F6" s="42" t="n">
        <v>58.3755320691766</v>
      </c>
      <c r="G6" s="19" t="n">
        <f aca="false">IF(E6&gt;0,F6^2/(F6^2+E6^2),1)</f>
        <v>0.0795158445353028</v>
      </c>
      <c r="H6" s="42" t="n">
        <v>189.770218694692</v>
      </c>
      <c r="I6" s="42" t="n">
        <v>58.4314098313608</v>
      </c>
      <c r="J6" s="43" t="n">
        <f aca="false">MAX(0,($B$24*I6-H6)/D6)</f>
        <v>4.94662192232794</v>
      </c>
    </row>
    <row r="7" customFormat="false" ht="15" hidden="false" customHeight="false" outlineLevel="0" collapsed="false">
      <c r="A7" s="15" t="n">
        <v>3</v>
      </c>
      <c r="B7" s="17" t="n">
        <f aca="false">A7/4</f>
        <v>0.75</v>
      </c>
      <c r="C7" s="16" t="n">
        <f aca="false">(B7/Tpk)*EXP(1-B7/Tpk)</f>
        <v>0.700592234037083</v>
      </c>
      <c r="D7" s="17" t="n">
        <f aca="false">DPQ*PerPt*C7</f>
        <v>17.3746874041197</v>
      </c>
      <c r="E7" s="42" t="n">
        <v>176.910849526831</v>
      </c>
      <c r="F7" s="42" t="n">
        <v>61.1567250041382</v>
      </c>
      <c r="G7" s="19" t="n">
        <f aca="false">IF(E7&gt;0,F7^2/(F7^2+E7^2),1)</f>
        <v>0.106746628947915</v>
      </c>
      <c r="H7" s="42" t="n">
        <v>165.182426541798</v>
      </c>
      <c r="I7" s="42" t="n">
        <v>61.2354702372054</v>
      </c>
      <c r="J7" s="43" t="n">
        <f aca="false">MAX(0,($B$24*I7-H7)/D7)</f>
        <v>5.85546074102321</v>
      </c>
    </row>
    <row r="8" customFormat="false" ht="15" hidden="false" customHeight="false" outlineLevel="0" collapsed="false">
      <c r="A8" s="15" t="n">
        <v>4</v>
      </c>
      <c r="B8" s="17" t="n">
        <f aca="false">A8/4</f>
        <v>1</v>
      </c>
      <c r="C8" s="16" t="n">
        <f aca="false">(B8/Tpk)*EXP(1-B8/Tpk)</f>
        <v>0.824360635350064</v>
      </c>
      <c r="D8" s="17" t="n">
        <f aca="false">DPQ*PerPt*C8</f>
        <v>20.4441437566816</v>
      </c>
      <c r="E8" s="42" t="n">
        <v>162.072433555824</v>
      </c>
      <c r="F8" s="42" t="n">
        <v>62.3368206307955</v>
      </c>
      <c r="G8" s="19" t="n">
        <f aca="false">IF(E8&gt;0,F8^2/(F8^2+E8^2),1)</f>
        <v>0.128870551013453</v>
      </c>
      <c r="H8" s="42" t="n">
        <v>148.250791243911</v>
      </c>
      <c r="I8" s="42" t="n">
        <v>62.4423247792512</v>
      </c>
      <c r="J8" s="43" t="n">
        <f aca="false">MAX(0,($B$24*I8-H8)/D8)</f>
        <v>6.06183334178953</v>
      </c>
    </row>
    <row r="9" customFormat="false" ht="15" hidden="false" customHeight="false" outlineLevel="0" collapsed="false">
      <c r="A9" s="15" t="n">
        <v>5</v>
      </c>
      <c r="B9" s="17" t="n">
        <f aca="false">A9/4</f>
        <v>1.25</v>
      </c>
      <c r="C9" s="16" t="n">
        <f aca="false">(B9/Tpk)*EXP(1-B9/Tpk)</f>
        <v>0.909369634136376</v>
      </c>
      <c r="D9" s="17" t="n">
        <f aca="false">DPQ*PerPt*C9</f>
        <v>22.5523669265821</v>
      </c>
      <c r="E9" s="42" t="n">
        <v>152.872354164565</v>
      </c>
      <c r="F9" s="42" t="n">
        <v>62.6790345925905</v>
      </c>
      <c r="G9" s="19" t="n">
        <f aca="false">IF(E9&gt;0,F9^2/(F9^2+E9^2),1)</f>
        <v>0.143914295256389</v>
      </c>
      <c r="H9" s="42" t="n">
        <v>137.598374449942</v>
      </c>
      <c r="I9" s="42" t="n">
        <v>62.804781830101</v>
      </c>
      <c r="J9" s="43" t="n">
        <f aca="false">MAX(0,($B$24*I9-H9)/D9)</f>
        <v>6.0375624058376</v>
      </c>
    </row>
    <row r="10" customFormat="false" ht="15" hidden="false" customHeight="false" outlineLevel="0" collapsed="false">
      <c r="A10" s="15" t="n">
        <v>6</v>
      </c>
      <c r="B10" s="17" t="n">
        <f aca="false">A10/4</f>
        <v>1.5</v>
      </c>
      <c r="C10" s="16" t="n">
        <f aca="false">(B10/Tpk)*EXP(1-B10/Tpk)</f>
        <v>0.963019062515806</v>
      </c>
      <c r="D10" s="17" t="n">
        <f aca="false">DPQ*PerPt*C10</f>
        <v>23.882872750392</v>
      </c>
      <c r="E10" s="42" t="n">
        <v>148.406018283069</v>
      </c>
      <c r="F10" s="42" t="n">
        <v>62.8536704183278</v>
      </c>
      <c r="G10" s="19" t="n">
        <f aca="false">IF(E10&gt;0,F10^2/(F10^2+E10^2),1)</f>
        <v>0.152092185141336</v>
      </c>
      <c r="H10" s="42" t="n">
        <v>132.196972101128</v>
      </c>
      <c r="I10" s="42" t="n">
        <v>63.0037951014728</v>
      </c>
      <c r="J10" s="43" t="n">
        <f aca="false">MAX(0,($B$24*I10-H10)/D10)</f>
        <v>5.96369646542614</v>
      </c>
    </row>
    <row r="11" customFormat="false" ht="15" hidden="false" customHeight="false" outlineLevel="0" collapsed="false">
      <c r="A11" s="15" t="n">
        <v>7</v>
      </c>
      <c r="B11" s="17" t="n">
        <f aca="false">A11/4</f>
        <v>1.75</v>
      </c>
      <c r="C11" s="16" t="n">
        <f aca="false">(B11/Tpk)*EXP(1-B11/Tpk)</f>
        <v>0.991504896433473</v>
      </c>
      <c r="D11" s="17" t="n">
        <f aca="false">DPQ*PerPt*C11</f>
        <v>24.5893214315501</v>
      </c>
      <c r="E11" s="42" t="n">
        <v>147.4772075545</v>
      </c>
      <c r="F11" s="42" t="n">
        <v>62.8692468735447</v>
      </c>
      <c r="G11" s="19" t="n">
        <f aca="false">IF(E11&gt;0,F11^2/(F11^2+E11^2),1)</f>
        <v>0.153783036301706</v>
      </c>
      <c r="H11" s="42" t="n">
        <v>130.754955623837</v>
      </c>
      <c r="I11" s="42" t="n">
        <v>63.0489464032191</v>
      </c>
      <c r="J11" s="43" t="n">
        <f aca="false">MAX(0,($B$24*I11-H11)/D11)</f>
        <v>5.85900797000666</v>
      </c>
    </row>
    <row r="12" customFormat="false" ht="15" hidden="false" customHeight="false" outlineLevel="0" collapsed="false">
      <c r="A12" s="15" t="n">
        <v>8</v>
      </c>
      <c r="B12" s="17" t="n">
        <f aca="false">A12/4</f>
        <v>2</v>
      </c>
      <c r="C12" s="16" t="n">
        <f aca="false">(B12/Tpk)*EXP(1-B12/Tpk)</f>
        <v>1</v>
      </c>
      <c r="D12" s="17" t="n">
        <f aca="false">DPQ*PerPt*C12</f>
        <v>24.8</v>
      </c>
      <c r="E12" s="42" t="n">
        <v>149.492431763806</v>
      </c>
      <c r="F12" s="42" t="n">
        <v>62.9151526205505</v>
      </c>
      <c r="G12" s="19" t="n">
        <f aca="false">IF(E12&gt;0,F12^2/(F12^2+E12^2),1)</f>
        <v>0.150470263396725</v>
      </c>
      <c r="H12" s="42" t="n">
        <v>132.587650713556</v>
      </c>
      <c r="I12" s="42" t="n">
        <v>63.1221255858349</v>
      </c>
      <c r="J12" s="43" t="n">
        <f aca="false">MAX(0,($B$24*I12-H12)/D12)</f>
        <v>5.74819821841053</v>
      </c>
    </row>
    <row r="13" customFormat="false" ht="15" hidden="false" customHeight="false" outlineLevel="0" collapsed="false">
      <c r="A13" s="15" t="n">
        <v>9</v>
      </c>
      <c r="B13" s="17" t="n">
        <f aca="false">A13/4</f>
        <v>2.25</v>
      </c>
      <c r="C13" s="16" t="n">
        <f aca="false">(B13/Tpk)*EXP(1-B13/Tpk)</f>
        <v>0.99280901540767</v>
      </c>
      <c r="D13" s="17" t="n">
        <f aca="false">DPQ*PerPt*C13</f>
        <v>24.6216635821102</v>
      </c>
      <c r="E13" s="42" t="n">
        <v>153.252909294338</v>
      </c>
      <c r="F13" s="42" t="n">
        <v>63.0871217445707</v>
      </c>
      <c r="G13" s="19" t="n">
        <f aca="false">IF(E13&gt;0,F13^2/(F13^2+E13^2),1)</f>
        <v>0.144903564314783</v>
      </c>
      <c r="H13" s="42" t="n">
        <v>136.423630982419</v>
      </c>
      <c r="I13" s="42" t="n">
        <v>63.3149829994051</v>
      </c>
      <c r="J13" s="43" t="n">
        <f aca="false">MAX(0,($B$24*I13-H13)/D13)</f>
        <v>5.66817839333105</v>
      </c>
    </row>
    <row r="14" customFormat="false" ht="15" hidden="false" customHeight="false" outlineLevel="0" collapsed="false">
      <c r="A14" s="15" t="n">
        <v>10</v>
      </c>
      <c r="B14" s="17" t="n">
        <f aca="false">A14/4</f>
        <v>2.5</v>
      </c>
      <c r="C14" s="16" t="n">
        <f aca="false">(B14/Tpk)*EXP(1-B14/Tpk)</f>
        <v>0.973500978839256</v>
      </c>
      <c r="D14" s="17" t="n">
        <f aca="false">DPQ*PerPt*C14</f>
        <v>24.1428242752136</v>
      </c>
      <c r="E14" s="42" t="n">
        <v>158.937250632524</v>
      </c>
      <c r="F14" s="42" t="n">
        <v>63.0684398792985</v>
      </c>
      <c r="G14" s="19" t="n">
        <f aca="false">IF(E14&gt;0,F14^2/(F14^2+E14^2),1)</f>
        <v>0.136039944869179</v>
      </c>
      <c r="H14" s="42" t="n">
        <v>142.383180711475</v>
      </c>
      <c r="I14" s="42" t="n">
        <v>63.3284962078183</v>
      </c>
      <c r="J14" s="43" t="n">
        <f aca="false">MAX(0,($B$24*I14-H14)/D14)</f>
        <v>5.53619298973344</v>
      </c>
    </row>
    <row r="15" customFormat="false" ht="15" hidden="false" customHeight="false" outlineLevel="0" collapsed="false">
      <c r="A15" s="15" t="n">
        <v>11</v>
      </c>
      <c r="B15" s="17" t="n">
        <f aca="false">A15/4</f>
        <v>2.75</v>
      </c>
      <c r="C15" s="16" t="n">
        <f aca="false">(B15/Tpk)*EXP(1-B15/Tpk)</f>
        <v>0.945022758337587</v>
      </c>
      <c r="D15" s="17" t="n">
        <f aca="false">DPQ*PerPt*C15</f>
        <v>23.4365644067722</v>
      </c>
      <c r="E15" s="42" t="n">
        <v>166.125988594623</v>
      </c>
      <c r="F15" s="42" t="n">
        <v>63.3064035868197</v>
      </c>
      <c r="G15" s="19" t="n">
        <f aca="false">IF(E15&gt;0,F15^2/(F15^2+E15^2),1)</f>
        <v>0.126803722502309</v>
      </c>
      <c r="H15" s="42" t="n">
        <v>149.995082025611</v>
      </c>
      <c r="I15" s="42" t="n">
        <v>63.5937410707528</v>
      </c>
      <c r="J15" s="43" t="n">
        <f aca="false">MAX(0,($B$24*I15-H15)/D15)</f>
        <v>5.4275706343177</v>
      </c>
    </row>
    <row r="16" customFormat="false" ht="15" hidden="false" customHeight="false" outlineLevel="0" collapsed="false">
      <c r="A16" s="15" t="n">
        <v>12</v>
      </c>
      <c r="B16" s="17" t="n">
        <f aca="false">A16/4</f>
        <v>3</v>
      </c>
      <c r="C16" s="16" t="n">
        <f aca="false">(B16/Tpk)*EXP(1-B16/Tpk)</f>
        <v>0.90979598956895</v>
      </c>
      <c r="D16" s="17" t="n">
        <f aca="false">DPQ*PerPt*C16</f>
        <v>22.56294054131</v>
      </c>
      <c r="E16" s="42" t="n">
        <v>173.983367204888</v>
      </c>
      <c r="F16" s="42" t="n">
        <v>63.4894289687347</v>
      </c>
      <c r="G16" s="19" t="n">
        <f aca="false">IF(E16&gt;0,F16^2/(F16^2+E16^2),1)</f>
        <v>0.117515335690231</v>
      </c>
      <c r="H16" s="42" t="n">
        <v>158.39237554522</v>
      </c>
      <c r="I16" s="42" t="n">
        <v>63.8043055150753</v>
      </c>
      <c r="J16" s="43" t="n">
        <f aca="false">MAX(0,($B$24*I16-H16)/D16)</f>
        <v>5.30622966180263</v>
      </c>
    </row>
    <row r="18" customFormat="false" ht="15" hidden="false" customHeight="false" outlineLevel="0" collapsed="false">
      <c r="A18" s="2" t="s">
        <v>276</v>
      </c>
      <c r="B18" s="15" t="n">
        <f aca="false">MATCH(MAX(G5:G16),G5:G16,0)</f>
        <v>7</v>
      </c>
      <c r="C18" s="10" t="s">
        <v>277</v>
      </c>
    </row>
    <row r="19" customFormat="false" ht="15" hidden="false" customHeight="false" outlineLevel="0" collapsed="false">
      <c r="A19" s="2" t="s">
        <v>278</v>
      </c>
      <c r="B19" s="19" t="n">
        <f aca="false">MAX(G5:G16)</f>
        <v>0.153783036301706</v>
      </c>
      <c r="C19" s="10" t="s">
        <v>279</v>
      </c>
    </row>
    <row r="20" customFormat="false" ht="15" hidden="false" customHeight="false" outlineLevel="0" collapsed="false">
      <c r="A20" s="2" t="s">
        <v>280</v>
      </c>
      <c r="B20" s="14" t="n">
        <f aca="false">INDEX(E5:E16,B18)+INDEX(F5:F16,B18)^2/INDEX(E5:E16,B18)</f>
        <v>174.278245274081</v>
      </c>
      <c r="C20" s="10" t="s">
        <v>281</v>
      </c>
    </row>
    <row r="21" customFormat="false" ht="15" hidden="false" customHeight="false" outlineLevel="0" collapsed="false">
      <c r="A21" s="2" t="s">
        <v>282</v>
      </c>
      <c r="B21" s="14" t="n">
        <f aca="false">(1-B19)*B20</f>
        <v>147.4772075545</v>
      </c>
      <c r="C21" s="10" t="s">
        <v>283</v>
      </c>
    </row>
    <row r="22" customFormat="false" ht="15" hidden="false" customHeight="false" outlineLevel="0" collapsed="false">
      <c r="A22" s="2" t="s">
        <v>284</v>
      </c>
      <c r="B22" s="19" t="n">
        <f aca="false">SUM(G5:G16)</f>
        <v>1.48633658503369</v>
      </c>
      <c r="C22" s="10" t="s">
        <v>285</v>
      </c>
    </row>
    <row r="24" customFormat="false" ht="15" hidden="false" customHeight="false" outlineLevel="0" collapsed="false">
      <c r="A24" s="2" t="s">
        <v>286</v>
      </c>
      <c r="B24" s="43" t="n">
        <f aca="false">SQRT((1-Alpha)/Alpha)</f>
        <v>4.35889894354067</v>
      </c>
      <c r="C24" s="10" t="s">
        <v>287</v>
      </c>
    </row>
    <row r="25" customFormat="false" ht="15" hidden="false" customHeight="false" outlineLevel="0" collapsed="false">
      <c r="A25" s="2" t="s">
        <v>288</v>
      </c>
      <c r="B25" s="17" t="n">
        <f aca="false">SQRT((1-Alpha/NQ)/(Alpha/NQ))</f>
        <v>15.4596248337403</v>
      </c>
      <c r="C25" s="10" t="s">
        <v>289</v>
      </c>
    </row>
    <row r="27" customFormat="false" ht="15" hidden="false" customHeight="false" outlineLevel="0" collapsed="false">
      <c r="A27" s="2" t="s">
        <v>290</v>
      </c>
      <c r="B27" s="26" t="n">
        <v>160</v>
      </c>
      <c r="C27" s="10" t="s">
        <v>291</v>
      </c>
    </row>
    <row r="28" customFormat="false" ht="15" hidden="false" customHeight="false" outlineLevel="0" collapsed="false">
      <c r="A28" s="2" t="s">
        <v>292</v>
      </c>
      <c r="B28" s="43" t="n">
        <f aca="false">MAX(J5:J16)</f>
        <v>6.06183334178953</v>
      </c>
      <c r="C28" s="10" t="s">
        <v>293</v>
      </c>
    </row>
    <row r="29" customFormat="false" ht="15" hidden="false" customHeight="false" outlineLevel="0" collapsed="false">
      <c r="A29" s="2" t="s">
        <v>294</v>
      </c>
      <c r="B29" s="17" t="n">
        <f aca="false">Fee*B27+VQ*B28</f>
        <v>53.2946667343162</v>
      </c>
      <c r="C29" s="10" t="s">
        <v>295</v>
      </c>
    </row>
    <row r="30" customFormat="false" ht="15" hidden="false" customHeight="false" outlineLevel="0" collapsed="false">
      <c r="A30" s="2" t="s">
        <v>296</v>
      </c>
      <c r="B30" s="44" t="n">
        <v>0.00026</v>
      </c>
      <c r="C30" s="10"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0"/>
    <col collapsed="false" customWidth="true" hidden="false" outlineLevel="0" max="5" min="5" style="0" width="14"/>
    <col collapsed="false" customWidth="true" hidden="false" outlineLevel="0" max="6" min="6" style="0" width="12"/>
    <col collapsed="false" customWidth="true" hidden="false" outlineLevel="0" max="7" min="7" style="0" width="16"/>
    <col collapsed="false" customWidth="true" hidden="false" outlineLevel="0" max="8" min="8" style="0" width="12"/>
    <col collapsed="false" customWidth="true" hidden="false" outlineLevel="0" max="12" min="9" style="0" width="14"/>
  </cols>
  <sheetData>
    <row r="1" customFormat="false" ht="15" hidden="false" customHeight="false" outlineLevel="0" collapsed="false">
      <c r="A1" s="1" t="s">
        <v>298</v>
      </c>
    </row>
    <row r="2" customFormat="false" ht="15" hidden="false" customHeight="false" outlineLevel="0" collapsed="false">
      <c r="A2" s="10" t="s">
        <v>299</v>
      </c>
    </row>
    <row r="4" customFormat="false" ht="23.85" hidden="false" customHeight="false" outlineLevel="0" collapsed="false">
      <c r="A4" s="8" t="s">
        <v>126</v>
      </c>
      <c r="B4" s="8" t="s">
        <v>131</v>
      </c>
      <c r="C4" s="8" t="s">
        <v>132</v>
      </c>
      <c r="D4" s="8" t="s">
        <v>135</v>
      </c>
      <c r="E4" s="8" t="s">
        <v>189</v>
      </c>
      <c r="F4" s="8" t="s">
        <v>130</v>
      </c>
      <c r="G4" s="8" t="s">
        <v>300</v>
      </c>
      <c r="H4" s="8" t="s">
        <v>130</v>
      </c>
      <c r="I4" s="8" t="s">
        <v>301</v>
      </c>
      <c r="J4" s="8" t="s">
        <v>302</v>
      </c>
      <c r="K4" s="8" t="s">
        <v>303</v>
      </c>
      <c r="L4" s="8" t="s">
        <v>304</v>
      </c>
    </row>
    <row r="5" customFormat="false" ht="15" hidden="false" customHeight="false" outlineLevel="0" collapsed="false">
      <c r="A5" s="4" t="s">
        <v>305</v>
      </c>
      <c r="B5" s="42" t="n">
        <v>170</v>
      </c>
      <c r="C5" s="27" t="n">
        <v>0.667576361426625</v>
      </c>
      <c r="D5" s="17" t="n">
        <f aca="false">Fee*B5+VQ*C5</f>
        <v>10.440610891413</v>
      </c>
      <c r="E5" s="44" t="n">
        <v>0.05</v>
      </c>
      <c r="F5" s="44" t="n">
        <v>0.04907</v>
      </c>
      <c r="G5" s="44" t="n">
        <v>0.15789</v>
      </c>
      <c r="H5" s="44" t="n">
        <v>0.15835</v>
      </c>
      <c r="I5" s="45" t="n">
        <f aca="false">ABS(E5-F5)</f>
        <v>0.00093</v>
      </c>
      <c r="J5" s="45" t="n">
        <f aca="false">ABS(G5-H5)</f>
        <v>0.000459999999999988</v>
      </c>
      <c r="K5" s="45" t="n">
        <f aca="false">SQRT(E5*(1-E5)/NPaths)</f>
        <v>0.000689202437604511</v>
      </c>
      <c r="L5" s="45" t="n">
        <f aca="false">SQRT(G5*(1-G5)/NPaths)</f>
        <v>0.00115308606747285</v>
      </c>
    </row>
    <row r="6" customFormat="false" ht="15" hidden="false" customHeight="false" outlineLevel="0" collapsed="false">
      <c r="A6" s="4" t="s">
        <v>306</v>
      </c>
      <c r="B6" s="42" t="n">
        <v>231.6</v>
      </c>
      <c r="C6" s="27" t="n">
        <v>0.449366513548312</v>
      </c>
      <c r="D6" s="17" t="n">
        <f aca="false">Fee*B6+VQ*C6</f>
        <v>10.5429321083865</v>
      </c>
      <c r="E6" s="44" t="n">
        <v>0.05637</v>
      </c>
      <c r="F6" s="44" t="n">
        <v>0.05508</v>
      </c>
      <c r="G6" s="44" t="n">
        <v>0.1616</v>
      </c>
      <c r="H6" s="44" t="n">
        <v>0.16046</v>
      </c>
      <c r="I6" s="45" t="n">
        <f aca="false">ABS(E6-F6)</f>
        <v>0.00129000000000001</v>
      </c>
      <c r="J6" s="45" t="n">
        <f aca="false">ABS(G6-H6)</f>
        <v>0.00114</v>
      </c>
      <c r="K6" s="45" t="n">
        <f aca="false">SQRT(E6*(1-E6)/NPaths)</f>
        <v>0.000729331358848638</v>
      </c>
      <c r="L6" s="45" t="n">
        <f aca="false">SQRT(G6*(1-G6)/NPaths)</f>
        <v>0.00116398213044703</v>
      </c>
    </row>
    <row r="7" customFormat="false" ht="15" hidden="false" customHeight="false" outlineLevel="0" collapsed="false">
      <c r="A7" s="4" t="s">
        <v>307</v>
      </c>
      <c r="B7" s="42" t="n">
        <v>165</v>
      </c>
      <c r="C7" s="27" t="n">
        <v>1.14804515475407</v>
      </c>
      <c r="D7" s="17" t="n">
        <f aca="false">Fee*B7+VQ*C7</f>
        <v>14.1343612380326</v>
      </c>
      <c r="E7" s="44" t="n">
        <v>0.03233</v>
      </c>
      <c r="F7" s="44" t="n">
        <v>0.03205</v>
      </c>
      <c r="G7" s="44" t="n">
        <v>0.12153</v>
      </c>
      <c r="H7" s="44" t="n">
        <v>0.12051</v>
      </c>
      <c r="I7" s="45" t="n">
        <f aca="false">ABS(E7-F7)</f>
        <v>0.000279999999999996</v>
      </c>
      <c r="J7" s="45" t="n">
        <f aca="false">ABS(G7-H7)</f>
        <v>0.00101999999999999</v>
      </c>
      <c r="K7" s="45" t="n">
        <f aca="false">SQRT(E7*(1-E7)/NPaths)</f>
        <v>0.000559327910084952</v>
      </c>
      <c r="L7" s="45" t="n">
        <f aca="false">SQRT(G7*(1-G7)/NPaths)</f>
        <v>0.00103324952988134</v>
      </c>
    </row>
    <row r="8" customFormat="false" ht="15" hidden="false" customHeight="false" outlineLevel="0" collapsed="false">
      <c r="A8" s="4" t="s">
        <v>308</v>
      </c>
      <c r="B8" s="42" t="n">
        <v>175</v>
      </c>
      <c r="C8" s="27" t="n">
        <v>1.35390235665322</v>
      </c>
      <c r="D8" s="17" t="n">
        <f aca="false">Fee*B8+VQ*C8</f>
        <v>16.0812188532258</v>
      </c>
      <c r="E8" s="44" t="n">
        <v>0.02498</v>
      </c>
      <c r="F8" s="44" t="n">
        <v>0.02515</v>
      </c>
      <c r="G8" s="44" t="n">
        <v>0.10248</v>
      </c>
      <c r="H8" s="44" t="n">
        <v>0.10075</v>
      </c>
      <c r="I8" s="45" t="n">
        <f aca="false">ABS(E8-F8)</f>
        <v>0.00017</v>
      </c>
      <c r="J8" s="45" t="n">
        <f aca="false">ABS(G8-H8)</f>
        <v>0.00173</v>
      </c>
      <c r="K8" s="45" t="n">
        <f aca="false">SQRT(E8*(1-E8)/NPaths)</f>
        <v>0.000493517979409059</v>
      </c>
      <c r="L8" s="45" t="n">
        <f aca="false">SQRT(G8*(1-G8)/NPaths)</f>
        <v>0.000959050830769673</v>
      </c>
    </row>
    <row r="9" customFormat="false" ht="15" hidden="false" customHeight="false" outlineLevel="0" collapsed="false">
      <c r="A9" s="4" t="s">
        <v>309</v>
      </c>
      <c r="B9" s="42" t="n">
        <v>210</v>
      </c>
      <c r="C9" s="27" t="n">
        <v>0.667167916264314</v>
      </c>
      <c r="D9" s="17" t="n">
        <f aca="false">Fee*B9+VQ*C9</f>
        <v>11.6373433301145</v>
      </c>
      <c r="E9" s="44" t="n">
        <v>0.04631</v>
      </c>
      <c r="F9" s="44" t="n">
        <v>0.04534</v>
      </c>
      <c r="G9" s="44" t="n">
        <v>0.14431</v>
      </c>
      <c r="H9" s="44" t="n">
        <v>0.14391</v>
      </c>
      <c r="I9" s="45" t="n">
        <f aca="false">ABS(E9-F9)</f>
        <v>0.000969999999999999</v>
      </c>
      <c r="J9" s="45" t="n">
        <f aca="false">ABS(G9-H9)</f>
        <v>0.000399999999999984</v>
      </c>
      <c r="K9" s="45" t="n">
        <f aca="false">SQRT(E9*(1-E9)/NPaths)</f>
        <v>0.000664570416885976</v>
      </c>
      <c r="L9" s="45" t="n">
        <f aca="false">SQRT(G9*(1-G9)/NPaths)</f>
        <v>0.00111123635604672</v>
      </c>
    </row>
    <row r="10" customFormat="false" ht="15" hidden="false" customHeight="false" outlineLevel="0" collapsed="false">
      <c r="A10" s="4" t="s">
        <v>310</v>
      </c>
      <c r="B10" s="42" t="n">
        <v>170</v>
      </c>
      <c r="C10" s="27" t="n">
        <v>2.21836799238346</v>
      </c>
      <c r="D10" s="17" t="n">
        <f aca="false">Fee*B10+VQ*C10</f>
        <v>22.8469439390677</v>
      </c>
      <c r="E10" s="44" t="n">
        <v>0.01063</v>
      </c>
      <c r="F10" s="44" t="n">
        <v>0.01032</v>
      </c>
      <c r="G10" s="44" t="n">
        <v>0.05858</v>
      </c>
      <c r="H10" s="44" t="n">
        <v>0.05751</v>
      </c>
      <c r="I10" s="45" t="n">
        <f aca="false">ABS(E10-F10)</f>
        <v>0.000310000000000001</v>
      </c>
      <c r="J10" s="45" t="n">
        <f aca="false">ABS(G10-H10)</f>
        <v>0.00107</v>
      </c>
      <c r="K10" s="45" t="n">
        <f aca="false">SQRT(E10*(1-E10)/NPaths)</f>
        <v>0.000324299292321152</v>
      </c>
      <c r="L10" s="45" t="n">
        <f aca="false">SQRT(G10*(1-G10)/NPaths)</f>
        <v>0.000742619576903276</v>
      </c>
    </row>
    <row r="11" customFormat="false" ht="15" hidden="false" customHeight="false" outlineLevel="0" collapsed="false">
      <c r="A11" s="4" t="s">
        <v>311</v>
      </c>
      <c r="B11" s="42" t="n">
        <v>200</v>
      </c>
      <c r="C11" s="27" t="n">
        <v>2.25040414029763</v>
      </c>
      <c r="D11" s="17" t="n">
        <f aca="false">Fee*B11+VQ*C11</f>
        <v>24.003233122381</v>
      </c>
      <c r="E11" s="44" t="n">
        <v>0.00894</v>
      </c>
      <c r="F11" s="44" t="n">
        <v>0.0086</v>
      </c>
      <c r="G11" s="44" t="n">
        <v>0.05</v>
      </c>
      <c r="H11" s="44" t="n">
        <v>0.04905</v>
      </c>
      <c r="I11" s="45" t="n">
        <f aca="false">ABS(E11-F11)</f>
        <v>0.00034</v>
      </c>
      <c r="J11" s="45" t="n">
        <f aca="false">ABS(G11-H11)</f>
        <v>0.00095</v>
      </c>
      <c r="K11" s="45" t="n">
        <f aca="false">SQRT(E11*(1-E11)/NPaths)</f>
        <v>0.000297658804674076</v>
      </c>
      <c r="L11" s="45" t="n">
        <f aca="false">SQRT(G11*(1-G11)/NPaths)</f>
        <v>0.000689202437604511</v>
      </c>
    </row>
    <row r="12" customFormat="false" ht="15" hidden="false" customHeight="false" outlineLevel="0" collapsed="false">
      <c r="A12" s="4" t="s">
        <v>143</v>
      </c>
      <c r="B12" s="42" t="n">
        <v>195</v>
      </c>
      <c r="C12" s="27" t="n">
        <v>1.69008238167613</v>
      </c>
      <c r="D12" s="17" t="n">
        <f aca="false">Fee*B12+VQ*C12</f>
        <v>19.370659053409</v>
      </c>
      <c r="E12" s="44" t="n">
        <v>0.01664</v>
      </c>
      <c r="F12" s="44" t="n">
        <v>0.01622</v>
      </c>
      <c r="G12" s="44" t="n">
        <v>0.07665</v>
      </c>
      <c r="H12" s="44" t="n">
        <v>0.07438</v>
      </c>
      <c r="I12" s="45" t="n">
        <f aca="false">ABS(E12-F12)</f>
        <v>0.00042</v>
      </c>
      <c r="J12" s="45" t="n">
        <f aca="false">ABS(G12-H12)</f>
        <v>0.00226999999999999</v>
      </c>
      <c r="K12" s="45" t="n">
        <f aca="false">SQRT(E12*(1-E12)/NPaths)</f>
        <v>0.000404513416341164</v>
      </c>
      <c r="L12" s="45" t="n">
        <f aca="false">SQRT(G12*(1-G12)/NPaths)</f>
        <v>0.000841277466119235</v>
      </c>
    </row>
    <row r="13" customFormat="false" ht="15" hidden="false" customHeight="false" outlineLevel="0" collapsed="false">
      <c r="A13" s="4" t="s">
        <v>312</v>
      </c>
      <c r="B13" s="42" t="n">
        <v>160</v>
      </c>
      <c r="C13" s="27" t="n">
        <v>6.06183334178953</v>
      </c>
      <c r="D13" s="17" t="n">
        <f aca="false">Fee*B13+VQ*C13</f>
        <v>53.2946667343162</v>
      </c>
      <c r="E13" s="44" t="n">
        <v>0.00026</v>
      </c>
      <c r="F13" s="44" t="n">
        <v>0.00027</v>
      </c>
      <c r="G13" s="44" t="n">
        <v>0.00354</v>
      </c>
      <c r="H13" s="44" t="n">
        <v>0.00369</v>
      </c>
      <c r="I13" s="45" t="n">
        <f aca="false">ABS(E13-F13)</f>
        <v>1E-005</v>
      </c>
      <c r="J13" s="45" t="n">
        <f aca="false">ABS(G13-H13)</f>
        <v>0.00015</v>
      </c>
      <c r="K13" s="45" t="n">
        <f aca="false">SQRT(E13*(1-E13)/NPaths)</f>
        <v>5.0983565979637E-005</v>
      </c>
      <c r="L13" s="45" t="n">
        <f aca="false">SQRT(G13*(1-G13)/NPaths)</f>
        <v>0.000187815558460954</v>
      </c>
    </row>
    <row r="15" customFormat="false" ht="15" hidden="false" customHeight="false" outlineLevel="0" collapsed="false">
      <c r="A15" s="2" t="s">
        <v>144</v>
      </c>
      <c r="B15" s="17" t="n">
        <f aca="false">D11-D5</f>
        <v>13.562622230968</v>
      </c>
      <c r="C15" s="10" t="s">
        <v>313</v>
      </c>
    </row>
    <row r="16" customFormat="false" ht="15" hidden="false" customHeight="false" outlineLevel="0" collapsed="false">
      <c r="A16" s="2" t="s">
        <v>149</v>
      </c>
      <c r="B16" s="17" t="n">
        <f aca="false">D11-D12</f>
        <v>4.63257406897201</v>
      </c>
      <c r="C16" s="10" t="s">
        <v>314</v>
      </c>
    </row>
    <row r="17" customFormat="false" ht="15" hidden="false" customHeight="false" outlineLevel="0" collapsed="false">
      <c r="A17" s="2" t="s">
        <v>315</v>
      </c>
      <c r="B17" s="17" t="n">
        <f aca="false">100*MAX(I5:J13)</f>
        <v>0.226999999999999</v>
      </c>
      <c r="C17" s="10" t="s">
        <v>316</v>
      </c>
    </row>
    <row r="18" customFormat="false" ht="15" hidden="false" customHeight="false" outlineLevel="0" collapsed="false">
      <c r="A18" s="2" t="s">
        <v>317</v>
      </c>
      <c r="B18" s="15" t="n">
        <f aca="false">IF(MAX(I5:J13)&lt;=0.003,1,0)</f>
        <v>1</v>
      </c>
    </row>
    <row r="19" customFormat="false" ht="15" hidden="false" customHeight="false" outlineLevel="0" collapsed="false">
      <c r="A19" s="2" t="s">
        <v>318</v>
      </c>
      <c r="B19" s="43" t="n">
        <f aca="false">100*MAX(K5:L13)</f>
        <v>0.116398213044703</v>
      </c>
      <c r="C19" s="10" t="s">
        <v>319</v>
      </c>
    </row>
    <row r="20" customFormat="false" ht="15" hidden="false" customHeight="false" outlineLevel="0" collapsed="false">
      <c r="A20" s="2" t="s">
        <v>320</v>
      </c>
      <c r="B20" s="15" t="n">
        <f aca="false">IF(MAX(K5:L13)&lt;0.0012,1,0)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321</v>
      </c>
      <c r="B1" s="8" t="s">
        <v>322</v>
      </c>
      <c r="C1" s="8" t="s">
        <v>323</v>
      </c>
    </row>
    <row r="2" customFormat="false" ht="15" hidden="false" customHeight="false" outlineLevel="0" collapsed="false">
      <c r="A2" s="2" t="s">
        <v>77</v>
      </c>
      <c r="B2" s="46" t="n">
        <v>0.314789681093599</v>
      </c>
      <c r="C2" s="2" t="s">
        <v>324</v>
      </c>
    </row>
    <row r="3" customFormat="false" ht="15" hidden="false" customHeight="false" outlineLevel="0" collapsed="false">
      <c r="A3" s="2" t="s">
        <v>325</v>
      </c>
      <c r="B3" s="46" t="n">
        <v>0.314789681093599</v>
      </c>
      <c r="C3" s="2" t="s">
        <v>326</v>
      </c>
    </row>
    <row r="4" customFormat="false" ht="15" hidden="false" customHeight="false" outlineLevel="0" collapsed="false">
      <c r="A4" s="2" t="s">
        <v>80</v>
      </c>
      <c r="B4" s="46" t="n">
        <v>0.0177680755349331</v>
      </c>
      <c r="C4" s="2" t="s">
        <v>81</v>
      </c>
    </row>
    <row r="5" customFormat="false" ht="15" hidden="false" customHeight="false" outlineLevel="0" collapsed="false">
      <c r="A5" s="2" t="s">
        <v>84</v>
      </c>
      <c r="B5" s="46" t="n">
        <v>61.5991469068091</v>
      </c>
      <c r="C5" s="2" t="s">
        <v>327</v>
      </c>
    </row>
    <row r="6" customFormat="false" ht="15" hidden="false" customHeight="false" outlineLevel="0" collapsed="false">
      <c r="A6" s="2" t="s">
        <v>82</v>
      </c>
      <c r="B6" s="46" t="n">
        <v>42.2684640119222</v>
      </c>
      <c r="C6" s="2" t="s">
        <v>83</v>
      </c>
    </row>
    <row r="7" customFormat="false" ht="15" hidden="false" customHeight="false" outlineLevel="0" collapsed="false">
      <c r="A7" s="2" t="s">
        <v>328</v>
      </c>
      <c r="B7" s="46" t="n">
        <v>0.228837975665939</v>
      </c>
      <c r="C7" s="2" t="s">
        <v>329</v>
      </c>
    </row>
    <row r="8" customFormat="false" ht="15" hidden="false" customHeight="false" outlineLevel="0" collapsed="false">
      <c r="A8" s="2" t="s">
        <v>92</v>
      </c>
      <c r="B8" s="46" t="n">
        <v>57.6028166616579</v>
      </c>
      <c r="C8" s="2" t="s">
        <v>93</v>
      </c>
    </row>
    <row r="9" customFormat="false" ht="15" hidden="false" customHeight="false" outlineLevel="0" collapsed="false">
      <c r="A9" s="2" t="s">
        <v>94</v>
      </c>
      <c r="B9" s="46" t="n">
        <v>44.275553550903</v>
      </c>
      <c r="C9" s="2" t="s">
        <v>95</v>
      </c>
    </row>
    <row r="10" customFormat="false" ht="15" hidden="false" customHeight="false" outlineLevel="0" collapsed="false">
      <c r="A10" s="2" t="s">
        <v>330</v>
      </c>
      <c r="B10" s="46" t="n">
        <v>0.9</v>
      </c>
      <c r="C10" s="2" t="s">
        <v>331</v>
      </c>
    </row>
    <row r="11" customFormat="false" ht="15" hidden="false" customHeight="false" outlineLevel="0" collapsed="false">
      <c r="A11" s="2" t="s">
        <v>332</v>
      </c>
      <c r="B11" s="46" t="n">
        <v>10.440610891413</v>
      </c>
      <c r="C11" s="2" t="s">
        <v>333</v>
      </c>
    </row>
    <row r="12" customFormat="false" ht="15" hidden="false" customHeight="false" outlineLevel="0" collapsed="false">
      <c r="A12" s="2" t="s">
        <v>334</v>
      </c>
      <c r="B12" s="46" t="n">
        <v>11.6373433301145</v>
      </c>
      <c r="C12" s="2" t="s">
        <v>335</v>
      </c>
    </row>
    <row r="13" customFormat="false" ht="15" hidden="false" customHeight="false" outlineLevel="0" collapsed="false">
      <c r="A13" s="2" t="s">
        <v>336</v>
      </c>
      <c r="B13" s="46" t="n">
        <v>22.8469439390677</v>
      </c>
      <c r="C13" s="2" t="s">
        <v>337</v>
      </c>
    </row>
    <row r="14" customFormat="false" ht="15" hidden="false" customHeight="false" outlineLevel="0" collapsed="false">
      <c r="A14" s="2" t="s">
        <v>338</v>
      </c>
      <c r="B14" s="46" t="n">
        <v>24.003233122381</v>
      </c>
      <c r="C14" s="2" t="s">
        <v>339</v>
      </c>
    </row>
    <row r="15" customFormat="false" ht="15" hidden="false" customHeight="false" outlineLevel="0" collapsed="false">
      <c r="A15" s="2" t="s">
        <v>340</v>
      </c>
      <c r="B15" s="46" t="n">
        <v>19.370659053409</v>
      </c>
      <c r="C15" s="2" t="s">
        <v>341</v>
      </c>
    </row>
    <row r="16" customFormat="false" ht="15" hidden="false" customHeight="false" outlineLevel="0" collapsed="false">
      <c r="A16" s="2" t="s">
        <v>342</v>
      </c>
      <c r="B16" s="46" t="n">
        <v>13.562622230968</v>
      </c>
      <c r="C16" s="2" t="s">
        <v>343</v>
      </c>
    </row>
    <row r="17" customFormat="false" ht="15" hidden="false" customHeight="false" outlineLevel="0" collapsed="false">
      <c r="A17" s="2" t="s">
        <v>344</v>
      </c>
      <c r="B17" s="46" t="n">
        <v>4.63257406897201</v>
      </c>
      <c r="C17" s="2" t="s">
        <v>345</v>
      </c>
    </row>
    <row r="18" customFormat="false" ht="15" hidden="false" customHeight="false" outlineLevel="0" collapsed="false">
      <c r="A18" s="2" t="s">
        <v>346</v>
      </c>
      <c r="B18" s="46" t="n">
        <v>5</v>
      </c>
      <c r="C18" s="2" t="s">
        <v>155</v>
      </c>
    </row>
    <row r="19" customFormat="false" ht="15" hidden="false" customHeight="false" outlineLevel="0" collapsed="false">
      <c r="A19" s="2" t="s">
        <v>347</v>
      </c>
      <c r="B19" s="46" t="n">
        <v>1</v>
      </c>
      <c r="C19" s="2" t="s">
        <v>348</v>
      </c>
    </row>
    <row r="20" customFormat="false" ht="15" hidden="false" customHeight="false" outlineLevel="0" collapsed="false">
      <c r="A20" s="2" t="s">
        <v>349</v>
      </c>
      <c r="B20" s="46" t="n">
        <v>0.438571567329423</v>
      </c>
      <c r="C20" s="2" t="s">
        <v>350</v>
      </c>
    </row>
    <row r="21" customFormat="false" ht="15" hidden="false" customHeight="false" outlineLevel="0" collapsed="false">
      <c r="A21" s="2" t="s">
        <v>351</v>
      </c>
      <c r="B21" s="46" t="n">
        <v>0.603191565952029</v>
      </c>
      <c r="C21" s="2" t="s">
        <v>169</v>
      </c>
    </row>
    <row r="22" customFormat="false" ht="15" hidden="false" customHeight="false" outlineLevel="0" collapsed="false">
      <c r="A22" s="2" t="s">
        <v>352</v>
      </c>
      <c r="B22" s="46" t="n">
        <v>1.04176313328145</v>
      </c>
      <c r="C22" s="2" t="s">
        <v>353</v>
      </c>
    </row>
    <row r="23" customFormat="false" ht="15" hidden="false" customHeight="false" outlineLevel="0" collapsed="false">
      <c r="A23" s="2" t="s">
        <v>354</v>
      </c>
      <c r="B23" s="46" t="n">
        <v>2.92656666513355</v>
      </c>
      <c r="C23" s="2" t="s">
        <v>355</v>
      </c>
    </row>
    <row r="24" customFormat="false" ht="15" hidden="false" customHeight="false" outlineLevel="0" collapsed="false">
      <c r="A24" s="2" t="s">
        <v>356</v>
      </c>
      <c r="B24" s="46" t="n">
        <v>1.0875870550699</v>
      </c>
      <c r="C24" s="2" t="s">
        <v>357</v>
      </c>
    </row>
    <row r="25" customFormat="false" ht="15" hidden="false" customHeight="false" outlineLevel="0" collapsed="false">
      <c r="A25" s="2" t="s">
        <v>358</v>
      </c>
      <c r="B25" s="46" t="n">
        <v>1.6868594570677</v>
      </c>
      <c r="C25" s="2" t="s">
        <v>359</v>
      </c>
    </row>
    <row r="26" customFormat="false" ht="15" hidden="false" customHeight="false" outlineLevel="0" collapsed="false">
      <c r="A26" s="2" t="s">
        <v>360</v>
      </c>
      <c r="B26" s="46" t="n">
        <v>0.377140529950139</v>
      </c>
      <c r="C26" s="2" t="s">
        <v>361</v>
      </c>
    </row>
    <row r="27" customFormat="false" ht="15" hidden="false" customHeight="false" outlineLevel="0" collapsed="false">
      <c r="A27" s="2" t="s">
        <v>362</v>
      </c>
      <c r="B27" s="46" t="n">
        <v>6.00408213770421</v>
      </c>
      <c r="C27" s="2" t="s">
        <v>363</v>
      </c>
    </row>
    <row r="28" customFormat="false" ht="15" hidden="false" customHeight="false" outlineLevel="0" collapsed="false">
      <c r="A28" s="2" t="s">
        <v>364</v>
      </c>
      <c r="B28" s="46" t="n">
        <v>6.77518178859636</v>
      </c>
      <c r="C28" s="2" t="s">
        <v>363</v>
      </c>
    </row>
    <row r="29" customFormat="false" ht="15" hidden="false" customHeight="false" outlineLevel="0" collapsed="false">
      <c r="A29" s="2" t="s">
        <v>365</v>
      </c>
      <c r="B29" s="46" t="n">
        <v>8.36482674857247</v>
      </c>
      <c r="C29" s="2" t="s">
        <v>363</v>
      </c>
    </row>
    <row r="30" customFormat="false" ht="15" hidden="false" customHeight="false" outlineLevel="0" collapsed="false">
      <c r="A30" s="2" t="s">
        <v>366</v>
      </c>
      <c r="B30" s="46" t="n">
        <v>11.1548048226802</v>
      </c>
      <c r="C30" s="2" t="s">
        <v>363</v>
      </c>
    </row>
    <row r="31" customFormat="false" ht="15" hidden="false" customHeight="false" outlineLevel="0" collapsed="false">
      <c r="A31" s="2" t="s">
        <v>367</v>
      </c>
      <c r="B31" s="46" t="n">
        <v>17.2949347713485</v>
      </c>
      <c r="C31" s="2" t="s">
        <v>363</v>
      </c>
    </row>
    <row r="32" customFormat="false" ht="15" hidden="false" customHeight="false" outlineLevel="0" collapsed="false">
      <c r="A32" s="2" t="s">
        <v>368</v>
      </c>
      <c r="B32" s="46" t="n">
        <v>28.8519197341887</v>
      </c>
      <c r="C32" s="2" t="s">
        <v>363</v>
      </c>
    </row>
    <row r="33" customFormat="false" ht="15" hidden="false" customHeight="false" outlineLevel="0" collapsed="false">
      <c r="A33" s="2" t="s">
        <v>369</v>
      </c>
      <c r="B33" s="46" t="n">
        <v>55.551415043641</v>
      </c>
      <c r="C33" s="2" t="s">
        <v>363</v>
      </c>
    </row>
    <row r="34" customFormat="false" ht="15" hidden="false" customHeight="false" outlineLevel="0" collapsed="false">
      <c r="A34" s="2" t="s">
        <v>370</v>
      </c>
      <c r="B34" s="46" t="n">
        <v>4.08482563896962</v>
      </c>
      <c r="C34" s="2" t="s">
        <v>371</v>
      </c>
    </row>
    <row r="35" customFormat="false" ht="15" hidden="false" customHeight="false" outlineLevel="0" collapsed="false">
      <c r="A35" s="2" t="s">
        <v>372</v>
      </c>
      <c r="B35" s="46" t="n">
        <v>12.1942415501297</v>
      </c>
      <c r="C35" s="2" t="s">
        <v>373</v>
      </c>
    </row>
    <row r="36" customFormat="false" ht="15" hidden="false" customHeight="false" outlineLevel="0" collapsed="false">
      <c r="A36" s="2" t="s">
        <v>374</v>
      </c>
      <c r="B36" s="46" t="n">
        <v>3.74012612403768</v>
      </c>
      <c r="C36" s="2" t="s">
        <v>371</v>
      </c>
    </row>
    <row r="37" customFormat="false" ht="15" hidden="false" customHeight="false" outlineLevel="0" collapsed="false">
      <c r="A37" s="2" t="s">
        <v>375</v>
      </c>
      <c r="B37" s="46" t="n">
        <v>12.9346678984515</v>
      </c>
      <c r="C37" s="2" t="s">
        <v>373</v>
      </c>
    </row>
    <row r="38" customFormat="false" ht="15" hidden="false" customHeight="false" outlineLevel="0" collapsed="false">
      <c r="A38" s="2" t="s">
        <v>376</v>
      </c>
      <c r="B38" s="46" t="n">
        <v>3.11420171306599</v>
      </c>
      <c r="C38" s="2" t="s">
        <v>371</v>
      </c>
    </row>
    <row r="39" customFormat="false" ht="15" hidden="false" customHeight="false" outlineLevel="0" collapsed="false">
      <c r="A39" s="2" t="s">
        <v>377</v>
      </c>
      <c r="B39" s="46" t="n">
        <v>14.3973383667534</v>
      </c>
      <c r="C39" s="2" t="s">
        <v>373</v>
      </c>
    </row>
    <row r="40" customFormat="false" ht="15" hidden="false" customHeight="false" outlineLevel="0" collapsed="false">
      <c r="A40" s="2" t="s">
        <v>378</v>
      </c>
      <c r="B40" s="46" t="n">
        <v>2.4981144816651</v>
      </c>
      <c r="C40" s="2" t="s">
        <v>371</v>
      </c>
    </row>
    <row r="41" customFormat="false" ht="15" hidden="false" customHeight="false" outlineLevel="0" collapsed="false">
      <c r="A41" s="2" t="s">
        <v>379</v>
      </c>
      <c r="B41" s="46" t="n">
        <v>16.0812188532258</v>
      </c>
      <c r="C41" s="2" t="s">
        <v>373</v>
      </c>
    </row>
    <row r="42" customFormat="false" ht="15" hidden="false" customHeight="false" outlineLevel="0" collapsed="false">
      <c r="A42" s="2" t="s">
        <v>380</v>
      </c>
      <c r="B42" s="46" t="n">
        <v>1.77863835365825</v>
      </c>
      <c r="C42" s="2" t="s">
        <v>371</v>
      </c>
    </row>
    <row r="43" customFormat="false" ht="15" hidden="false" customHeight="false" outlineLevel="0" collapsed="false">
      <c r="A43" s="2" t="s">
        <v>381</v>
      </c>
      <c r="B43" s="46" t="n">
        <v>18.7665462719026</v>
      </c>
      <c r="C43" s="2" t="s">
        <v>373</v>
      </c>
    </row>
    <row r="44" customFormat="false" ht="15" hidden="false" customHeight="false" outlineLevel="0" collapsed="false">
      <c r="A44" s="2" t="s">
        <v>382</v>
      </c>
      <c r="B44" s="46" t="n">
        <v>1.33732506550018</v>
      </c>
      <c r="C44" s="2" t="s">
        <v>371</v>
      </c>
    </row>
    <row r="45" customFormat="false" ht="15" hidden="false" customHeight="false" outlineLevel="0" collapsed="false">
      <c r="A45" s="2" t="s">
        <v>383</v>
      </c>
      <c r="B45" s="46" t="n">
        <v>20.8918766778589</v>
      </c>
      <c r="C45" s="2" t="s">
        <v>373</v>
      </c>
    </row>
    <row r="46" customFormat="false" ht="15" hidden="false" customHeight="false" outlineLevel="0" collapsed="false">
      <c r="A46" s="2" t="s">
        <v>384</v>
      </c>
      <c r="B46" s="46" t="n">
        <v>0.810108378668793</v>
      </c>
      <c r="C46" s="2" t="s">
        <v>371</v>
      </c>
    </row>
    <row r="47" customFormat="false" ht="15" hidden="false" customHeight="false" outlineLevel="0" collapsed="false">
      <c r="A47" s="2" t="s">
        <v>385</v>
      </c>
      <c r="B47" s="46" t="n">
        <v>24.7000628909312</v>
      </c>
      <c r="C47" s="2" t="s">
        <v>373</v>
      </c>
    </row>
    <row r="48" customFormat="false" ht="15" hidden="false" customHeight="false" outlineLevel="0" collapsed="false">
      <c r="A48" s="2" t="s">
        <v>386</v>
      </c>
      <c r="B48" s="46" t="n">
        <v>0.459493883434539</v>
      </c>
      <c r="C48" s="2" t="s">
        <v>371</v>
      </c>
    </row>
    <row r="49" customFormat="false" ht="15" hidden="false" customHeight="false" outlineLevel="0" collapsed="false">
      <c r="A49" s="2" t="s">
        <v>387</v>
      </c>
      <c r="B49" s="46" t="n">
        <v>28.3482136681345</v>
      </c>
      <c r="C49" s="2" t="s">
        <v>373</v>
      </c>
    </row>
    <row r="50" customFormat="false" ht="15" hidden="false" customHeight="false" outlineLevel="0" collapsed="false">
      <c r="A50" s="2" t="s">
        <v>388</v>
      </c>
      <c r="B50" s="46" t="n">
        <v>0.268741575366598</v>
      </c>
      <c r="C50" s="2" t="s">
        <v>371</v>
      </c>
    </row>
    <row r="51" customFormat="false" ht="15" hidden="false" customHeight="false" outlineLevel="0" collapsed="false">
      <c r="A51" s="2" t="s">
        <v>389</v>
      </c>
      <c r="B51" s="46" t="n">
        <v>31.385405604598</v>
      </c>
      <c r="C51" s="2" t="s">
        <v>373</v>
      </c>
    </row>
    <row r="52" customFormat="false" ht="15" hidden="false" customHeight="false" outlineLevel="0" collapsed="false">
      <c r="A52" s="2" t="s">
        <v>390</v>
      </c>
      <c r="B52" s="46" t="n">
        <v>0.0956604344180026</v>
      </c>
      <c r="C52" s="2" t="s">
        <v>371</v>
      </c>
    </row>
    <row r="53" customFormat="false" ht="15" hidden="false" customHeight="false" outlineLevel="0" collapsed="false">
      <c r="A53" s="2" t="s">
        <v>391</v>
      </c>
      <c r="B53" s="46" t="n">
        <v>38.0059128900826</v>
      </c>
      <c r="C53" s="2" t="s">
        <v>373</v>
      </c>
    </row>
    <row r="54" customFormat="false" ht="15" hidden="false" customHeight="false" outlineLevel="0" collapsed="false">
      <c r="A54" s="2" t="s">
        <v>392</v>
      </c>
      <c r="B54" s="46" t="n">
        <v>0</v>
      </c>
      <c r="C54" s="2" t="s">
        <v>393</v>
      </c>
    </row>
    <row r="55" customFormat="false" ht="15" hidden="false" customHeight="false" outlineLevel="0" collapsed="false">
      <c r="A55" s="2" t="s">
        <v>394</v>
      </c>
      <c r="B55" s="46" t="n">
        <v>0</v>
      </c>
      <c r="C55" s="2" t="s">
        <v>395</v>
      </c>
    </row>
    <row r="56" customFormat="false" ht="15" hidden="false" customHeight="false" outlineLevel="0" collapsed="false">
      <c r="A56" s="2" t="s">
        <v>396</v>
      </c>
      <c r="B56" s="46" t="n">
        <v>5000</v>
      </c>
      <c r="C56" s="2" t="s">
        <v>397</v>
      </c>
    </row>
    <row r="57" customFormat="false" ht="15" hidden="false" customHeight="false" outlineLevel="0" collapsed="false">
      <c r="A57" s="2" t="s">
        <v>398</v>
      </c>
      <c r="B57" s="46" t="n">
        <v>0.200000000673154</v>
      </c>
      <c r="C57" s="2" t="s">
        <v>399</v>
      </c>
    </row>
    <row r="58" customFormat="false" ht="15" hidden="false" customHeight="false" outlineLevel="0" collapsed="false">
      <c r="A58" s="2" t="s">
        <v>400</v>
      </c>
      <c r="B58" s="46" t="n">
        <v>11.5657134468667</v>
      </c>
      <c r="C58" s="2" t="s">
        <v>373</v>
      </c>
    </row>
    <row r="59" customFormat="false" ht="15" hidden="false" customHeight="false" outlineLevel="0" collapsed="false">
      <c r="A59" s="2" t="s">
        <v>401</v>
      </c>
      <c r="B59" s="46" t="n">
        <v>0.400000001426023</v>
      </c>
      <c r="C59" s="2" t="s">
        <v>399</v>
      </c>
    </row>
    <row r="60" customFormat="false" ht="15" hidden="false" customHeight="false" outlineLevel="0" collapsed="false">
      <c r="A60" s="2" t="s">
        <v>402</v>
      </c>
      <c r="B60" s="46" t="n">
        <v>12.0421583729796</v>
      </c>
      <c r="C60" s="2" t="s">
        <v>373</v>
      </c>
    </row>
    <row r="61" customFormat="false" ht="15" hidden="false" customHeight="false" outlineLevel="0" collapsed="false">
      <c r="A61" s="2" t="s">
        <v>403</v>
      </c>
      <c r="B61" s="46" t="n">
        <v>1.000000000932</v>
      </c>
      <c r="C61" s="2" t="s">
        <v>399</v>
      </c>
    </row>
    <row r="62" customFormat="false" ht="15" hidden="false" customHeight="false" outlineLevel="0" collapsed="false">
      <c r="A62" s="2" t="s">
        <v>404</v>
      </c>
      <c r="B62" s="46" t="n">
        <v>13.0047711574473</v>
      </c>
      <c r="C62" s="2" t="s">
        <v>373</v>
      </c>
    </row>
    <row r="63" customFormat="false" ht="15" hidden="false" customHeight="false" outlineLevel="0" collapsed="false">
      <c r="A63" s="2" t="s">
        <v>405</v>
      </c>
      <c r="B63" s="46" t="n">
        <v>2.00000000213126</v>
      </c>
      <c r="C63" s="2" t="s">
        <v>399</v>
      </c>
    </row>
    <row r="64" customFormat="false" ht="15" hidden="false" customHeight="false" outlineLevel="0" collapsed="false">
      <c r="A64" s="2" t="s">
        <v>406</v>
      </c>
      <c r="B64" s="46" t="n">
        <v>14.1343612380326</v>
      </c>
      <c r="C64" s="2" t="s">
        <v>373</v>
      </c>
    </row>
    <row r="65" customFormat="false" ht="15" hidden="false" customHeight="false" outlineLevel="0" collapsed="false">
      <c r="A65" s="2" t="s">
        <v>407</v>
      </c>
      <c r="B65" s="46" t="n">
        <v>4.0000000007331</v>
      </c>
      <c r="C65" s="2" t="s">
        <v>399</v>
      </c>
    </row>
    <row r="66" customFormat="false" ht="15" hidden="false" customHeight="false" outlineLevel="0" collapsed="false">
      <c r="A66" s="2" t="s">
        <v>408</v>
      </c>
      <c r="B66" s="46" t="n">
        <v>15.7810545972548</v>
      </c>
      <c r="C66" s="2" t="s">
        <v>373</v>
      </c>
    </row>
    <row r="67" customFormat="false" ht="15" hidden="false" customHeight="false" outlineLevel="0" collapsed="false">
      <c r="A67" s="2" t="s">
        <v>409</v>
      </c>
      <c r="B67" s="46" t="n">
        <v>10.0000000046319</v>
      </c>
      <c r="C67" s="2" t="s">
        <v>399</v>
      </c>
    </row>
    <row r="68" customFormat="false" ht="15" hidden="false" customHeight="false" outlineLevel="0" collapsed="false">
      <c r="A68" s="2" t="s">
        <v>410</v>
      </c>
      <c r="B68" s="46" t="n">
        <v>19.335973911453</v>
      </c>
      <c r="C68" s="2" t="s">
        <v>373</v>
      </c>
    </row>
    <row r="69" customFormat="false" ht="15" hidden="false" customHeight="false" outlineLevel="0" collapsed="false">
      <c r="A69" s="2" t="s">
        <v>411</v>
      </c>
      <c r="B69" s="46" t="n">
        <v>20.000000000186</v>
      </c>
      <c r="C69" s="2" t="s">
        <v>399</v>
      </c>
    </row>
    <row r="70" customFormat="false" ht="15" hidden="false" customHeight="false" outlineLevel="0" collapsed="false">
      <c r="A70" s="2" t="s">
        <v>412</v>
      </c>
      <c r="B70" s="46" t="n">
        <v>23.94634951232</v>
      </c>
      <c r="C70" s="2" t="s">
        <v>373</v>
      </c>
    </row>
    <row r="71" customFormat="false" ht="15" hidden="false" customHeight="false" outlineLevel="0" collapsed="false">
      <c r="A71" s="2" t="s">
        <v>413</v>
      </c>
      <c r="B71" s="46" t="n">
        <v>0.231982938136182</v>
      </c>
      <c r="C71" s="2" t="s">
        <v>231</v>
      </c>
    </row>
    <row r="72" customFormat="false" ht="15" hidden="false" customHeight="false" outlineLevel="0" collapsed="false">
      <c r="A72" s="2" t="s">
        <v>414</v>
      </c>
      <c r="B72" s="46" t="n">
        <v>26.2678739326359</v>
      </c>
      <c r="C72" s="2" t="s">
        <v>235</v>
      </c>
    </row>
    <row r="73" customFormat="false" ht="15" hidden="false" customHeight="false" outlineLevel="0" collapsed="false">
      <c r="A73" s="2" t="s">
        <v>415</v>
      </c>
      <c r="B73" s="46" t="n">
        <v>525.357478652717</v>
      </c>
      <c r="C73" s="2" t="s">
        <v>237</v>
      </c>
    </row>
    <row r="74" customFormat="false" ht="15" hidden="false" customHeight="false" outlineLevel="0" collapsed="false">
      <c r="A74" s="2" t="s">
        <v>416</v>
      </c>
      <c r="B74" s="46" t="n">
        <v>4.56812130643655</v>
      </c>
      <c r="C74" s="2" t="s">
        <v>373</v>
      </c>
    </row>
    <row r="75" customFormat="false" ht="15" hidden="false" customHeight="false" outlineLevel="0" collapsed="false">
      <c r="A75" s="2" t="s">
        <v>417</v>
      </c>
      <c r="B75" s="46" t="n">
        <v>7.95158445353028</v>
      </c>
      <c r="C75" s="2" t="s">
        <v>373</v>
      </c>
    </row>
    <row r="76" customFormat="false" ht="15" hidden="false" customHeight="false" outlineLevel="0" collapsed="false">
      <c r="A76" s="2" t="s">
        <v>418</v>
      </c>
      <c r="B76" s="46" t="n">
        <v>10.6746628947915</v>
      </c>
      <c r="C76" s="2" t="s">
        <v>373</v>
      </c>
    </row>
    <row r="77" customFormat="false" ht="15" hidden="false" customHeight="false" outlineLevel="0" collapsed="false">
      <c r="A77" s="2" t="s">
        <v>419</v>
      </c>
      <c r="B77" s="46" t="n">
        <v>12.8870551013453</v>
      </c>
      <c r="C77" s="2" t="s">
        <v>373</v>
      </c>
    </row>
    <row r="78" customFormat="false" ht="15" hidden="false" customHeight="false" outlineLevel="0" collapsed="false">
      <c r="A78" s="2" t="s">
        <v>420</v>
      </c>
      <c r="B78" s="46" t="n">
        <v>14.3914295256389</v>
      </c>
      <c r="C78" s="2" t="s">
        <v>373</v>
      </c>
    </row>
    <row r="79" customFormat="false" ht="15" hidden="false" customHeight="false" outlineLevel="0" collapsed="false">
      <c r="A79" s="2" t="s">
        <v>421</v>
      </c>
      <c r="B79" s="46" t="n">
        <v>15.2092185141335</v>
      </c>
      <c r="C79" s="2" t="s">
        <v>373</v>
      </c>
    </row>
    <row r="80" customFormat="false" ht="15" hidden="false" customHeight="false" outlineLevel="0" collapsed="false">
      <c r="A80" s="2" t="s">
        <v>422</v>
      </c>
      <c r="B80" s="46" t="n">
        <v>15.3783036301706</v>
      </c>
      <c r="C80" s="2" t="s">
        <v>373</v>
      </c>
    </row>
    <row r="81" customFormat="false" ht="15" hidden="false" customHeight="false" outlineLevel="0" collapsed="false">
      <c r="A81" s="2" t="s">
        <v>423</v>
      </c>
      <c r="B81" s="46" t="n">
        <v>15.0470263396725</v>
      </c>
      <c r="C81" s="2" t="s">
        <v>373</v>
      </c>
    </row>
    <row r="82" customFormat="false" ht="15" hidden="false" customHeight="false" outlineLevel="0" collapsed="false">
      <c r="A82" s="2" t="s">
        <v>424</v>
      </c>
      <c r="B82" s="46" t="n">
        <v>14.4903564314783</v>
      </c>
      <c r="C82" s="2" t="s">
        <v>373</v>
      </c>
    </row>
    <row r="83" customFormat="false" ht="15" hidden="false" customHeight="false" outlineLevel="0" collapsed="false">
      <c r="A83" s="2" t="s">
        <v>425</v>
      </c>
      <c r="B83" s="46" t="n">
        <v>13.6039944869179</v>
      </c>
      <c r="C83" s="2" t="s">
        <v>373</v>
      </c>
    </row>
    <row r="84" customFormat="false" ht="15" hidden="false" customHeight="false" outlineLevel="0" collapsed="false">
      <c r="A84" s="2" t="s">
        <v>426</v>
      </c>
      <c r="B84" s="46" t="n">
        <v>12.6803722502309</v>
      </c>
      <c r="C84" s="2" t="s">
        <v>373</v>
      </c>
    </row>
    <row r="85" customFormat="false" ht="15" hidden="false" customHeight="false" outlineLevel="0" collapsed="false">
      <c r="A85" s="2" t="s">
        <v>427</v>
      </c>
      <c r="B85" s="46" t="n">
        <v>11.7515335690231</v>
      </c>
      <c r="C85" s="2" t="s">
        <v>373</v>
      </c>
    </row>
    <row r="86" customFormat="false" ht="15" hidden="false" customHeight="false" outlineLevel="0" collapsed="false">
      <c r="A86" s="2" t="s">
        <v>428</v>
      </c>
      <c r="B86" s="46" t="n">
        <v>7</v>
      </c>
      <c r="C86" s="2" t="s">
        <v>277</v>
      </c>
    </row>
    <row r="87" customFormat="false" ht="15" hidden="false" customHeight="false" outlineLevel="0" collapsed="false">
      <c r="A87" s="2" t="s">
        <v>429</v>
      </c>
      <c r="B87" s="46" t="n">
        <v>148.633658503369</v>
      </c>
      <c r="C87" s="2" t="s">
        <v>430</v>
      </c>
    </row>
    <row r="88" customFormat="false" ht="15" hidden="false" customHeight="false" outlineLevel="0" collapsed="false">
      <c r="A88" s="2" t="s">
        <v>431</v>
      </c>
      <c r="B88" s="46" t="n">
        <v>4.35889894354067</v>
      </c>
      <c r="C88" s="2" t="s">
        <v>432</v>
      </c>
    </row>
    <row r="89" customFormat="false" ht="15" hidden="false" customHeight="false" outlineLevel="0" collapsed="false">
      <c r="A89" s="2" t="s">
        <v>433</v>
      </c>
      <c r="B89" s="46" t="n">
        <v>15.4596248337403</v>
      </c>
      <c r="C89" s="2" t="s">
        <v>289</v>
      </c>
    </row>
    <row r="90" customFormat="false" ht="15" hidden="false" customHeight="false" outlineLevel="0" collapsed="false">
      <c r="A90" s="2" t="s">
        <v>434</v>
      </c>
      <c r="B90" s="46" t="n">
        <v>6.06183334178953</v>
      </c>
      <c r="C90" s="2" t="s">
        <v>293</v>
      </c>
    </row>
    <row r="91" customFormat="false" ht="15" hidden="false" customHeight="false" outlineLevel="0" collapsed="false">
      <c r="A91" s="2" t="s">
        <v>435</v>
      </c>
      <c r="B91" s="46" t="n">
        <v>53.2946667343162</v>
      </c>
      <c r="C91" s="2" t="s">
        <v>295</v>
      </c>
    </row>
    <row r="92" customFormat="false" ht="15" hidden="false" customHeight="false" outlineLevel="0" collapsed="false">
      <c r="A92" s="2" t="s">
        <v>436</v>
      </c>
      <c r="B92" s="46" t="n">
        <v>147.4772075545</v>
      </c>
      <c r="C92" s="2" t="s">
        <v>283</v>
      </c>
    </row>
    <row r="93" customFormat="false" ht="15" hidden="false" customHeight="false" outlineLevel="0" collapsed="false">
      <c r="A93" s="2" t="s">
        <v>437</v>
      </c>
      <c r="B93" s="46" t="n">
        <v>10.440610891413</v>
      </c>
      <c r="C93" s="2" t="s">
        <v>438</v>
      </c>
    </row>
    <row r="94" customFormat="false" ht="15" hidden="false" customHeight="false" outlineLevel="0" collapsed="false">
      <c r="A94" s="2" t="s">
        <v>439</v>
      </c>
      <c r="B94" s="46" t="n">
        <v>10.5429321083865</v>
      </c>
      <c r="C94" s="2" t="s">
        <v>438</v>
      </c>
    </row>
    <row r="95" customFormat="false" ht="15" hidden="false" customHeight="false" outlineLevel="0" collapsed="false">
      <c r="A95" s="2" t="s">
        <v>440</v>
      </c>
      <c r="B95" s="46" t="n">
        <v>14.1343612380326</v>
      </c>
      <c r="C95" s="2" t="s">
        <v>438</v>
      </c>
    </row>
    <row r="96" customFormat="false" ht="15" hidden="false" customHeight="false" outlineLevel="0" collapsed="false">
      <c r="A96" s="2" t="s">
        <v>441</v>
      </c>
      <c r="B96" s="46" t="n">
        <v>16.0812188532258</v>
      </c>
      <c r="C96" s="2" t="s">
        <v>438</v>
      </c>
    </row>
    <row r="97" customFormat="false" ht="15" hidden="false" customHeight="false" outlineLevel="0" collapsed="false">
      <c r="A97" s="2" t="s">
        <v>442</v>
      </c>
      <c r="B97" s="46" t="n">
        <v>11.6373433301145</v>
      </c>
      <c r="C97" s="2" t="s">
        <v>438</v>
      </c>
    </row>
    <row r="98" customFormat="false" ht="15" hidden="false" customHeight="false" outlineLevel="0" collapsed="false">
      <c r="A98" s="2" t="s">
        <v>443</v>
      </c>
      <c r="B98" s="46" t="n">
        <v>22.8469439390677</v>
      </c>
      <c r="C98" s="2" t="s">
        <v>438</v>
      </c>
    </row>
    <row r="99" customFormat="false" ht="15" hidden="false" customHeight="false" outlineLevel="0" collapsed="false">
      <c r="A99" s="2" t="s">
        <v>444</v>
      </c>
      <c r="B99" s="46" t="n">
        <v>24.003233122381</v>
      </c>
      <c r="C99" s="2" t="s">
        <v>438</v>
      </c>
    </row>
    <row r="100" customFormat="false" ht="15" hidden="false" customHeight="false" outlineLevel="0" collapsed="false">
      <c r="A100" s="2" t="s">
        <v>445</v>
      </c>
      <c r="B100" s="46" t="n">
        <v>19.370659053409</v>
      </c>
      <c r="C100" s="2" t="s">
        <v>438</v>
      </c>
    </row>
    <row r="101" customFormat="false" ht="15" hidden="false" customHeight="false" outlineLevel="0" collapsed="false">
      <c r="A101" s="2" t="s">
        <v>446</v>
      </c>
      <c r="B101" s="46" t="n">
        <v>53.2946667343162</v>
      </c>
      <c r="C101" s="2" t="s">
        <v>438</v>
      </c>
    </row>
    <row r="102" customFormat="false" ht="15" hidden="false" customHeight="false" outlineLevel="0" collapsed="false">
      <c r="A102" s="2" t="s">
        <v>447</v>
      </c>
      <c r="B102" s="46" t="n">
        <v>13.562622230968</v>
      </c>
      <c r="C102" s="2" t="s">
        <v>313</v>
      </c>
    </row>
    <row r="103" customFormat="false" ht="15" hidden="false" customHeight="false" outlineLevel="0" collapsed="false">
      <c r="A103" s="2" t="s">
        <v>448</v>
      </c>
      <c r="B103" s="46" t="n">
        <v>4.63257406897201</v>
      </c>
      <c r="C103" s="2" t="s">
        <v>314</v>
      </c>
    </row>
    <row r="104" customFormat="false" ht="15" hidden="false" customHeight="false" outlineLevel="0" collapsed="false">
      <c r="A104" s="2" t="s">
        <v>449</v>
      </c>
      <c r="B104" s="46" t="n">
        <v>1</v>
      </c>
      <c r="C104" s="2" t="s">
        <v>450</v>
      </c>
    </row>
    <row r="105" customFormat="false" ht="15" hidden="false" customHeight="false" outlineLevel="0" collapsed="false">
      <c r="A105" s="2" t="s">
        <v>451</v>
      </c>
      <c r="B105" s="46" t="n">
        <v>1</v>
      </c>
      <c r="C105" s="2" t="s">
        <v>452</v>
      </c>
    </row>
    <row r="106" customFormat="false" ht="15" hidden="false" customHeight="false" outlineLevel="0" collapsed="false">
      <c r="A106" s="2" t="s">
        <v>453</v>
      </c>
      <c r="B106" s="46" t="n">
        <v>10.5429321083865</v>
      </c>
      <c r="C106" s="2" t="s">
        <v>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321</v>
      </c>
      <c r="B1" s="8" t="s">
        <v>455</v>
      </c>
      <c r="C1" s="8" t="s">
        <v>322</v>
      </c>
      <c r="D1" s="8" t="s">
        <v>456</v>
      </c>
      <c r="E1" s="8" t="s">
        <v>457</v>
      </c>
      <c r="F1" s="8" t="s">
        <v>458</v>
      </c>
    </row>
    <row r="2" customFormat="false" ht="15" hidden="false" customHeight="false" outlineLevel="0" collapsed="false">
      <c r="A2" s="2" t="s">
        <v>77</v>
      </c>
      <c r="B2" s="37" t="n">
        <f aca="false">Records!B5</f>
        <v>0.314789681093599</v>
      </c>
      <c r="C2" s="35" t="n">
        <f aca="false">Reference_Values!B2</f>
        <v>0.314789681093599</v>
      </c>
      <c r="D2" s="32" t="n">
        <f aca="false">ABS(B2-C2)</f>
        <v>0</v>
      </c>
      <c r="E2" s="47" t="n">
        <v>1E-009</v>
      </c>
      <c r="F2" s="4" t="str">
        <f aca="false">IF(D2&lt;=E2,"PASS","FAIL")</f>
        <v>PASS</v>
      </c>
    </row>
    <row r="3" customFormat="false" ht="15" hidden="false" customHeight="false" outlineLevel="0" collapsed="false">
      <c r="A3" s="2" t="s">
        <v>325</v>
      </c>
      <c r="B3" s="37" t="n">
        <f aca="false">Records!B6</f>
        <v>0.314789681093599</v>
      </c>
      <c r="C3" s="35" t="n">
        <f aca="false">Reference_Values!B3</f>
        <v>0.314789681093599</v>
      </c>
      <c r="D3" s="32" t="n">
        <f aca="false">ABS(B3-C3)</f>
        <v>0</v>
      </c>
      <c r="E3" s="47" t="n">
        <v>1E-009</v>
      </c>
      <c r="F3" s="4" t="str">
        <f aca="false">IF(D3&lt;=E3,"PASS","FAIL")</f>
        <v>PASS</v>
      </c>
    </row>
    <row r="4" customFormat="false" ht="15" hidden="false" customHeight="false" outlineLevel="0" collapsed="false">
      <c r="A4" s="2" t="s">
        <v>80</v>
      </c>
      <c r="B4" s="37" t="n">
        <f aca="false">Records!B7</f>
        <v>0.0177680755349331</v>
      </c>
      <c r="C4" s="35" t="n">
        <f aca="false">Reference_Values!B4</f>
        <v>0.0177680755349331</v>
      </c>
      <c r="D4" s="32" t="n">
        <f aca="false">ABS(B4-C4)</f>
        <v>0</v>
      </c>
      <c r="E4" s="47" t="n">
        <v>1E-009</v>
      </c>
      <c r="F4" s="4" t="str">
        <f aca="false">IF(D4&lt;=E4,"PASS","FAIL")</f>
        <v>PASS</v>
      </c>
    </row>
    <row r="5" customFormat="false" ht="15" hidden="false" customHeight="false" outlineLevel="0" collapsed="false">
      <c r="A5" s="2" t="s">
        <v>84</v>
      </c>
      <c r="B5" s="37" t="n">
        <f aca="false">Records!B9</f>
        <v>61.5991469068091</v>
      </c>
      <c r="C5" s="35" t="n">
        <f aca="false">Reference_Values!B5</f>
        <v>61.5991469068091</v>
      </c>
      <c r="D5" s="32" t="n">
        <f aca="false">ABS(B5-C5)</f>
        <v>0</v>
      </c>
      <c r="E5" s="47" t="n">
        <v>1E-007</v>
      </c>
      <c r="F5" s="4" t="str">
        <f aca="false">IF(D5&lt;=E5,"PASS","FAIL")</f>
        <v>PASS</v>
      </c>
    </row>
    <row r="6" customFormat="false" ht="15" hidden="false" customHeight="false" outlineLevel="0" collapsed="false">
      <c r="A6" s="2" t="s">
        <v>82</v>
      </c>
      <c r="B6" s="37" t="n">
        <f aca="false">Records!B8</f>
        <v>42.2684640119222</v>
      </c>
      <c r="C6" s="35" t="n">
        <f aca="false">Reference_Values!B6</f>
        <v>42.2684640119222</v>
      </c>
      <c r="D6" s="32" t="n">
        <f aca="false">ABS(B6-C6)</f>
        <v>0</v>
      </c>
      <c r="E6" s="47" t="n">
        <v>1E-007</v>
      </c>
      <c r="F6" s="4" t="str">
        <f aca="false">IF(D6&lt;=E6,"PASS","FAIL")</f>
        <v>PASS</v>
      </c>
    </row>
    <row r="7" customFormat="false" ht="15" hidden="false" customHeight="false" outlineLevel="0" collapsed="false">
      <c r="A7" s="2" t="s">
        <v>328</v>
      </c>
      <c r="B7" s="37" t="n">
        <f aca="false">Records!B12</f>
        <v>0.228837975665939</v>
      </c>
      <c r="C7" s="35" t="n">
        <f aca="false">Reference_Values!B7</f>
        <v>0.228837975665939</v>
      </c>
      <c r="D7" s="32" t="n">
        <f aca="false">ABS(B7-C7)</f>
        <v>0</v>
      </c>
      <c r="E7" s="47" t="n">
        <v>1E-009</v>
      </c>
      <c r="F7" s="4" t="str">
        <f aca="false">IF(D7&lt;=E7,"PASS","FAIL")</f>
        <v>PASS</v>
      </c>
    </row>
    <row r="8" customFormat="false" ht="15" hidden="false" customHeight="false" outlineLevel="0" collapsed="false">
      <c r="A8" s="2" t="s">
        <v>92</v>
      </c>
      <c r="B8" s="37" t="n">
        <f aca="false">Records!B13</f>
        <v>57.6028166616579</v>
      </c>
      <c r="C8" s="35" t="n">
        <f aca="false">Reference_Values!B8</f>
        <v>57.6028166616579</v>
      </c>
      <c r="D8" s="32" t="n">
        <f aca="false">ABS(B8-C8)</f>
        <v>0</v>
      </c>
      <c r="E8" s="47" t="n">
        <v>1E-007</v>
      </c>
      <c r="F8" s="4" t="str">
        <f aca="false">IF(D8&lt;=E8,"PASS","FAIL")</f>
        <v>PASS</v>
      </c>
    </row>
    <row r="9" customFormat="false" ht="15" hidden="false" customHeight="false" outlineLevel="0" collapsed="false">
      <c r="A9" s="2" t="s">
        <v>94</v>
      </c>
      <c r="B9" s="37" t="n">
        <f aca="false">Records!B14</f>
        <v>44.2755535509029</v>
      </c>
      <c r="C9" s="35" t="n">
        <f aca="false">Reference_Values!B9</f>
        <v>44.275553550903</v>
      </c>
      <c r="D9" s="32" t="n">
        <f aca="false">ABS(B9-C9)</f>
        <v>0</v>
      </c>
      <c r="E9" s="47" t="n">
        <v>1E-007</v>
      </c>
      <c r="F9" s="4" t="str">
        <f aca="false">IF(D9&lt;=E9,"PASS","FAIL")</f>
        <v>PASS</v>
      </c>
    </row>
    <row r="10" customFormat="false" ht="15" hidden="false" customHeight="false" outlineLevel="0" collapsed="false">
      <c r="A10" s="2" t="s">
        <v>330</v>
      </c>
      <c r="B10" s="37" t="n">
        <f aca="false">Records!B10</f>
        <v>0.9</v>
      </c>
      <c r="C10" s="35" t="n">
        <f aca="false">Reference_Values!B10</f>
        <v>0.9</v>
      </c>
      <c r="D10" s="32" t="n">
        <f aca="false">ABS(B10-C10)</f>
        <v>0</v>
      </c>
      <c r="E10" s="47" t="n">
        <v>1E-009</v>
      </c>
      <c r="F10" s="4" t="str">
        <f aca="false">IF(D10&lt;=E10,"PASS","FAIL")</f>
        <v>PASS</v>
      </c>
    </row>
    <row r="11" customFormat="false" ht="15" hidden="false" customHeight="false" outlineLevel="0" collapsed="false">
      <c r="A11" s="2" t="s">
        <v>332</v>
      </c>
      <c r="B11" s="37" t="n">
        <f aca="false">Family!J5</f>
        <v>10.440610891413</v>
      </c>
      <c r="C11" s="35" t="n">
        <f aca="false">Reference_Values!B11</f>
        <v>10.440610891413</v>
      </c>
      <c r="D11" s="32" t="n">
        <f aca="false">ABS(B11-C11)</f>
        <v>0</v>
      </c>
      <c r="E11" s="47" t="n">
        <v>1E-009</v>
      </c>
      <c r="F11" s="4" t="str">
        <f aca="false">IF(D11&lt;=E11,"PASS","FAIL")</f>
        <v>PASS</v>
      </c>
    </row>
    <row r="12" customFormat="false" ht="15" hidden="false" customHeight="false" outlineLevel="0" collapsed="false">
      <c r="A12" s="2" t="s">
        <v>334</v>
      </c>
      <c r="B12" s="37" t="n">
        <f aca="false">Family!J6</f>
        <v>11.6373433301145</v>
      </c>
      <c r="C12" s="35" t="n">
        <f aca="false">Reference_Values!B12</f>
        <v>11.6373433301145</v>
      </c>
      <c r="D12" s="32" t="n">
        <f aca="false">ABS(B12-C12)</f>
        <v>0</v>
      </c>
      <c r="E12" s="47" t="n">
        <v>1E-009</v>
      </c>
      <c r="F12" s="4" t="str">
        <f aca="false">IF(D12&lt;=E12,"PASS","FAIL")</f>
        <v>PASS</v>
      </c>
    </row>
    <row r="13" customFormat="false" ht="15" hidden="false" customHeight="false" outlineLevel="0" collapsed="false">
      <c r="A13" s="2" t="s">
        <v>336</v>
      </c>
      <c r="B13" s="37" t="n">
        <f aca="false">Family!J7</f>
        <v>22.8469439390677</v>
      </c>
      <c r="C13" s="35" t="n">
        <f aca="false">Reference_Values!B13</f>
        <v>22.8469439390677</v>
      </c>
      <c r="D13" s="32" t="n">
        <f aca="false">ABS(B13-C13)</f>
        <v>0</v>
      </c>
      <c r="E13" s="47" t="n">
        <v>1E-009</v>
      </c>
      <c r="F13" s="4" t="str">
        <f aca="false">IF(D13&lt;=E13,"PASS","FAIL")</f>
        <v>PASS</v>
      </c>
    </row>
    <row r="14" customFormat="false" ht="15" hidden="false" customHeight="false" outlineLevel="0" collapsed="false">
      <c r="A14" s="2" t="s">
        <v>338</v>
      </c>
      <c r="B14" s="37" t="n">
        <f aca="false">Family!J8</f>
        <v>24.003233122381</v>
      </c>
      <c r="C14" s="35" t="n">
        <f aca="false">Reference_Values!B14</f>
        <v>24.003233122381</v>
      </c>
      <c r="D14" s="32" t="n">
        <f aca="false">ABS(B14-C14)</f>
        <v>0</v>
      </c>
      <c r="E14" s="47" t="n">
        <v>1E-009</v>
      </c>
      <c r="F14" s="4" t="str">
        <f aca="false">IF(D14&lt;=E14,"PASS","FAIL")</f>
        <v>PASS</v>
      </c>
    </row>
    <row r="15" customFormat="false" ht="15" hidden="false" customHeight="false" outlineLevel="0" collapsed="false">
      <c r="A15" s="2" t="s">
        <v>340</v>
      </c>
      <c r="B15" s="37" t="n">
        <f aca="false">Family!J9</f>
        <v>19.370659053409</v>
      </c>
      <c r="C15" s="35" t="n">
        <f aca="false">Reference_Values!B15</f>
        <v>19.370659053409</v>
      </c>
      <c r="D15" s="32" t="n">
        <f aca="false">ABS(B15-C15)</f>
        <v>0</v>
      </c>
      <c r="E15" s="47" t="n">
        <v>1E-009</v>
      </c>
      <c r="F15" s="4" t="str">
        <f aca="false">IF(D15&lt;=E15,"PASS","FAIL")</f>
        <v>PASS</v>
      </c>
    </row>
    <row r="16" customFormat="false" ht="15" hidden="false" customHeight="false" outlineLevel="0" collapsed="false">
      <c r="A16" s="2" t="s">
        <v>342</v>
      </c>
      <c r="B16" s="37" t="n">
        <f aca="false">Family!B11</f>
        <v>13.562622230968</v>
      </c>
      <c r="C16" s="35" t="n">
        <f aca="false">Reference_Values!B16</f>
        <v>13.562622230968</v>
      </c>
      <c r="D16" s="32" t="n">
        <f aca="false">ABS(B16-C16)</f>
        <v>0</v>
      </c>
      <c r="E16" s="47" t="n">
        <v>1E-009</v>
      </c>
      <c r="F16" s="4" t="str">
        <f aca="false">IF(D16&lt;=E16,"PASS","FAIL")</f>
        <v>PASS</v>
      </c>
    </row>
    <row r="17" customFormat="false" ht="15" hidden="false" customHeight="false" outlineLevel="0" collapsed="false">
      <c r="A17" s="2" t="s">
        <v>344</v>
      </c>
      <c r="B17" s="37" t="n">
        <f aca="false">Family!B14</f>
        <v>4.63257406897201</v>
      </c>
      <c r="C17" s="35" t="n">
        <f aca="false">Reference_Values!B17</f>
        <v>4.63257406897201</v>
      </c>
      <c r="D17" s="32" t="n">
        <f aca="false">ABS(B17-C17)</f>
        <v>0</v>
      </c>
      <c r="E17" s="47" t="n">
        <v>1E-009</v>
      </c>
      <c r="F17" s="4" t="str">
        <f aca="false">IF(D17&lt;=E17,"PASS","FAIL")</f>
        <v>PASS</v>
      </c>
    </row>
    <row r="18" customFormat="false" ht="15" hidden="false" customHeight="false" outlineLevel="0" collapsed="false">
      <c r="A18" s="2" t="s">
        <v>346</v>
      </c>
      <c r="B18" s="37" t="n">
        <f aca="false">100*Family!B27</f>
        <v>5</v>
      </c>
      <c r="C18" s="35" t="n">
        <f aca="false">Reference_Values!B18</f>
        <v>5</v>
      </c>
      <c r="D18" s="32" t="n">
        <f aca="false">ABS(B18-C18)</f>
        <v>0</v>
      </c>
      <c r="E18" s="47" t="n">
        <v>1E-009</v>
      </c>
      <c r="F18" s="4" t="str">
        <f aca="false">IF(D18&lt;=E18,"PASS","FAIL")</f>
        <v>PASS</v>
      </c>
    </row>
    <row r="19" customFormat="false" ht="15" hidden="false" customHeight="false" outlineLevel="0" collapsed="false">
      <c r="A19" s="2" t="s">
        <v>347</v>
      </c>
      <c r="B19" s="37" t="n">
        <f aca="false">Family!B28</f>
        <v>1</v>
      </c>
      <c r="C19" s="35" t="n">
        <f aca="false">Reference_Values!B19</f>
        <v>1</v>
      </c>
      <c r="D19" s="32" t="n">
        <f aca="false">ABS(B19-C19)</f>
        <v>0</v>
      </c>
      <c r="E19" s="47" t="n">
        <v>0</v>
      </c>
      <c r="F19" s="4" t="str">
        <f aca="false">IF(D19&lt;=E19,"PASS","FAIL")</f>
        <v>PASS</v>
      </c>
    </row>
    <row r="20" customFormat="false" ht="15" hidden="false" customHeight="false" outlineLevel="0" collapsed="false">
      <c r="A20" s="2" t="s">
        <v>349</v>
      </c>
      <c r="B20" s="37" t="n">
        <f aca="false">Divergence!B5</f>
        <v>0.438571567329423</v>
      </c>
      <c r="C20" s="35" t="n">
        <f aca="false">Reference_Values!B20</f>
        <v>0.438571567329423</v>
      </c>
      <c r="D20" s="32" t="n">
        <f aca="false">ABS(B20-C20)</f>
        <v>0</v>
      </c>
      <c r="E20" s="47" t="n">
        <v>1E-009</v>
      </c>
      <c r="F20" s="4" t="str">
        <f aca="false">IF(D20&lt;=E20,"PASS","FAIL")</f>
        <v>PASS</v>
      </c>
    </row>
    <row r="21" customFormat="false" ht="15" hidden="false" customHeight="false" outlineLevel="0" collapsed="false">
      <c r="A21" s="2" t="s">
        <v>351</v>
      </c>
      <c r="B21" s="37" t="n">
        <f aca="false">Divergence!B6</f>
        <v>0.603191565952027</v>
      </c>
      <c r="C21" s="35" t="n">
        <f aca="false">Reference_Values!B21</f>
        <v>0.603191565952029</v>
      </c>
      <c r="D21" s="32" t="n">
        <f aca="false">ABS(B21-C21)</f>
        <v>2.33146835171283E-015</v>
      </c>
      <c r="E21" s="47" t="n">
        <v>1E-009</v>
      </c>
      <c r="F21" s="4" t="str">
        <f aca="false">IF(D21&lt;=E21,"PASS","FAIL")</f>
        <v>PASS</v>
      </c>
    </row>
    <row r="22" customFormat="false" ht="15" hidden="false" customHeight="false" outlineLevel="0" collapsed="false">
      <c r="A22" s="2" t="s">
        <v>352</v>
      </c>
      <c r="B22" s="37" t="n">
        <f aca="false">Divergence!B7</f>
        <v>1.04176313328145</v>
      </c>
      <c r="C22" s="35" t="n">
        <f aca="false">Reference_Values!B22</f>
        <v>1.04176313328145</v>
      </c>
      <c r="D22" s="32" t="n">
        <f aca="false">ABS(B22-C22)</f>
        <v>0</v>
      </c>
      <c r="E22" s="47" t="n">
        <v>1E-009</v>
      </c>
      <c r="F22" s="4" t="str">
        <f aca="false">IF(D22&lt;=E22,"PASS","FAIL")</f>
        <v>PASS</v>
      </c>
    </row>
    <row r="23" customFormat="false" ht="15" hidden="false" customHeight="false" outlineLevel="0" collapsed="false">
      <c r="A23" s="2" t="s">
        <v>354</v>
      </c>
      <c r="B23" s="37" t="n">
        <f aca="false">1000000*Divergence!C5</f>
        <v>2.92656666513344</v>
      </c>
      <c r="C23" s="35" t="n">
        <f aca="false">Reference_Values!B23</f>
        <v>2.92656666513355</v>
      </c>
      <c r="D23" s="32" t="n">
        <f aca="false">ABS(B23-C23)</f>
        <v>1.08357767203415E-013</v>
      </c>
      <c r="E23" s="47" t="n">
        <v>1E-006</v>
      </c>
      <c r="F23" s="4" t="str">
        <f aca="false">IF(D23&lt;=E23,"PASS","FAIL")</f>
        <v>PASS</v>
      </c>
    </row>
    <row r="24" customFormat="false" ht="15" hidden="false" customHeight="false" outlineLevel="0" collapsed="false">
      <c r="A24" s="2" t="s">
        <v>356</v>
      </c>
      <c r="B24" s="37" t="n">
        <f aca="false">10000000*Divergence!C6</f>
        <v>1.0875870550699</v>
      </c>
      <c r="C24" s="35" t="n">
        <f aca="false">Reference_Values!B24</f>
        <v>1.0875870550699</v>
      </c>
      <c r="D24" s="32" t="n">
        <f aca="false">ABS(B24-C24)</f>
        <v>0</v>
      </c>
      <c r="E24" s="47" t="n">
        <v>1E-006</v>
      </c>
      <c r="F24" s="4" t="str">
        <f aca="false">IF(D24&lt;=E24,"PASS","FAIL")</f>
        <v>PASS</v>
      </c>
    </row>
    <row r="25" customFormat="false" ht="15" hidden="false" customHeight="false" outlineLevel="0" collapsed="false">
      <c r="A25" s="2" t="s">
        <v>358</v>
      </c>
      <c r="B25" s="37" t="n">
        <f aca="false">100000000000*Divergence!C7</f>
        <v>1.68685945706765</v>
      </c>
      <c r="C25" s="35" t="n">
        <f aca="false">Reference_Values!B25</f>
        <v>1.6868594570677</v>
      </c>
      <c r="D25" s="32" t="n">
        <f aca="false">ABS(B25-C25)</f>
        <v>5.37347943918576E-014</v>
      </c>
      <c r="E25" s="47" t="n">
        <v>1E-006</v>
      </c>
      <c r="F25" s="4" t="str">
        <f aca="false">IF(D25&lt;=E25,"PASS","FAIL")</f>
        <v>PASS</v>
      </c>
    </row>
    <row r="26" customFormat="false" ht="15" hidden="false" customHeight="false" outlineLevel="0" collapsed="false">
      <c r="A26" s="2" t="s">
        <v>360</v>
      </c>
      <c r="B26" s="37" t="n">
        <f aca="false">Divergence!B11</f>
        <v>0.377140529950139</v>
      </c>
      <c r="C26" s="35" t="n">
        <f aca="false">Reference_Values!B26</f>
        <v>0.377140529950139</v>
      </c>
      <c r="D26" s="32" t="n">
        <f aca="false">ABS(B26-C26)</f>
        <v>0</v>
      </c>
      <c r="E26" s="47" t="n">
        <v>1E-009</v>
      </c>
      <c r="F26" s="4" t="str">
        <f aca="false">IF(D26&lt;=E26,"PASS","FAIL")</f>
        <v>PASS</v>
      </c>
    </row>
    <row r="27" customFormat="false" ht="15" hidden="false" customHeight="false" outlineLevel="0" collapsed="false">
      <c r="A27" s="2" t="s">
        <v>362</v>
      </c>
      <c r="B27" s="37" t="n">
        <f aca="false">100*Divergence!B15</f>
        <v>6.00408213770422</v>
      </c>
      <c r="C27" s="35" t="n">
        <f aca="false">Reference_Values!B27</f>
        <v>6.00408213770421</v>
      </c>
      <c r="D27" s="32" t="n">
        <f aca="false">ABS(B27-C27)</f>
        <v>0</v>
      </c>
      <c r="E27" s="47" t="n">
        <v>1E-008</v>
      </c>
      <c r="F27" s="4" t="str">
        <f aca="false">IF(D27&lt;=E27,"PASS","FAIL")</f>
        <v>PASS</v>
      </c>
    </row>
    <row r="28" customFormat="false" ht="15" hidden="false" customHeight="false" outlineLevel="0" collapsed="false">
      <c r="A28" s="2" t="s">
        <v>364</v>
      </c>
      <c r="B28" s="37" t="n">
        <f aca="false">100*Divergence!B16</f>
        <v>6.77518178859637</v>
      </c>
      <c r="C28" s="35" t="n">
        <f aca="false">Reference_Values!B28</f>
        <v>6.77518178859636</v>
      </c>
      <c r="D28" s="32" t="n">
        <f aca="false">ABS(B28-C28)</f>
        <v>0</v>
      </c>
      <c r="E28" s="47" t="n">
        <v>1E-008</v>
      </c>
      <c r="F28" s="4" t="str">
        <f aca="false">IF(D28&lt;=E28,"PASS","FAIL")</f>
        <v>PASS</v>
      </c>
    </row>
    <row r="29" customFormat="false" ht="15" hidden="false" customHeight="false" outlineLevel="0" collapsed="false">
      <c r="A29" s="2" t="s">
        <v>365</v>
      </c>
      <c r="B29" s="37" t="n">
        <f aca="false">100*Divergence!B17</f>
        <v>8.36482674857246</v>
      </c>
      <c r="C29" s="35" t="n">
        <f aca="false">Reference_Values!B29</f>
        <v>8.36482674857247</v>
      </c>
      <c r="D29" s="32" t="n">
        <f aca="false">ABS(B29-C29)</f>
        <v>0</v>
      </c>
      <c r="E29" s="47" t="n">
        <v>1E-008</v>
      </c>
      <c r="F29" s="4" t="str">
        <f aca="false">IF(D29&lt;=E29,"PASS","FAIL")</f>
        <v>PASS</v>
      </c>
    </row>
    <row r="30" customFormat="false" ht="15" hidden="false" customHeight="false" outlineLevel="0" collapsed="false">
      <c r="A30" s="2" t="s">
        <v>366</v>
      </c>
      <c r="B30" s="37" t="n">
        <f aca="false">100*Divergence!B18</f>
        <v>11.1548048226802</v>
      </c>
      <c r="C30" s="35" t="n">
        <f aca="false">Reference_Values!B30</f>
        <v>11.1548048226802</v>
      </c>
      <c r="D30" s="32" t="n">
        <f aca="false">ABS(B30-C30)</f>
        <v>0</v>
      </c>
      <c r="E30" s="47" t="n">
        <v>1E-008</v>
      </c>
      <c r="F30" s="4" t="str">
        <f aca="false">IF(D30&lt;=E30,"PASS","FAIL")</f>
        <v>PASS</v>
      </c>
    </row>
    <row r="31" customFormat="false" ht="15" hidden="false" customHeight="false" outlineLevel="0" collapsed="false">
      <c r="A31" s="2" t="s">
        <v>367</v>
      </c>
      <c r="B31" s="37" t="n">
        <f aca="false">100*Divergence!B19</f>
        <v>17.2949347713484</v>
      </c>
      <c r="C31" s="35" t="n">
        <f aca="false">Reference_Values!B31</f>
        <v>17.2949347713485</v>
      </c>
      <c r="D31" s="32" t="n">
        <f aca="false">ABS(B31-C31)</f>
        <v>0</v>
      </c>
      <c r="E31" s="47" t="n">
        <v>1E-008</v>
      </c>
      <c r="F31" s="4" t="str">
        <f aca="false">IF(D31&lt;=E31,"PASS","FAIL")</f>
        <v>PASS</v>
      </c>
    </row>
    <row r="32" customFormat="false" ht="15" hidden="false" customHeight="false" outlineLevel="0" collapsed="false">
      <c r="A32" s="2" t="s">
        <v>368</v>
      </c>
      <c r="B32" s="37" t="n">
        <f aca="false">100*Divergence!B20</f>
        <v>28.8519197341886</v>
      </c>
      <c r="C32" s="35" t="n">
        <f aca="false">Reference_Values!B32</f>
        <v>28.8519197341887</v>
      </c>
      <c r="D32" s="32" t="n">
        <f aca="false">ABS(B32-C32)</f>
        <v>0</v>
      </c>
      <c r="E32" s="47" t="n">
        <v>1E-008</v>
      </c>
      <c r="F32" s="4" t="str">
        <f aca="false">IF(D32&lt;=E32,"PASS","FAIL")</f>
        <v>PASS</v>
      </c>
    </row>
    <row r="33" customFormat="false" ht="15" hidden="false" customHeight="false" outlineLevel="0" collapsed="false">
      <c r="A33" s="2" t="s">
        <v>369</v>
      </c>
      <c r="B33" s="37" t="n">
        <f aca="false">100*Divergence!B21</f>
        <v>55.5514150436409</v>
      </c>
      <c r="C33" s="35" t="n">
        <f aca="false">Reference_Values!B33</f>
        <v>55.551415043641</v>
      </c>
      <c r="D33" s="32" t="n">
        <f aca="false">ABS(B33-C33)</f>
        <v>0</v>
      </c>
      <c r="E33" s="47" t="n">
        <v>1E-008</v>
      </c>
      <c r="F33" s="4" t="str">
        <f aca="false">IF(D33&lt;=E33,"PASS","FAIL")</f>
        <v>PASS</v>
      </c>
    </row>
    <row r="34" customFormat="false" ht="15" hidden="false" customHeight="false" outlineLevel="0" collapsed="false">
      <c r="A34" s="2" t="s">
        <v>370</v>
      </c>
      <c r="B34" s="37" t="n">
        <f aca="false">100*Divergence!B26</f>
        <v>4.08482563896957</v>
      </c>
      <c r="C34" s="35" t="n">
        <f aca="false">Reference_Values!B34</f>
        <v>4.08482563896962</v>
      </c>
      <c r="D34" s="32" t="n">
        <f aca="false">ABS(B34-C34)</f>
        <v>5.15143483426073E-014</v>
      </c>
      <c r="E34" s="47" t="n">
        <v>1E-008</v>
      </c>
      <c r="F34" s="4" t="str">
        <f aca="false">IF(D34&lt;=E34,"PASS","FAIL")</f>
        <v>PASS</v>
      </c>
    </row>
    <row r="35" customFormat="false" ht="15" hidden="false" customHeight="false" outlineLevel="0" collapsed="false">
      <c r="A35" s="2" t="s">
        <v>372</v>
      </c>
      <c r="B35" s="37" t="n">
        <f aca="false">Divergence!G26</f>
        <v>12.1942415501297</v>
      </c>
      <c r="C35" s="35" t="n">
        <f aca="false">Reference_Values!B35</f>
        <v>12.1942415501297</v>
      </c>
      <c r="D35" s="32" t="n">
        <f aca="false">ABS(B35-C35)</f>
        <v>0</v>
      </c>
      <c r="E35" s="47" t="n">
        <v>1E-009</v>
      </c>
      <c r="F35" s="4" t="str">
        <f aca="false">IF(D35&lt;=E35,"PASS","FAIL")</f>
        <v>PASS</v>
      </c>
    </row>
    <row r="36" customFormat="false" ht="15" hidden="false" customHeight="false" outlineLevel="0" collapsed="false">
      <c r="A36" s="2" t="s">
        <v>374</v>
      </c>
      <c r="B36" s="37" t="n">
        <f aca="false">100*Divergence!B27</f>
        <v>3.74012612403768</v>
      </c>
      <c r="C36" s="35" t="n">
        <f aca="false">Reference_Values!B36</f>
        <v>3.74012612403768</v>
      </c>
      <c r="D36" s="32" t="n">
        <f aca="false">ABS(B36-C36)</f>
        <v>0</v>
      </c>
      <c r="E36" s="47" t="n">
        <v>1E-008</v>
      </c>
      <c r="F36" s="4" t="str">
        <f aca="false">IF(D36&lt;=E36,"PASS","FAIL")</f>
        <v>PASS</v>
      </c>
    </row>
    <row r="37" customFormat="false" ht="15" hidden="false" customHeight="false" outlineLevel="0" collapsed="false">
      <c r="A37" s="2" t="s">
        <v>375</v>
      </c>
      <c r="B37" s="37" t="n">
        <f aca="false">Divergence!G27</f>
        <v>12.9346678984515</v>
      </c>
      <c r="C37" s="35" t="n">
        <f aca="false">Reference_Values!B37</f>
        <v>12.9346678984515</v>
      </c>
      <c r="D37" s="32" t="n">
        <f aca="false">ABS(B37-C37)</f>
        <v>0</v>
      </c>
      <c r="E37" s="47" t="n">
        <v>1E-009</v>
      </c>
      <c r="F37" s="4" t="str">
        <f aca="false">IF(D37&lt;=E37,"PASS","FAIL")</f>
        <v>PASS</v>
      </c>
    </row>
    <row r="38" customFormat="false" ht="15" hidden="false" customHeight="false" outlineLevel="0" collapsed="false">
      <c r="A38" s="2" t="s">
        <v>376</v>
      </c>
      <c r="B38" s="37" t="n">
        <f aca="false">100*Divergence!B28</f>
        <v>3.11420171306599</v>
      </c>
      <c r="C38" s="35" t="n">
        <f aca="false">Reference_Values!B38</f>
        <v>3.11420171306599</v>
      </c>
      <c r="D38" s="32" t="n">
        <f aca="false">ABS(B38-C38)</f>
        <v>0</v>
      </c>
      <c r="E38" s="47" t="n">
        <v>1E-008</v>
      </c>
      <c r="F38" s="4" t="str">
        <f aca="false">IF(D38&lt;=E38,"PASS","FAIL")</f>
        <v>PASS</v>
      </c>
    </row>
    <row r="39" customFormat="false" ht="15" hidden="false" customHeight="false" outlineLevel="0" collapsed="false">
      <c r="A39" s="2" t="s">
        <v>377</v>
      </c>
      <c r="B39" s="37" t="n">
        <f aca="false">Divergence!G28</f>
        <v>14.3973383667534</v>
      </c>
      <c r="C39" s="35" t="n">
        <f aca="false">Reference_Values!B39</f>
        <v>14.3973383667534</v>
      </c>
      <c r="D39" s="32" t="n">
        <f aca="false">ABS(B39-C39)</f>
        <v>0</v>
      </c>
      <c r="E39" s="47" t="n">
        <v>1E-009</v>
      </c>
      <c r="F39" s="4" t="str">
        <f aca="false">IF(D39&lt;=E39,"PASS","FAIL")</f>
        <v>PASS</v>
      </c>
    </row>
    <row r="40" customFormat="false" ht="15" hidden="false" customHeight="false" outlineLevel="0" collapsed="false">
      <c r="A40" s="2" t="s">
        <v>378</v>
      </c>
      <c r="B40" s="37" t="n">
        <f aca="false">100*Divergence!B29</f>
        <v>2.4981144816651</v>
      </c>
      <c r="C40" s="35" t="n">
        <f aca="false">Reference_Values!B40</f>
        <v>2.4981144816651</v>
      </c>
      <c r="D40" s="32" t="n">
        <f aca="false">ABS(B40-C40)</f>
        <v>0</v>
      </c>
      <c r="E40" s="47" t="n">
        <v>1E-008</v>
      </c>
      <c r="F40" s="4" t="str">
        <f aca="false">IF(D40&lt;=E40,"PASS","FAIL")</f>
        <v>PASS</v>
      </c>
    </row>
    <row r="41" customFormat="false" ht="15" hidden="false" customHeight="false" outlineLevel="0" collapsed="false">
      <c r="A41" s="2" t="s">
        <v>379</v>
      </c>
      <c r="B41" s="37" t="n">
        <f aca="false">Divergence!G29</f>
        <v>16.0812188532258</v>
      </c>
      <c r="C41" s="35" t="n">
        <f aca="false">Reference_Values!B41</f>
        <v>16.0812188532258</v>
      </c>
      <c r="D41" s="32" t="n">
        <f aca="false">ABS(B41-C41)</f>
        <v>0</v>
      </c>
      <c r="E41" s="47" t="n">
        <v>1E-009</v>
      </c>
      <c r="F41" s="4" t="str">
        <f aca="false">IF(D41&lt;=E41,"PASS","FAIL")</f>
        <v>PASS</v>
      </c>
    </row>
    <row r="42" customFormat="false" ht="15" hidden="false" customHeight="false" outlineLevel="0" collapsed="false">
      <c r="A42" s="2" t="s">
        <v>380</v>
      </c>
      <c r="B42" s="37" t="n">
        <f aca="false">100*Divergence!B30</f>
        <v>1.77863835365825</v>
      </c>
      <c r="C42" s="35" t="n">
        <f aca="false">Reference_Values!B42</f>
        <v>1.77863835365825</v>
      </c>
      <c r="D42" s="32" t="n">
        <f aca="false">ABS(B42-C42)</f>
        <v>0</v>
      </c>
      <c r="E42" s="47" t="n">
        <v>1E-008</v>
      </c>
      <c r="F42" s="4" t="str">
        <f aca="false">IF(D42&lt;=E42,"PASS","FAIL")</f>
        <v>PASS</v>
      </c>
    </row>
    <row r="43" customFormat="false" ht="15" hidden="false" customHeight="false" outlineLevel="0" collapsed="false">
      <c r="A43" s="2" t="s">
        <v>381</v>
      </c>
      <c r="B43" s="37" t="n">
        <f aca="false">Divergence!G30</f>
        <v>18.7665462719026</v>
      </c>
      <c r="C43" s="35" t="n">
        <f aca="false">Reference_Values!B43</f>
        <v>18.7665462719026</v>
      </c>
      <c r="D43" s="32" t="n">
        <f aca="false">ABS(B43-C43)</f>
        <v>0</v>
      </c>
      <c r="E43" s="47" t="n">
        <v>1E-009</v>
      </c>
      <c r="F43" s="4" t="str">
        <f aca="false">IF(D43&lt;=E43,"PASS","FAIL")</f>
        <v>PASS</v>
      </c>
    </row>
    <row r="44" customFormat="false" ht="15" hidden="false" customHeight="false" outlineLevel="0" collapsed="false">
      <c r="A44" s="2" t="s">
        <v>382</v>
      </c>
      <c r="B44" s="37" t="n">
        <f aca="false">100*Divergence!B31</f>
        <v>1.33732506550018</v>
      </c>
      <c r="C44" s="35" t="n">
        <f aca="false">Reference_Values!B44</f>
        <v>1.33732506550018</v>
      </c>
      <c r="D44" s="32" t="n">
        <f aca="false">ABS(B44-C44)</f>
        <v>0</v>
      </c>
      <c r="E44" s="47" t="n">
        <v>1E-008</v>
      </c>
      <c r="F44" s="4" t="str">
        <f aca="false">IF(D44&lt;=E44,"PASS","FAIL")</f>
        <v>PASS</v>
      </c>
    </row>
    <row r="45" customFormat="false" ht="15" hidden="false" customHeight="false" outlineLevel="0" collapsed="false">
      <c r="A45" s="2" t="s">
        <v>383</v>
      </c>
      <c r="B45" s="37" t="n">
        <f aca="false">Divergence!G31</f>
        <v>20.8918766778589</v>
      </c>
      <c r="C45" s="35" t="n">
        <f aca="false">Reference_Values!B45</f>
        <v>20.8918766778589</v>
      </c>
      <c r="D45" s="32" t="n">
        <f aca="false">ABS(B45-C45)</f>
        <v>0</v>
      </c>
      <c r="E45" s="47" t="n">
        <v>1E-009</v>
      </c>
      <c r="F45" s="4" t="str">
        <f aca="false">IF(D45&lt;=E45,"PASS","FAIL")</f>
        <v>PASS</v>
      </c>
    </row>
    <row r="46" customFormat="false" ht="15" hidden="false" customHeight="false" outlineLevel="0" collapsed="false">
      <c r="A46" s="2" t="s">
        <v>384</v>
      </c>
      <c r="B46" s="37" t="n">
        <f aca="false">100*Divergence!B32</f>
        <v>0.810108378668787</v>
      </c>
      <c r="C46" s="35" t="n">
        <f aca="false">Reference_Values!B46</f>
        <v>0.810108378668793</v>
      </c>
      <c r="D46" s="32" t="n">
        <f aca="false">ABS(B46-C46)</f>
        <v>5.32907051820075E-015</v>
      </c>
      <c r="E46" s="47" t="n">
        <v>1E-008</v>
      </c>
      <c r="F46" s="4" t="str">
        <f aca="false">IF(D46&lt;=E46,"PASS","FAIL")</f>
        <v>PASS</v>
      </c>
    </row>
    <row r="47" customFormat="false" ht="15" hidden="false" customHeight="false" outlineLevel="0" collapsed="false">
      <c r="A47" s="2" t="s">
        <v>385</v>
      </c>
      <c r="B47" s="37" t="n">
        <f aca="false">Divergence!G32</f>
        <v>24.7000628909312</v>
      </c>
      <c r="C47" s="35" t="n">
        <f aca="false">Reference_Values!B47</f>
        <v>24.7000628909312</v>
      </c>
      <c r="D47" s="32" t="n">
        <f aca="false">ABS(B47-C47)</f>
        <v>0</v>
      </c>
      <c r="E47" s="47" t="n">
        <v>1E-009</v>
      </c>
      <c r="F47" s="4" t="str">
        <f aca="false">IF(D47&lt;=E47,"PASS","FAIL")</f>
        <v>PASS</v>
      </c>
    </row>
    <row r="48" customFormat="false" ht="15" hidden="false" customHeight="false" outlineLevel="0" collapsed="false">
      <c r="A48" s="2" t="s">
        <v>386</v>
      </c>
      <c r="B48" s="37" t="n">
        <f aca="false">100*Divergence!B33</f>
        <v>0.459493883434537</v>
      </c>
      <c r="C48" s="35" t="n">
        <f aca="false">Reference_Values!B48</f>
        <v>0.459493883434539</v>
      </c>
      <c r="D48" s="32" t="n">
        <f aca="false">ABS(B48-C48)</f>
        <v>1.99840144432528E-015</v>
      </c>
      <c r="E48" s="47" t="n">
        <v>1E-008</v>
      </c>
      <c r="F48" s="4" t="str">
        <f aca="false">IF(D48&lt;=E48,"PASS","FAIL")</f>
        <v>PASS</v>
      </c>
    </row>
    <row r="49" customFormat="false" ht="15" hidden="false" customHeight="false" outlineLevel="0" collapsed="false">
      <c r="A49" s="2" t="s">
        <v>387</v>
      </c>
      <c r="B49" s="37" t="n">
        <f aca="false">Divergence!G33</f>
        <v>28.3482136681345</v>
      </c>
      <c r="C49" s="35" t="n">
        <f aca="false">Reference_Values!B49</f>
        <v>28.3482136681345</v>
      </c>
      <c r="D49" s="32" t="n">
        <f aca="false">ABS(B49-C49)</f>
        <v>0</v>
      </c>
      <c r="E49" s="47" t="n">
        <v>1E-009</v>
      </c>
      <c r="F49" s="4" t="str">
        <f aca="false">IF(D49&lt;=E49,"PASS","FAIL")</f>
        <v>PASS</v>
      </c>
    </row>
    <row r="50" customFormat="false" ht="15" hidden="false" customHeight="false" outlineLevel="0" collapsed="false">
      <c r="A50" s="2" t="s">
        <v>388</v>
      </c>
      <c r="B50" s="37" t="n">
        <f aca="false">100*Divergence!B34</f>
        <v>0.268741575366596</v>
      </c>
      <c r="C50" s="35" t="n">
        <f aca="false">Reference_Values!B50</f>
        <v>0.268741575366598</v>
      </c>
      <c r="D50" s="32" t="n">
        <f aca="false">ABS(B50-C50)</f>
        <v>2.05391259555654E-015</v>
      </c>
      <c r="E50" s="47" t="n">
        <v>1E-008</v>
      </c>
      <c r="F50" s="4" t="str">
        <f aca="false">IF(D50&lt;=E50,"PASS","FAIL")</f>
        <v>PASS</v>
      </c>
    </row>
    <row r="51" customFormat="false" ht="15" hidden="false" customHeight="false" outlineLevel="0" collapsed="false">
      <c r="A51" s="2" t="s">
        <v>389</v>
      </c>
      <c r="B51" s="37" t="n">
        <f aca="false">Divergence!G34</f>
        <v>31.385405604598</v>
      </c>
      <c r="C51" s="35" t="n">
        <f aca="false">Reference_Values!B51</f>
        <v>31.385405604598</v>
      </c>
      <c r="D51" s="32" t="n">
        <f aca="false">ABS(B51-C51)</f>
        <v>0</v>
      </c>
      <c r="E51" s="47" t="n">
        <v>1E-009</v>
      </c>
      <c r="F51" s="4" t="str">
        <f aca="false">IF(D51&lt;=E51,"PASS","FAIL")</f>
        <v>PASS</v>
      </c>
    </row>
    <row r="52" customFormat="false" ht="15" hidden="false" customHeight="false" outlineLevel="0" collapsed="false">
      <c r="A52" s="2" t="s">
        <v>390</v>
      </c>
      <c r="B52" s="37" t="n">
        <f aca="false">100*Divergence!B35</f>
        <v>0.0956604344180015</v>
      </c>
      <c r="C52" s="35" t="n">
        <f aca="false">Reference_Values!B52</f>
        <v>0.0956604344180026</v>
      </c>
      <c r="D52" s="32" t="n">
        <f aca="false">ABS(B52-C52)</f>
        <v>1.12410081243297E-015</v>
      </c>
      <c r="E52" s="47" t="n">
        <v>1E-008</v>
      </c>
      <c r="F52" s="4" t="str">
        <f aca="false">IF(D52&lt;=E52,"PASS","FAIL")</f>
        <v>PASS</v>
      </c>
    </row>
    <row r="53" customFormat="false" ht="15" hidden="false" customHeight="false" outlineLevel="0" collapsed="false">
      <c r="A53" s="2" t="s">
        <v>391</v>
      </c>
      <c r="B53" s="37" t="n">
        <f aca="false">Divergence!G35</f>
        <v>38.0059128900826</v>
      </c>
      <c r="C53" s="35" t="n">
        <f aca="false">Reference_Values!B53</f>
        <v>38.0059128900826</v>
      </c>
      <c r="D53" s="32" t="n">
        <f aca="false">ABS(B53-C53)</f>
        <v>0</v>
      </c>
      <c r="E53" s="47" t="n">
        <v>1E-009</v>
      </c>
      <c r="F53" s="4" t="str">
        <f aca="false">IF(D53&lt;=E53,"PASS","FAIL")</f>
        <v>PASS</v>
      </c>
    </row>
    <row r="54" customFormat="false" ht="15" hidden="false" customHeight="false" outlineLevel="0" collapsed="false">
      <c r="A54" s="2" t="s">
        <v>392</v>
      </c>
      <c r="B54" s="37" t="n">
        <f aca="false">MAX(ABS(MIN(Divergence!D15:D21)),ABS(MAX(Divergence!D15:D21)))</f>
        <v>3.98986399474666E-017</v>
      </c>
      <c r="C54" s="35" t="n">
        <f aca="false">Reference_Values!B54</f>
        <v>0</v>
      </c>
      <c r="D54" s="32" t="n">
        <f aca="false">ABS(B54-C54)</f>
        <v>3.98986399474666E-017</v>
      </c>
      <c r="E54" s="47" t="n">
        <v>1E-009</v>
      </c>
      <c r="F54" s="4" t="str">
        <f aca="false">IF(D54&lt;=E54,"PASS","FAIL")</f>
        <v>PASS</v>
      </c>
    </row>
    <row r="55" customFormat="false" ht="15" hidden="false" customHeight="false" outlineLevel="0" collapsed="false">
      <c r="A55" s="2" t="s">
        <v>394</v>
      </c>
      <c r="B55" s="37" t="n">
        <f aca="false">MAX(ABS(MIN(Divergence!D26:D35)),ABS(MAX(Divergence!D26:D35)))</f>
        <v>5.72458747072346E-017</v>
      </c>
      <c r="C55" s="35" t="n">
        <f aca="false">Reference_Values!B55</f>
        <v>0</v>
      </c>
      <c r="D55" s="32" t="n">
        <f aca="false">ABS(B55-C55)</f>
        <v>5.72458747072346E-017</v>
      </c>
      <c r="E55" s="47" t="n">
        <v>1E-009</v>
      </c>
      <c r="F55" s="4" t="str">
        <f aca="false">IF(D55&lt;=E55,"PASS","FAIL")</f>
        <v>PASS</v>
      </c>
    </row>
    <row r="56" customFormat="false" ht="15" hidden="false" customHeight="false" outlineLevel="0" collapsed="false">
      <c r="A56" s="2" t="s">
        <v>396</v>
      </c>
      <c r="B56" s="37" t="n">
        <f aca="false">Wasserstein!B4</f>
        <v>5000</v>
      </c>
      <c r="C56" s="35" t="n">
        <f aca="false">Reference_Values!B56</f>
        <v>5000</v>
      </c>
      <c r="D56" s="32" t="n">
        <f aca="false">ABS(B56-C56)</f>
        <v>0</v>
      </c>
      <c r="E56" s="47" t="n">
        <v>0</v>
      </c>
      <c r="F56" s="4" t="str">
        <f aca="false">IF(D56&lt;=E56,"PASS","FAIL")</f>
        <v>PASS</v>
      </c>
    </row>
    <row r="57" customFormat="false" ht="15" hidden="false" customHeight="false" outlineLevel="0" collapsed="false">
      <c r="A57" s="2" t="s">
        <v>398</v>
      </c>
      <c r="B57" s="37" t="n">
        <f aca="false">Wasserstein!B7</f>
        <v>0.2</v>
      </c>
      <c r="C57" s="35" t="n">
        <f aca="false">Reference_Values!B57</f>
        <v>0.200000000673154</v>
      </c>
      <c r="D57" s="32" t="n">
        <f aca="false">ABS(B57-C57)</f>
        <v>6.73154310071311E-010</v>
      </c>
      <c r="E57" s="47" t="n">
        <v>1E-006</v>
      </c>
      <c r="F57" s="4" t="str">
        <f aca="false">IF(D57&lt;=E57,"PASS","FAIL")</f>
        <v>PASS</v>
      </c>
    </row>
    <row r="58" customFormat="false" ht="15" hidden="false" customHeight="false" outlineLevel="0" collapsed="false">
      <c r="A58" s="2" t="s">
        <v>400</v>
      </c>
      <c r="B58" s="37" t="n">
        <f aca="false">Wasserstein!G7</f>
        <v>11.5657134468667</v>
      </c>
      <c r="C58" s="35" t="n">
        <f aca="false">Reference_Values!B58</f>
        <v>11.5657134468667</v>
      </c>
      <c r="D58" s="32" t="n">
        <f aca="false">ABS(B58-C58)</f>
        <v>0</v>
      </c>
      <c r="E58" s="47" t="n">
        <v>1E-009</v>
      </c>
      <c r="F58" s="4" t="str">
        <f aca="false">IF(D58&lt;=E58,"PASS","FAIL")</f>
        <v>PASS</v>
      </c>
    </row>
    <row r="59" customFormat="false" ht="15" hidden="false" customHeight="false" outlineLevel="0" collapsed="false">
      <c r="A59" s="2" t="s">
        <v>401</v>
      </c>
      <c r="B59" s="37" t="n">
        <f aca="false">Wasserstein!B8</f>
        <v>0.4</v>
      </c>
      <c r="C59" s="35" t="n">
        <f aca="false">Reference_Values!B59</f>
        <v>0.400000001426023</v>
      </c>
      <c r="D59" s="32" t="n">
        <f aca="false">ABS(B59-C59)</f>
        <v>1.42602274433301E-009</v>
      </c>
      <c r="E59" s="47" t="n">
        <v>1E-006</v>
      </c>
      <c r="F59" s="4" t="str">
        <f aca="false">IF(D59&lt;=E59,"PASS","FAIL")</f>
        <v>PASS</v>
      </c>
    </row>
    <row r="60" customFormat="false" ht="15" hidden="false" customHeight="false" outlineLevel="0" collapsed="false">
      <c r="A60" s="2" t="s">
        <v>402</v>
      </c>
      <c r="B60" s="37" t="n">
        <f aca="false">Wasserstein!G8</f>
        <v>12.0421583729796</v>
      </c>
      <c r="C60" s="35" t="n">
        <f aca="false">Reference_Values!B60</f>
        <v>12.0421583729796</v>
      </c>
      <c r="D60" s="32" t="n">
        <f aca="false">ABS(B60-C60)</f>
        <v>0</v>
      </c>
      <c r="E60" s="47" t="n">
        <v>1E-009</v>
      </c>
      <c r="F60" s="4" t="str">
        <f aca="false">IF(D60&lt;=E60,"PASS","FAIL")</f>
        <v>PASS</v>
      </c>
    </row>
    <row r="61" customFormat="false" ht="15" hidden="false" customHeight="false" outlineLevel="0" collapsed="false">
      <c r="A61" s="2" t="s">
        <v>403</v>
      </c>
      <c r="B61" s="37" t="n">
        <f aca="false">Wasserstein!B9</f>
        <v>1</v>
      </c>
      <c r="C61" s="35" t="n">
        <f aca="false">Reference_Values!B61</f>
        <v>1.000000000932</v>
      </c>
      <c r="D61" s="32" t="n">
        <f aca="false">ABS(B61-C61)</f>
        <v>9.32000032705105E-010</v>
      </c>
      <c r="E61" s="47" t="n">
        <v>1E-006</v>
      </c>
      <c r="F61" s="4" t="str">
        <f aca="false">IF(D61&lt;=E61,"PASS","FAIL")</f>
        <v>PASS</v>
      </c>
    </row>
    <row r="62" customFormat="false" ht="15" hidden="false" customHeight="false" outlineLevel="0" collapsed="false">
      <c r="A62" s="2" t="s">
        <v>404</v>
      </c>
      <c r="B62" s="37" t="n">
        <f aca="false">Wasserstein!G9</f>
        <v>13.0047711574472</v>
      </c>
      <c r="C62" s="35" t="n">
        <f aca="false">Reference_Values!B62</f>
        <v>13.0047711574473</v>
      </c>
      <c r="D62" s="32" t="n">
        <f aca="false">ABS(B62-C62)</f>
        <v>0</v>
      </c>
      <c r="E62" s="47" t="n">
        <v>1E-009</v>
      </c>
      <c r="F62" s="4" t="str">
        <f aca="false">IF(D62&lt;=E62,"PASS","FAIL")</f>
        <v>PASS</v>
      </c>
    </row>
    <row r="63" customFormat="false" ht="15" hidden="false" customHeight="false" outlineLevel="0" collapsed="false">
      <c r="A63" s="2" t="s">
        <v>405</v>
      </c>
      <c r="B63" s="37" t="n">
        <f aca="false">Wasserstein!B10</f>
        <v>2</v>
      </c>
      <c r="C63" s="35" t="n">
        <f aca="false">Reference_Values!B63</f>
        <v>2.00000000213126</v>
      </c>
      <c r="D63" s="32" t="n">
        <f aca="false">ABS(B63-C63)</f>
        <v>2.13126094550375E-009</v>
      </c>
      <c r="E63" s="47" t="n">
        <v>1E-006</v>
      </c>
      <c r="F63" s="4" t="str">
        <f aca="false">IF(D63&lt;=E63,"PASS","FAIL")</f>
        <v>PASS</v>
      </c>
    </row>
    <row r="64" customFormat="false" ht="15" hidden="false" customHeight="false" outlineLevel="0" collapsed="false">
      <c r="A64" s="2" t="s">
        <v>406</v>
      </c>
      <c r="B64" s="37" t="n">
        <f aca="false">Wasserstein!G10</f>
        <v>14.1343612380326</v>
      </c>
      <c r="C64" s="35" t="n">
        <f aca="false">Reference_Values!B64</f>
        <v>14.1343612380326</v>
      </c>
      <c r="D64" s="32" t="n">
        <f aca="false">ABS(B64-C64)</f>
        <v>0</v>
      </c>
      <c r="E64" s="47" t="n">
        <v>1E-009</v>
      </c>
      <c r="F64" s="4" t="str">
        <f aca="false">IF(D64&lt;=E64,"PASS","FAIL")</f>
        <v>PASS</v>
      </c>
    </row>
    <row r="65" customFormat="false" ht="15" hidden="false" customHeight="false" outlineLevel="0" collapsed="false">
      <c r="A65" s="2" t="s">
        <v>407</v>
      </c>
      <c r="B65" s="37" t="n">
        <f aca="false">Wasserstein!B11</f>
        <v>4</v>
      </c>
      <c r="C65" s="35" t="n">
        <f aca="false">Reference_Values!B65</f>
        <v>4.0000000007331</v>
      </c>
      <c r="D65" s="32" t="n">
        <f aca="false">ABS(B65-C65)</f>
        <v>7.33103355798903E-010</v>
      </c>
      <c r="E65" s="47" t="n">
        <v>1E-006</v>
      </c>
      <c r="F65" s="4" t="str">
        <f aca="false">IF(D65&lt;=E65,"PASS","FAIL")</f>
        <v>PASS</v>
      </c>
    </row>
    <row r="66" customFormat="false" ht="15" hidden="false" customHeight="false" outlineLevel="0" collapsed="false">
      <c r="A66" s="2" t="s">
        <v>408</v>
      </c>
      <c r="B66" s="37" t="n">
        <f aca="false">Wasserstein!G11</f>
        <v>15.7810545972548</v>
      </c>
      <c r="C66" s="35" t="n">
        <f aca="false">Reference_Values!B66</f>
        <v>15.7810545972548</v>
      </c>
      <c r="D66" s="32" t="n">
        <f aca="false">ABS(B66-C66)</f>
        <v>0</v>
      </c>
      <c r="E66" s="47" t="n">
        <v>1E-009</v>
      </c>
      <c r="F66" s="4" t="str">
        <f aca="false">IF(D66&lt;=E66,"PASS","FAIL")</f>
        <v>PASS</v>
      </c>
    </row>
    <row r="67" customFormat="false" ht="15" hidden="false" customHeight="false" outlineLevel="0" collapsed="false">
      <c r="A67" s="2" t="s">
        <v>409</v>
      </c>
      <c r="B67" s="37" t="n">
        <f aca="false">Wasserstein!B12</f>
        <v>10</v>
      </c>
      <c r="C67" s="35" t="n">
        <f aca="false">Reference_Values!B67</f>
        <v>10.0000000046319</v>
      </c>
      <c r="D67" s="32" t="n">
        <f aca="false">ABS(B67-C67)</f>
        <v>4.63193927657812E-009</v>
      </c>
      <c r="E67" s="47" t="n">
        <v>1E-006</v>
      </c>
      <c r="F67" s="4" t="str">
        <f aca="false">IF(D67&lt;=E67,"PASS","FAIL")</f>
        <v>PASS</v>
      </c>
    </row>
    <row r="68" customFormat="false" ht="15" hidden="false" customHeight="false" outlineLevel="0" collapsed="false">
      <c r="A68" s="2" t="s">
        <v>410</v>
      </c>
      <c r="B68" s="37" t="n">
        <f aca="false">Wasserstein!G12</f>
        <v>19.335973911453</v>
      </c>
      <c r="C68" s="35" t="n">
        <f aca="false">Reference_Values!B68</f>
        <v>19.335973911453</v>
      </c>
      <c r="D68" s="32" t="n">
        <f aca="false">ABS(B68-C68)</f>
        <v>0</v>
      </c>
      <c r="E68" s="47" t="n">
        <v>1E-009</v>
      </c>
      <c r="F68" s="4" t="str">
        <f aca="false">IF(D68&lt;=E68,"PASS","FAIL")</f>
        <v>PASS</v>
      </c>
    </row>
    <row r="69" customFormat="false" ht="15" hidden="false" customHeight="false" outlineLevel="0" collapsed="false">
      <c r="A69" s="2" t="s">
        <v>411</v>
      </c>
      <c r="B69" s="37" t="n">
        <f aca="false">Wasserstein!B13</f>
        <v>20</v>
      </c>
      <c r="C69" s="35" t="n">
        <f aca="false">Reference_Values!B69</f>
        <v>20.000000000186</v>
      </c>
      <c r="D69" s="32" t="n">
        <f aca="false">ABS(B69-C69)</f>
        <v>1.85959692089455E-010</v>
      </c>
      <c r="E69" s="47" t="n">
        <v>1E-006</v>
      </c>
      <c r="F69" s="4" t="str">
        <f aca="false">IF(D69&lt;=E69,"PASS","FAIL")</f>
        <v>PASS</v>
      </c>
    </row>
    <row r="70" customFormat="false" ht="15" hidden="false" customHeight="false" outlineLevel="0" collapsed="false">
      <c r="A70" s="2" t="s">
        <v>412</v>
      </c>
      <c r="B70" s="37" t="n">
        <f aca="false">Wasserstein!G13</f>
        <v>23.94634951232</v>
      </c>
      <c r="C70" s="35" t="n">
        <f aca="false">Reference_Values!B70</f>
        <v>23.94634951232</v>
      </c>
      <c r="D70" s="32" t="n">
        <f aca="false">ABS(B70-C70)</f>
        <v>0</v>
      </c>
      <c r="E70" s="47" t="n">
        <v>1E-009</v>
      </c>
      <c r="F70" s="4" t="str">
        <f aca="false">IF(D70&lt;=E70,"PASS","FAIL")</f>
        <v>PASS</v>
      </c>
    </row>
    <row r="71" customFormat="false" ht="15" hidden="false" customHeight="false" outlineLevel="0" collapsed="false">
      <c r="A71" s="2" t="s">
        <v>413</v>
      </c>
      <c r="B71" s="37" t="n">
        <f aca="false">Wasserstein!B16</f>
        <v>0.231982938136182</v>
      </c>
      <c r="C71" s="35" t="n">
        <f aca="false">Reference_Values!B71</f>
        <v>0.231982938136182</v>
      </c>
      <c r="D71" s="32" t="n">
        <f aca="false">ABS(B71-C71)</f>
        <v>0</v>
      </c>
      <c r="E71" s="47" t="n">
        <v>1E-009</v>
      </c>
      <c r="F71" s="4" t="str">
        <f aca="false">IF(D71&lt;=E71,"PASS","FAIL")</f>
        <v>PASS</v>
      </c>
    </row>
    <row r="72" customFormat="false" ht="15" hidden="false" customHeight="false" outlineLevel="0" collapsed="false">
      <c r="A72" s="2" t="s">
        <v>414</v>
      </c>
      <c r="B72" s="37" t="n">
        <f aca="false">Wasserstein!B18</f>
        <v>26.2678739326358</v>
      </c>
      <c r="C72" s="35" t="n">
        <f aca="false">Reference_Values!B72</f>
        <v>26.2678739326359</v>
      </c>
      <c r="D72" s="32" t="n">
        <f aca="false">ABS(B72-C72)</f>
        <v>0</v>
      </c>
      <c r="E72" s="47" t="n">
        <v>1E-007</v>
      </c>
      <c r="F72" s="4" t="str">
        <f aca="false">IF(D72&lt;=E72,"PASS","FAIL")</f>
        <v>PASS</v>
      </c>
    </row>
    <row r="73" customFormat="false" ht="15" hidden="false" customHeight="false" outlineLevel="0" collapsed="false">
      <c r="A73" s="2" t="s">
        <v>415</v>
      </c>
      <c r="B73" s="37" t="n">
        <f aca="false">Wasserstein!B19</f>
        <v>525.357478652717</v>
      </c>
      <c r="C73" s="35" t="n">
        <f aca="false">Reference_Values!B73</f>
        <v>525.357478652717</v>
      </c>
      <c r="D73" s="32" t="n">
        <f aca="false">ABS(B73-C73)</f>
        <v>0</v>
      </c>
      <c r="E73" s="47" t="n">
        <v>1E-006</v>
      </c>
      <c r="F73" s="4" t="str">
        <f aca="false">IF(D73&lt;=E73,"PASS","FAIL")</f>
        <v>PASS</v>
      </c>
    </row>
    <row r="74" customFormat="false" ht="15" hidden="false" customHeight="false" outlineLevel="0" collapsed="false">
      <c r="A74" s="2" t="s">
        <v>416</v>
      </c>
      <c r="B74" s="37" t="n">
        <f aca="false">100*Moments!G5</f>
        <v>4.56812130643655</v>
      </c>
      <c r="C74" s="35" t="n">
        <f aca="false">Reference_Values!B74</f>
        <v>4.56812130643655</v>
      </c>
      <c r="D74" s="32" t="n">
        <f aca="false">ABS(B74-C74)</f>
        <v>0</v>
      </c>
      <c r="E74" s="47" t="n">
        <v>1E-009</v>
      </c>
      <c r="F74" s="4" t="str">
        <f aca="false">IF(D74&lt;=E74,"PASS","FAIL")</f>
        <v>PASS</v>
      </c>
    </row>
    <row r="75" customFormat="false" ht="15" hidden="false" customHeight="false" outlineLevel="0" collapsed="false">
      <c r="A75" s="2" t="s">
        <v>417</v>
      </c>
      <c r="B75" s="37" t="n">
        <f aca="false">100*Moments!G6</f>
        <v>7.95158445353028</v>
      </c>
      <c r="C75" s="35" t="n">
        <f aca="false">Reference_Values!B75</f>
        <v>7.95158445353028</v>
      </c>
      <c r="D75" s="32" t="n">
        <f aca="false">ABS(B75-C75)</f>
        <v>0</v>
      </c>
      <c r="E75" s="47" t="n">
        <v>1E-009</v>
      </c>
      <c r="F75" s="4" t="str">
        <f aca="false">IF(D75&lt;=E75,"PASS","FAIL")</f>
        <v>PASS</v>
      </c>
    </row>
    <row r="76" customFormat="false" ht="15" hidden="false" customHeight="false" outlineLevel="0" collapsed="false">
      <c r="A76" s="2" t="s">
        <v>418</v>
      </c>
      <c r="B76" s="37" t="n">
        <f aca="false">100*Moments!G7</f>
        <v>10.6746628947915</v>
      </c>
      <c r="C76" s="35" t="n">
        <f aca="false">Reference_Values!B76</f>
        <v>10.6746628947915</v>
      </c>
      <c r="D76" s="32" t="n">
        <f aca="false">ABS(B76-C76)</f>
        <v>0</v>
      </c>
      <c r="E76" s="47" t="n">
        <v>1E-009</v>
      </c>
      <c r="F76" s="4" t="str">
        <f aca="false">IF(D76&lt;=E76,"PASS","FAIL")</f>
        <v>PASS</v>
      </c>
    </row>
    <row r="77" customFormat="false" ht="15" hidden="false" customHeight="false" outlineLevel="0" collapsed="false">
      <c r="A77" s="2" t="s">
        <v>419</v>
      </c>
      <c r="B77" s="37" t="n">
        <f aca="false">100*Moments!G8</f>
        <v>12.8870551013453</v>
      </c>
      <c r="C77" s="35" t="n">
        <f aca="false">Reference_Values!B77</f>
        <v>12.8870551013453</v>
      </c>
      <c r="D77" s="32" t="n">
        <f aca="false">ABS(B77-C77)</f>
        <v>0</v>
      </c>
      <c r="E77" s="47" t="n">
        <v>1E-009</v>
      </c>
      <c r="F77" s="4" t="str">
        <f aca="false">IF(D77&lt;=E77,"PASS","FAIL")</f>
        <v>PASS</v>
      </c>
    </row>
    <row r="78" customFormat="false" ht="15" hidden="false" customHeight="false" outlineLevel="0" collapsed="false">
      <c r="A78" s="2" t="s">
        <v>420</v>
      </c>
      <c r="B78" s="37" t="n">
        <f aca="false">100*Moments!G9</f>
        <v>14.3914295256389</v>
      </c>
      <c r="C78" s="35" t="n">
        <f aca="false">Reference_Values!B78</f>
        <v>14.3914295256389</v>
      </c>
      <c r="D78" s="32" t="n">
        <f aca="false">ABS(B78-C78)</f>
        <v>0</v>
      </c>
      <c r="E78" s="47" t="n">
        <v>1E-009</v>
      </c>
      <c r="F78" s="4" t="str">
        <f aca="false">IF(D78&lt;=E78,"PASS","FAIL")</f>
        <v>PASS</v>
      </c>
    </row>
    <row r="79" customFormat="false" ht="15" hidden="false" customHeight="false" outlineLevel="0" collapsed="false">
      <c r="A79" s="2" t="s">
        <v>421</v>
      </c>
      <c r="B79" s="37" t="n">
        <f aca="false">100*Moments!G10</f>
        <v>15.2092185141336</v>
      </c>
      <c r="C79" s="35" t="n">
        <f aca="false">Reference_Values!B79</f>
        <v>15.2092185141335</v>
      </c>
      <c r="D79" s="32" t="n">
        <f aca="false">ABS(B79-C79)</f>
        <v>0</v>
      </c>
      <c r="E79" s="47" t="n">
        <v>1E-009</v>
      </c>
      <c r="F79" s="4" t="str">
        <f aca="false">IF(D79&lt;=E79,"PASS","FAIL")</f>
        <v>PASS</v>
      </c>
    </row>
    <row r="80" customFormat="false" ht="15" hidden="false" customHeight="false" outlineLevel="0" collapsed="false">
      <c r="A80" s="2" t="s">
        <v>422</v>
      </c>
      <c r="B80" s="37" t="n">
        <f aca="false">100*Moments!G11</f>
        <v>15.3783036301706</v>
      </c>
      <c r="C80" s="35" t="n">
        <f aca="false">Reference_Values!B80</f>
        <v>15.3783036301706</v>
      </c>
      <c r="D80" s="32" t="n">
        <f aca="false">ABS(B80-C80)</f>
        <v>0</v>
      </c>
      <c r="E80" s="47" t="n">
        <v>1E-009</v>
      </c>
      <c r="F80" s="4" t="str">
        <f aca="false">IF(D80&lt;=E80,"PASS","FAIL")</f>
        <v>PASS</v>
      </c>
    </row>
    <row r="81" customFormat="false" ht="15" hidden="false" customHeight="false" outlineLevel="0" collapsed="false">
      <c r="A81" s="2" t="s">
        <v>423</v>
      </c>
      <c r="B81" s="37" t="n">
        <f aca="false">100*Moments!G12</f>
        <v>15.0470263396725</v>
      </c>
      <c r="C81" s="35" t="n">
        <f aca="false">Reference_Values!B81</f>
        <v>15.0470263396725</v>
      </c>
      <c r="D81" s="32" t="n">
        <f aca="false">ABS(B81-C81)</f>
        <v>0</v>
      </c>
      <c r="E81" s="47" t="n">
        <v>1E-009</v>
      </c>
      <c r="F81" s="4" t="str">
        <f aca="false">IF(D81&lt;=E81,"PASS","FAIL")</f>
        <v>PASS</v>
      </c>
    </row>
    <row r="82" customFormat="false" ht="15" hidden="false" customHeight="false" outlineLevel="0" collapsed="false">
      <c r="A82" s="2" t="s">
        <v>424</v>
      </c>
      <c r="B82" s="37" t="n">
        <f aca="false">100*Moments!G13</f>
        <v>14.4903564314783</v>
      </c>
      <c r="C82" s="35" t="n">
        <f aca="false">Reference_Values!B82</f>
        <v>14.4903564314783</v>
      </c>
      <c r="D82" s="32" t="n">
        <f aca="false">ABS(B82-C82)</f>
        <v>0</v>
      </c>
      <c r="E82" s="47" t="n">
        <v>1E-009</v>
      </c>
      <c r="F82" s="4" t="str">
        <f aca="false">IF(D82&lt;=E82,"PASS","FAIL")</f>
        <v>PASS</v>
      </c>
    </row>
    <row r="83" customFormat="false" ht="15" hidden="false" customHeight="false" outlineLevel="0" collapsed="false">
      <c r="A83" s="2" t="s">
        <v>425</v>
      </c>
      <c r="B83" s="37" t="n">
        <f aca="false">100*Moments!G14</f>
        <v>13.6039944869179</v>
      </c>
      <c r="C83" s="35" t="n">
        <f aca="false">Reference_Values!B83</f>
        <v>13.6039944869179</v>
      </c>
      <c r="D83" s="32" t="n">
        <f aca="false">ABS(B83-C83)</f>
        <v>0</v>
      </c>
      <c r="E83" s="47" t="n">
        <v>1E-009</v>
      </c>
      <c r="F83" s="4" t="str">
        <f aca="false">IF(D83&lt;=E83,"PASS","FAIL")</f>
        <v>PASS</v>
      </c>
    </row>
    <row r="84" customFormat="false" ht="15" hidden="false" customHeight="false" outlineLevel="0" collapsed="false">
      <c r="A84" s="2" t="s">
        <v>426</v>
      </c>
      <c r="B84" s="37" t="n">
        <f aca="false">100*Moments!G15</f>
        <v>12.6803722502309</v>
      </c>
      <c r="C84" s="35" t="n">
        <f aca="false">Reference_Values!B84</f>
        <v>12.6803722502309</v>
      </c>
      <c r="D84" s="32" t="n">
        <f aca="false">ABS(B84-C84)</f>
        <v>0</v>
      </c>
      <c r="E84" s="47" t="n">
        <v>1E-009</v>
      </c>
      <c r="F84" s="4" t="str">
        <f aca="false">IF(D84&lt;=E84,"PASS","FAIL")</f>
        <v>PASS</v>
      </c>
    </row>
    <row r="85" customFormat="false" ht="15" hidden="false" customHeight="false" outlineLevel="0" collapsed="false">
      <c r="A85" s="2" t="s">
        <v>427</v>
      </c>
      <c r="B85" s="37" t="n">
        <f aca="false">100*Moments!G16</f>
        <v>11.7515335690231</v>
      </c>
      <c r="C85" s="35" t="n">
        <f aca="false">Reference_Values!B85</f>
        <v>11.7515335690231</v>
      </c>
      <c r="D85" s="32" t="n">
        <f aca="false">ABS(B85-C85)</f>
        <v>0</v>
      </c>
      <c r="E85" s="47" t="n">
        <v>1E-009</v>
      </c>
      <c r="F85" s="4" t="str">
        <f aca="false">IF(D85&lt;=E85,"PASS","FAIL")</f>
        <v>PASS</v>
      </c>
    </row>
    <row r="86" customFormat="false" ht="15" hidden="false" customHeight="false" outlineLevel="0" collapsed="false">
      <c r="A86" s="2" t="s">
        <v>428</v>
      </c>
      <c r="B86" s="37" t="n">
        <f aca="false">Moments!B18</f>
        <v>7</v>
      </c>
      <c r="C86" s="35" t="n">
        <f aca="false">Reference_Values!B86</f>
        <v>7</v>
      </c>
      <c r="D86" s="32" t="n">
        <f aca="false">ABS(B86-C86)</f>
        <v>0</v>
      </c>
      <c r="E86" s="47" t="n">
        <v>0</v>
      </c>
      <c r="F86" s="4" t="str">
        <f aca="false">IF(D86&lt;=E86,"PASS","FAIL")</f>
        <v>PASS</v>
      </c>
    </row>
    <row r="87" customFormat="false" ht="15" hidden="false" customHeight="false" outlineLevel="0" collapsed="false">
      <c r="A87" s="2" t="s">
        <v>429</v>
      </c>
      <c r="B87" s="37" t="n">
        <f aca="false">100*Moments!B22</f>
        <v>148.633658503369</v>
      </c>
      <c r="C87" s="35" t="n">
        <f aca="false">Reference_Values!B87</f>
        <v>148.633658503369</v>
      </c>
      <c r="D87" s="32" t="n">
        <f aca="false">ABS(B87-C87)</f>
        <v>0</v>
      </c>
      <c r="E87" s="47" t="n">
        <v>1E-009</v>
      </c>
      <c r="F87" s="4" t="str">
        <f aca="false">IF(D87&lt;=E87,"PASS","FAIL")</f>
        <v>PASS</v>
      </c>
    </row>
    <row r="88" customFormat="false" ht="15" hidden="false" customHeight="false" outlineLevel="0" collapsed="false">
      <c r="A88" s="2" t="s">
        <v>431</v>
      </c>
      <c r="B88" s="37" t="n">
        <f aca="false">Moments!B24</f>
        <v>4.35889894354067</v>
      </c>
      <c r="C88" s="35" t="n">
        <f aca="false">Reference_Values!B88</f>
        <v>4.35889894354067</v>
      </c>
      <c r="D88" s="32" t="n">
        <f aca="false">ABS(B88-C88)</f>
        <v>0</v>
      </c>
      <c r="E88" s="47" t="n">
        <v>1E-012</v>
      </c>
      <c r="F88" s="4" t="str">
        <f aca="false">IF(D88&lt;=E88,"PASS","FAIL")</f>
        <v>PASS</v>
      </c>
    </row>
    <row r="89" customFormat="false" ht="15" hidden="false" customHeight="false" outlineLevel="0" collapsed="false">
      <c r="A89" s="2" t="s">
        <v>433</v>
      </c>
      <c r="B89" s="37" t="n">
        <f aca="false">Moments!B25</f>
        <v>15.4596248337403</v>
      </c>
      <c r="C89" s="35" t="n">
        <f aca="false">Reference_Values!B89</f>
        <v>15.4596248337403</v>
      </c>
      <c r="D89" s="32" t="n">
        <f aca="false">ABS(B89-C89)</f>
        <v>0</v>
      </c>
      <c r="E89" s="47" t="n">
        <v>1E-012</v>
      </c>
      <c r="F89" s="4" t="str">
        <f aca="false">IF(D89&lt;=E89,"PASS","FAIL")</f>
        <v>PASS</v>
      </c>
    </row>
    <row r="90" customFormat="false" ht="15" hidden="false" customHeight="false" outlineLevel="0" collapsed="false">
      <c r="A90" s="2" t="s">
        <v>434</v>
      </c>
      <c r="B90" s="37" t="n">
        <f aca="false">Moments!B28</f>
        <v>6.06183334178953</v>
      </c>
      <c r="C90" s="35" t="n">
        <f aca="false">Reference_Values!B90</f>
        <v>6.06183334178953</v>
      </c>
      <c r="D90" s="32" t="n">
        <f aca="false">ABS(B90-C90)</f>
        <v>0</v>
      </c>
      <c r="E90" s="47" t="n">
        <v>1E-009</v>
      </c>
      <c r="F90" s="4" t="str">
        <f aca="false">IF(D90&lt;=E90,"PASS","FAIL")</f>
        <v>PASS</v>
      </c>
    </row>
    <row r="91" customFormat="false" ht="15" hidden="false" customHeight="false" outlineLevel="0" collapsed="false">
      <c r="A91" s="2" t="s">
        <v>435</v>
      </c>
      <c r="B91" s="37" t="n">
        <f aca="false">Moments!B29</f>
        <v>53.2946667343162</v>
      </c>
      <c r="C91" s="35" t="n">
        <f aca="false">Reference_Values!B91</f>
        <v>53.2946667343162</v>
      </c>
      <c r="D91" s="32" t="n">
        <f aca="false">ABS(B91-C91)</f>
        <v>0</v>
      </c>
      <c r="E91" s="47" t="n">
        <v>1E-009</v>
      </c>
      <c r="F91" s="4" t="str">
        <f aca="false">IF(D91&lt;=E91,"PASS","FAIL")</f>
        <v>PASS</v>
      </c>
    </row>
    <row r="92" customFormat="false" ht="15" hidden="false" customHeight="false" outlineLevel="0" collapsed="false">
      <c r="A92" s="2" t="s">
        <v>436</v>
      </c>
      <c r="B92" s="37" t="n">
        <f aca="false">Moments!B21</f>
        <v>147.4772075545</v>
      </c>
      <c r="C92" s="35" t="n">
        <f aca="false">Reference_Values!B92</f>
        <v>147.4772075545</v>
      </c>
      <c r="D92" s="32" t="n">
        <f aca="false">ABS(B92-C92)</f>
        <v>0</v>
      </c>
      <c r="E92" s="47" t="n">
        <v>1E-009</v>
      </c>
      <c r="F92" s="4" t="str">
        <f aca="false">IF(D92&lt;=E92,"PASS","FAIL")</f>
        <v>PASS</v>
      </c>
    </row>
    <row r="93" customFormat="false" ht="15" hidden="false" customHeight="false" outlineLevel="0" collapsed="false">
      <c r="A93" s="2" t="s">
        <v>437</v>
      </c>
      <c r="B93" s="37" t="n">
        <f aca="false">PriceTheDoubt!D5</f>
        <v>10.440610891413</v>
      </c>
      <c r="C93" s="35" t="n">
        <f aca="false">Reference_Values!B93</f>
        <v>10.440610891413</v>
      </c>
      <c r="D93" s="32" t="n">
        <f aca="false">ABS(B93-C93)</f>
        <v>0</v>
      </c>
      <c r="E93" s="47" t="n">
        <v>1E-009</v>
      </c>
      <c r="F93" s="4" t="str">
        <f aca="false">IF(D93&lt;=E93,"PASS","FAIL")</f>
        <v>PASS</v>
      </c>
    </row>
    <row r="94" customFormat="false" ht="15" hidden="false" customHeight="false" outlineLevel="0" collapsed="false">
      <c r="A94" s="2" t="s">
        <v>439</v>
      </c>
      <c r="B94" s="37" t="n">
        <f aca="false">PriceTheDoubt!D6</f>
        <v>10.5429321083865</v>
      </c>
      <c r="C94" s="35" t="n">
        <f aca="false">Reference_Values!B94</f>
        <v>10.5429321083865</v>
      </c>
      <c r="D94" s="32" t="n">
        <f aca="false">ABS(B94-C94)</f>
        <v>0</v>
      </c>
      <c r="E94" s="47" t="n">
        <v>1E-009</v>
      </c>
      <c r="F94" s="4" t="str">
        <f aca="false">IF(D94&lt;=E94,"PASS","FAIL")</f>
        <v>PASS</v>
      </c>
    </row>
    <row r="95" customFormat="false" ht="15" hidden="false" customHeight="false" outlineLevel="0" collapsed="false">
      <c r="A95" s="2" t="s">
        <v>440</v>
      </c>
      <c r="B95" s="37" t="n">
        <f aca="false">PriceTheDoubt!D7</f>
        <v>14.1343612380326</v>
      </c>
      <c r="C95" s="35" t="n">
        <f aca="false">Reference_Values!B95</f>
        <v>14.1343612380326</v>
      </c>
      <c r="D95" s="32" t="n">
        <f aca="false">ABS(B95-C95)</f>
        <v>0</v>
      </c>
      <c r="E95" s="47" t="n">
        <v>1E-009</v>
      </c>
      <c r="F95" s="4" t="str">
        <f aca="false">IF(D95&lt;=E95,"PASS","FAIL")</f>
        <v>PASS</v>
      </c>
    </row>
    <row r="96" customFormat="false" ht="15" hidden="false" customHeight="false" outlineLevel="0" collapsed="false">
      <c r="A96" s="2" t="s">
        <v>441</v>
      </c>
      <c r="B96" s="37" t="n">
        <f aca="false">PriceTheDoubt!D8</f>
        <v>16.0812188532258</v>
      </c>
      <c r="C96" s="35" t="n">
        <f aca="false">Reference_Values!B96</f>
        <v>16.0812188532258</v>
      </c>
      <c r="D96" s="32" t="n">
        <f aca="false">ABS(B96-C96)</f>
        <v>0</v>
      </c>
      <c r="E96" s="47" t="n">
        <v>1E-009</v>
      </c>
      <c r="F96" s="4" t="str">
        <f aca="false">IF(D96&lt;=E96,"PASS","FAIL")</f>
        <v>PASS</v>
      </c>
    </row>
    <row r="97" customFormat="false" ht="15" hidden="false" customHeight="false" outlineLevel="0" collapsed="false">
      <c r="A97" s="2" t="s">
        <v>442</v>
      </c>
      <c r="B97" s="37" t="n">
        <f aca="false">PriceTheDoubt!D9</f>
        <v>11.6373433301145</v>
      </c>
      <c r="C97" s="35" t="n">
        <f aca="false">Reference_Values!B97</f>
        <v>11.6373433301145</v>
      </c>
      <c r="D97" s="32" t="n">
        <f aca="false">ABS(B97-C97)</f>
        <v>0</v>
      </c>
      <c r="E97" s="47" t="n">
        <v>1E-009</v>
      </c>
      <c r="F97" s="4" t="str">
        <f aca="false">IF(D97&lt;=E97,"PASS","FAIL")</f>
        <v>PASS</v>
      </c>
    </row>
    <row r="98" customFormat="false" ht="15" hidden="false" customHeight="false" outlineLevel="0" collapsed="false">
      <c r="A98" s="2" t="s">
        <v>443</v>
      </c>
      <c r="B98" s="37" t="n">
        <f aca="false">PriceTheDoubt!D10</f>
        <v>22.8469439390677</v>
      </c>
      <c r="C98" s="35" t="n">
        <f aca="false">Reference_Values!B98</f>
        <v>22.8469439390677</v>
      </c>
      <c r="D98" s="32" t="n">
        <f aca="false">ABS(B98-C98)</f>
        <v>0</v>
      </c>
      <c r="E98" s="47" t="n">
        <v>1E-009</v>
      </c>
      <c r="F98" s="4" t="str">
        <f aca="false">IF(D98&lt;=E98,"PASS","FAIL")</f>
        <v>PASS</v>
      </c>
    </row>
    <row r="99" customFormat="false" ht="15" hidden="false" customHeight="false" outlineLevel="0" collapsed="false">
      <c r="A99" s="2" t="s">
        <v>444</v>
      </c>
      <c r="B99" s="37" t="n">
        <f aca="false">PriceTheDoubt!D11</f>
        <v>24.003233122381</v>
      </c>
      <c r="C99" s="35" t="n">
        <f aca="false">Reference_Values!B99</f>
        <v>24.003233122381</v>
      </c>
      <c r="D99" s="32" t="n">
        <f aca="false">ABS(B99-C99)</f>
        <v>0</v>
      </c>
      <c r="E99" s="47" t="n">
        <v>1E-009</v>
      </c>
      <c r="F99" s="4" t="str">
        <f aca="false">IF(D99&lt;=E99,"PASS","FAIL")</f>
        <v>PASS</v>
      </c>
    </row>
    <row r="100" customFormat="false" ht="15" hidden="false" customHeight="false" outlineLevel="0" collapsed="false">
      <c r="A100" s="2" t="s">
        <v>445</v>
      </c>
      <c r="B100" s="37" t="n">
        <f aca="false">PriceTheDoubt!D12</f>
        <v>19.370659053409</v>
      </c>
      <c r="C100" s="35" t="n">
        <f aca="false">Reference_Values!B100</f>
        <v>19.370659053409</v>
      </c>
      <c r="D100" s="32" t="n">
        <f aca="false">ABS(B100-C100)</f>
        <v>0</v>
      </c>
      <c r="E100" s="47" t="n">
        <v>1E-009</v>
      </c>
      <c r="F100" s="4" t="str">
        <f aca="false">IF(D100&lt;=E100,"PASS","FAIL")</f>
        <v>PASS</v>
      </c>
    </row>
    <row r="101" customFormat="false" ht="15" hidden="false" customHeight="false" outlineLevel="0" collapsed="false">
      <c r="A101" s="2" t="s">
        <v>446</v>
      </c>
      <c r="B101" s="37" t="n">
        <f aca="false">PriceTheDoubt!D13</f>
        <v>53.2946667343162</v>
      </c>
      <c r="C101" s="35" t="n">
        <f aca="false">Reference_Values!B101</f>
        <v>53.2946667343162</v>
      </c>
      <c r="D101" s="32" t="n">
        <f aca="false">ABS(B101-C101)</f>
        <v>0</v>
      </c>
      <c r="E101" s="47" t="n">
        <v>1E-009</v>
      </c>
      <c r="F101" s="4" t="str">
        <f aca="false">IF(D101&lt;=E101,"PASS","FAIL")</f>
        <v>PASS</v>
      </c>
    </row>
    <row r="102" customFormat="false" ht="15" hidden="false" customHeight="false" outlineLevel="0" collapsed="false">
      <c r="A102" s="2" t="s">
        <v>447</v>
      </c>
      <c r="B102" s="37" t="n">
        <f aca="false">PriceTheDoubt!B15</f>
        <v>13.562622230968</v>
      </c>
      <c r="C102" s="35" t="n">
        <f aca="false">Reference_Values!B102</f>
        <v>13.562622230968</v>
      </c>
      <c r="D102" s="32" t="n">
        <f aca="false">ABS(B102-C102)</f>
        <v>0</v>
      </c>
      <c r="E102" s="47" t="n">
        <v>1E-009</v>
      </c>
      <c r="F102" s="4" t="str">
        <f aca="false">IF(D102&lt;=E102,"PASS","FAIL")</f>
        <v>PASS</v>
      </c>
    </row>
    <row r="103" customFormat="false" ht="15" hidden="false" customHeight="false" outlineLevel="0" collapsed="false">
      <c r="A103" s="2" t="s">
        <v>448</v>
      </c>
      <c r="B103" s="37" t="n">
        <f aca="false">PriceTheDoubt!B16</f>
        <v>4.63257406897201</v>
      </c>
      <c r="C103" s="35" t="n">
        <f aca="false">Reference_Values!B103</f>
        <v>4.63257406897201</v>
      </c>
      <c r="D103" s="32" t="n">
        <f aca="false">ABS(B103-C103)</f>
        <v>0</v>
      </c>
      <c r="E103" s="47" t="n">
        <v>1E-009</v>
      </c>
      <c r="F103" s="4" t="str">
        <f aca="false">IF(D103&lt;=E103,"PASS","FAIL")</f>
        <v>PASS</v>
      </c>
    </row>
    <row r="104" customFormat="false" ht="15" hidden="false" customHeight="false" outlineLevel="0" collapsed="false">
      <c r="A104" s="2" t="s">
        <v>449</v>
      </c>
      <c r="B104" s="37" t="n">
        <f aca="false">PriceTheDoubt!B18</f>
        <v>1</v>
      </c>
      <c r="C104" s="35" t="n">
        <f aca="false">Reference_Values!B104</f>
        <v>1</v>
      </c>
      <c r="D104" s="32" t="n">
        <f aca="false">ABS(B104-C104)</f>
        <v>0</v>
      </c>
      <c r="E104" s="47" t="n">
        <v>0</v>
      </c>
      <c r="F104" s="4" t="str">
        <f aca="false">IF(D104&lt;=E104,"PASS","FAIL")</f>
        <v>PASS</v>
      </c>
    </row>
    <row r="105" customFormat="false" ht="15" hidden="false" customHeight="false" outlineLevel="0" collapsed="false">
      <c r="A105" s="2" t="s">
        <v>451</v>
      </c>
      <c r="B105" s="37" t="n">
        <f aca="false">PriceTheDoubt!B20</f>
        <v>1</v>
      </c>
      <c r="C105" s="35" t="n">
        <f aca="false">Reference_Values!B105</f>
        <v>1</v>
      </c>
      <c r="D105" s="32" t="n">
        <f aca="false">ABS(B105-C105)</f>
        <v>0</v>
      </c>
      <c r="E105" s="47" t="n">
        <v>0</v>
      </c>
      <c r="F105" s="4" t="str">
        <f aca="false">IF(D105&lt;=E105,"PASS","FAIL")</f>
        <v>PASS</v>
      </c>
    </row>
    <row r="106" customFormat="false" ht="15" hidden="false" customHeight="false" outlineLevel="0" collapsed="false">
      <c r="A106" s="2" t="s">
        <v>453</v>
      </c>
      <c r="B106" s="37" t="n">
        <f aca="false">PriceTheDoubt!D6</f>
        <v>10.5429321083865</v>
      </c>
      <c r="C106" s="35" t="n">
        <f aca="false">Reference_Values!B106</f>
        <v>10.5429321083865</v>
      </c>
      <c r="D106" s="32" t="n">
        <f aca="false">ABS(B106-C106)</f>
        <v>0</v>
      </c>
      <c r="E106" s="47" t="n">
        <v>1E-009</v>
      </c>
      <c r="F106" s="4" t="str">
        <f aca="false">IF(D106&lt;=E106,"PASS","FAIL")</f>
        <v>PASS</v>
      </c>
    </row>
    <row r="108" customFormat="false" ht="15" hidden="false" customHeight="false" outlineLevel="0" collapsed="false">
      <c r="A108" s="4" t="s">
        <v>459</v>
      </c>
      <c r="F108" s="4" t="str">
        <f aca="false">IF(COUNTIF(F2:F106,"PASS")=105,"ALL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2026-10-05T19:24:45Z</dcterms:created>
  <dc:creator>openpyxl</dc:creator>
  <dc:description/>
  <dc:language>en-US</dc:language>
  <cp:lastModifiedBy/>
  <dcterms:modified xsi:type="dcterms:W3CDTF">2026-10-05T19:24:45Z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